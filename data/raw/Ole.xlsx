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CKUP LAMORENO\lady\OLE\OFERTA DE TRABAJO\Encuesta seguimiento a graduados\2016\"/>
    </mc:Choice>
  </mc:AlternateContent>
  <bookViews>
    <workbookView xWindow="0" yWindow="0" windowWidth="20490" windowHeight="7755"/>
  </bookViews>
  <sheets>
    <sheet name="MODALIDAD" sheetId="1" r:id="rId1"/>
    <sheet name="AREACONOC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90" i="2" l="1"/>
  <c r="K292" i="2"/>
  <c r="K294" i="2"/>
  <c r="K296" i="2"/>
  <c r="K298" i="2"/>
  <c r="K300" i="2"/>
  <c r="K302" i="2"/>
  <c r="K304" i="2"/>
  <c r="K306" i="2"/>
  <c r="I2038" i="2"/>
  <c r="I2039" i="2"/>
  <c r="I2040" i="2"/>
  <c r="I2041" i="2"/>
  <c r="I2042" i="2"/>
  <c r="I2043" i="2"/>
  <c r="I2044" i="2"/>
  <c r="I2045" i="2"/>
  <c r="AD73" i="1"/>
  <c r="AG74" i="1" s="1"/>
  <c r="AE73" i="1"/>
  <c r="AD74" i="1"/>
  <c r="AE74" i="1"/>
  <c r="AF74" i="1" s="1"/>
  <c r="AD75" i="1"/>
  <c r="AG75" i="1" s="1"/>
  <c r="AE75" i="1"/>
  <c r="AD76" i="1"/>
  <c r="AG76" i="1" s="1"/>
  <c r="AE76" i="1"/>
  <c r="AD77" i="1"/>
  <c r="AE77" i="1"/>
  <c r="AF77" i="1" s="1"/>
  <c r="AG77" i="1" s="1"/>
  <c r="AD78" i="1"/>
  <c r="AE78" i="1"/>
  <c r="AF78" i="1" s="1"/>
  <c r="AG78" i="1"/>
  <c r="AD79" i="1"/>
  <c r="AG79" i="1" s="1"/>
  <c r="AE79" i="1"/>
  <c r="AD80" i="1"/>
  <c r="AE80" i="1"/>
  <c r="AF80" i="1" s="1"/>
  <c r="AG80" i="1"/>
  <c r="AD81" i="1"/>
  <c r="AE81" i="1"/>
  <c r="AF81" i="1" s="1"/>
  <c r="AG81" i="1" s="1"/>
  <c r="AC82" i="1"/>
  <c r="AD82" i="1"/>
  <c r="AE82" i="1"/>
  <c r="AF82" i="1"/>
  <c r="AC83" i="1"/>
  <c r="AD83" i="1"/>
  <c r="AE83" i="1"/>
  <c r="AF83" i="1" s="1"/>
  <c r="AG83" i="1"/>
  <c r="AC84" i="1"/>
  <c r="AD84" i="1"/>
  <c r="AE84" i="1"/>
  <c r="AF84" i="1"/>
  <c r="AD85" i="1" l="1"/>
  <c r="AG84" i="1"/>
  <c r="AG82" i="1"/>
  <c r="AF79" i="1"/>
  <c r="AF76" i="1"/>
  <c r="AF73" i="1"/>
  <c r="AF75" i="1"/>
  <c r="AG73" i="1"/>
  <c r="AF85" i="1"/>
  <c r="AE85" i="1"/>
</calcChain>
</file>

<file path=xl/sharedStrings.xml><?xml version="1.0" encoding="utf-8"?>
<sst xmlns="http://schemas.openxmlformats.org/spreadsheetml/2006/main" count="7269" uniqueCount="384">
  <si>
    <t>Universitario</t>
  </si>
  <si>
    <t>Tecnólogo</t>
  </si>
  <si>
    <t>Técnico Profesional</t>
  </si>
  <si>
    <t>MOMENTO 5</t>
  </si>
  <si>
    <t>MOMENTO 3</t>
  </si>
  <si>
    <t>MOMENTO 1</t>
  </si>
  <si>
    <t>%M</t>
  </si>
  <si>
    <t>SUMA</t>
  </si>
  <si>
    <t>%</t>
  </si>
  <si>
    <t>Total</t>
  </si>
  <si>
    <t>Ya estoy cursando otros estudios en esta institución</t>
  </si>
  <si>
    <t>No me gustaría</t>
  </si>
  <si>
    <t>Si me gustaría</t>
  </si>
  <si>
    <t>MODALIDAD/ MOMENTO</t>
  </si>
  <si>
    <t>Otra</t>
  </si>
  <si>
    <t>Costos de formación fuera de su alcance</t>
  </si>
  <si>
    <t>La institución no destina recursos para apoyar el proceso de formación</t>
  </si>
  <si>
    <t>Poca fundamentación para crear empresa</t>
  </si>
  <si>
    <t>Poco reconocimiento de la institución</t>
  </si>
  <si>
    <t>Baja calidad en la formación</t>
  </si>
  <si>
    <t>Posibilidad de encontrar empleo rápidamente</t>
  </si>
  <si>
    <t>Costos de formación a su alcance</t>
  </si>
  <si>
    <t>Becas, auxilios o incentivos económicos</t>
  </si>
  <si>
    <t>Fundamentación para crear empresa</t>
  </si>
  <si>
    <t>Reconocimiento de la institución</t>
  </si>
  <si>
    <t>Calidad de la formación</t>
  </si>
  <si>
    <t>No</t>
  </si>
  <si>
    <t>Si</t>
  </si>
  <si>
    <t>Alto</t>
  </si>
  <si>
    <t>Medio</t>
  </si>
  <si>
    <t>Bajo</t>
  </si>
  <si>
    <t>Miedo para asumir el riesgo</t>
  </si>
  <si>
    <t>La costumbre de tener un salario fijo</t>
  </si>
  <si>
    <t>Difícil acceso a recursos financieros</t>
  </si>
  <si>
    <t>Falta de conocimientos para la creación de una empresa</t>
  </si>
  <si>
    <t>Encontrar socios de confianza</t>
  </si>
  <si>
    <t>Falta de recursos económicos propios</t>
  </si>
  <si>
    <t>No estar seguro que la idea de negocio sea exitosa</t>
  </si>
  <si>
    <t>Recibió formación sobre emprendimiento en la institución donde estudió</t>
  </si>
  <si>
    <t>Identificó una oportunidad de negocio</t>
  </si>
  <si>
    <t>Generar empleo</t>
  </si>
  <si>
    <t>Flexibilidad en el manejo del tiempo</t>
  </si>
  <si>
    <t>Influencia familiar</t>
  </si>
  <si>
    <t>Independencia financiera</t>
  </si>
  <si>
    <t>Independencia laboral</t>
  </si>
  <si>
    <t>Iniciativa propia</t>
  </si>
  <si>
    <t>Convocatorias</t>
  </si>
  <si>
    <t>Unidad de servicio público de empleo</t>
  </si>
  <si>
    <t>Familia, amigos o conocidos</t>
  </si>
  <si>
    <t>Cajas de compensación, portales web, caza talentos</t>
  </si>
  <si>
    <t>Redes sociales virtuales</t>
  </si>
  <si>
    <t>Avisos en medios de comunicación</t>
  </si>
  <si>
    <t>Bolsa de empleo de la institución donde estudió</t>
  </si>
  <si>
    <t>Práctica universitaria</t>
  </si>
  <si>
    <t>El salario que le ofrecen es muy bajo</t>
  </si>
  <si>
    <t>Los empleadores lo ven muy joven o muy viejo</t>
  </si>
  <si>
    <t>Carece de la experiencia necesaria</t>
  </si>
  <si>
    <t>No encuentra el trabajo apropiado en su oficio o profesión</t>
  </si>
  <si>
    <t>No sabe cómo buscarlo</t>
  </si>
  <si>
    <t>No hay trabajo disponible en la ciudad en donde vive</t>
  </si>
  <si>
    <t>Ya venía trabajando</t>
  </si>
  <si>
    <t>Mas de 5 años</t>
  </si>
  <si>
    <t>4 - 5 años</t>
  </si>
  <si>
    <t>3 - 4 años</t>
  </si>
  <si>
    <t>2 - 3 años</t>
  </si>
  <si>
    <t>1 - 2 años</t>
  </si>
  <si>
    <t>7 - 12 meses</t>
  </si>
  <si>
    <t>4 - 6 meses</t>
  </si>
  <si>
    <t>1 - 3 meses</t>
  </si>
  <si>
    <t>Menos de un mes</t>
  </si>
  <si>
    <t>Nada satisfecho</t>
  </si>
  <si>
    <t>Satisfecho</t>
  </si>
  <si>
    <t>Muy satisfecho</t>
  </si>
  <si>
    <t>Doctorado</t>
  </si>
  <si>
    <t>Maestría</t>
  </si>
  <si>
    <t>Especialización</t>
  </si>
  <si>
    <t>Tecnológico</t>
  </si>
  <si>
    <t>Técnico</t>
  </si>
  <si>
    <t>Bachiller</t>
  </si>
  <si>
    <t>Básico</t>
  </si>
  <si>
    <t>Nada útiles</t>
  </si>
  <si>
    <t>Poco útiles</t>
  </si>
  <si>
    <t>Útiles</t>
  </si>
  <si>
    <t>Muy útiles</t>
  </si>
  <si>
    <t>No tenía ninguna expectativa</t>
  </si>
  <si>
    <t>Peor de lo que esperaba</t>
  </si>
  <si>
    <t>Igual a lo que esperaba</t>
  </si>
  <si>
    <t>Mejor de lo que esperaba</t>
  </si>
  <si>
    <t>Técnico profesional</t>
  </si>
  <si>
    <t>Técnico laboral</t>
  </si>
  <si>
    <t>Seminarios / Cursos</t>
  </si>
  <si>
    <t>Estudios en idiomas</t>
  </si>
  <si>
    <t>N válido</t>
  </si>
  <si>
    <t>Desviación típica</t>
  </si>
  <si>
    <t>Error típico de la media</t>
  </si>
  <si>
    <t>Media</t>
  </si>
  <si>
    <t>MOMENTO/MODALIDAD</t>
  </si>
  <si>
    <t>ACTIVIDADES DE ORGANIZACIONES Y ENTIDADES EXTRATERRITORIALES</t>
  </si>
  <si>
    <t>ACTIVIDADES HOGARES INDIVIDUALES EMPLEADORES; ACTIVIDADES HOGARES INDIVIDUALES PRODUCTORES BIENES Y SERVICIOS</t>
  </si>
  <si>
    <t>OTRAS ACTIVIDADES DE SERVICIOS</t>
  </si>
  <si>
    <t>ACTIVIDADES ARTÍSTICAS, DE ENTRETENIMIENTO Y RECREACIÓN</t>
  </si>
  <si>
    <t>ACTIVIDADES DE ATENCIÓN DE LA SALUD HUMANA Y DE ASISTENCIA SOCIAL</t>
  </si>
  <si>
    <t>EDUCACIÓN</t>
  </si>
  <si>
    <t>ADMINISTRACIÓN PÚBLICA Y DEFENSA; PLANES DE SEGURIDAD SOCIAL DE AFILIACIÓN OBLIGATORIA</t>
  </si>
  <si>
    <t>ACTIVIDADES DE SERVICIOS ADMINISTRATIVOS Y DE APOYO</t>
  </si>
  <si>
    <t>ACTIVIDADES PROFESIONALES, CIENTÍFICAS Y TÉCNICAS</t>
  </si>
  <si>
    <t>ACTIVIDADES INMOBILIARIAS</t>
  </si>
  <si>
    <t>ACTIVIDADES FINANCIERAS Y DE SEGUROS</t>
  </si>
  <si>
    <t>INFORMACIÓN Y COMUNICACIONES</t>
  </si>
  <si>
    <t>ALOJAMIENTO Y SERVICIOS DE COMIDA</t>
  </si>
  <si>
    <t>TRANSPORTE Y ALMACENAMIENTO</t>
  </si>
  <si>
    <t>COMERCIO AL POR MAYOR Y AL POR MENOR; REPARACIÓN DE VEHÍCULOS AUTOMOTORES Y MOTOCICLETAS</t>
  </si>
  <si>
    <t>CONSTRUCCIÓN</t>
  </si>
  <si>
    <t>DISTRIBUCIÓN DE AGUA; EVACUACIÓN Y TRATAMIENTO DE AGUAS RESIDUALES, DESECHOS Y SANEAMIENTO AMBIENTAL</t>
  </si>
  <si>
    <t>SUMINISTRO DE ELECTRICIDAD, GAS, VAPOR Y AIRE ACONDICIONADO</t>
  </si>
  <si>
    <t>INDUSTRIAS MANUFACTURERAS</t>
  </si>
  <si>
    <t>EXPLOTACIÓN DE MINAS Y CANTERAS</t>
  </si>
  <si>
    <t>AGRICULTURA, GANADERÍA, CAZA, SILVICULTURA Y PESCA</t>
  </si>
  <si>
    <t>Nada relacionado</t>
  </si>
  <si>
    <t>Indirectamente relacionado</t>
  </si>
  <si>
    <t>Directamente relacionado</t>
  </si>
  <si>
    <t>No recibí formación para el emprendimiento</t>
  </si>
  <si>
    <t>Ninguna de las anteriores me resultó efectiva</t>
  </si>
  <si>
    <t>Pasantía o práctica empresarial</t>
  </si>
  <si>
    <t>Proyecto de grado en temas de emprendimiento</t>
  </si>
  <si>
    <t>Simuladores empresariales</t>
  </si>
  <si>
    <t>Talleres de o asesorías de planes de negocio</t>
  </si>
  <si>
    <t>Simposios, conferencias, foros u otros eventos</t>
  </si>
  <si>
    <t>Cursos obligatorios o electivos sobre emprendimiento</t>
  </si>
  <si>
    <t>Se dedica a un oficio no cualificado</t>
  </si>
  <si>
    <t>Venta por catálogo</t>
  </si>
  <si>
    <t>Trabajo por comisión</t>
  </si>
  <si>
    <t>Trabajo por piezas o a destajo</t>
  </si>
  <si>
    <t>Trabajo por obra o labor</t>
  </si>
  <si>
    <t>Prestación de servicios</t>
  </si>
  <si>
    <t>Honorarios</t>
  </si>
  <si>
    <t>Operario</t>
  </si>
  <si>
    <t>Auxiliar o asistencial</t>
  </si>
  <si>
    <t>Profesional universitario</t>
  </si>
  <si>
    <t>Profesional especializado</t>
  </si>
  <si>
    <t>Dirección y gerencia</t>
  </si>
  <si>
    <t>Área de apoyo a la gestión o de asesoría</t>
  </si>
  <si>
    <t>Área de investigación, innovación y tecnología</t>
  </si>
  <si>
    <t>Área de operación</t>
  </si>
  <si>
    <t>Área de mercadeo o comercial</t>
  </si>
  <si>
    <t>Área de finanzas</t>
  </si>
  <si>
    <t>Área de administración</t>
  </si>
  <si>
    <t>Otro tipo de contrato</t>
  </si>
  <si>
    <t>Contrato de prestación de servicios</t>
  </si>
  <si>
    <t>Contrato a término indefinido</t>
  </si>
  <si>
    <t>Contrato a término fijo</t>
  </si>
  <si>
    <t>Familiares, amigos o conocidos</t>
  </si>
  <si>
    <t>Trabajador sin remuneración</t>
  </si>
  <si>
    <t>Empresario / Empleador</t>
  </si>
  <si>
    <t>Trabajador independiente (Sector público o privado)</t>
  </si>
  <si>
    <t>Empleado del gobierno</t>
  </si>
  <si>
    <t>Empleado de una empresa particular</t>
  </si>
  <si>
    <t>Está estudiando</t>
  </si>
  <si>
    <t>No tiene los recursos para instalar un negocio</t>
  </si>
  <si>
    <t>Los empleadores lo consideran muy joven o muy viejo</t>
  </si>
  <si>
    <t>Está cansado de buscar</t>
  </si>
  <si>
    <t>Está esperando que lo llamen</t>
  </si>
  <si>
    <t>No hay trabajo disponible en lo que se tituló</t>
  </si>
  <si>
    <t>Problemas de salud</t>
  </si>
  <si>
    <t>Responsabilidades familiares</t>
  </si>
  <si>
    <t>Ya encontró trabajo y está por iniciar</t>
  </si>
  <si>
    <t>Otra actividad</t>
  </si>
  <si>
    <t>Incapacitado permanente para trabajar</t>
  </si>
  <si>
    <t>Oficios del hogar</t>
  </si>
  <si>
    <t>Estudiando</t>
  </si>
  <si>
    <t>Buscando trabajo</t>
  </si>
  <si>
    <t>Trabajando</t>
  </si>
  <si>
    <t>Otro</t>
  </si>
  <si>
    <t>Menores costos (académicos y de manutención)</t>
  </si>
  <si>
    <t>Prestigio de las instituciones</t>
  </si>
  <si>
    <t>Encontró el programa de su interés</t>
  </si>
  <si>
    <t>Ninguna</t>
  </si>
  <si>
    <t>Calidad de vida</t>
  </si>
  <si>
    <t>Crecimiento profesional</t>
  </si>
  <si>
    <t>Oportunidad de estudiar</t>
  </si>
  <si>
    <t>Horario/Jornada laboral</t>
  </si>
  <si>
    <t>Ingresos</t>
  </si>
  <si>
    <t>Traslado de su hogar o regreso a su lugar de origen</t>
  </si>
  <si>
    <t>Por conflicto armado o motivos de seguridad</t>
  </si>
  <si>
    <t>Por razones de salud</t>
  </si>
  <si>
    <t>Para continuar estudios académicos</t>
  </si>
  <si>
    <t>Identificó una oportunidad para crear empresa</t>
  </si>
  <si>
    <t>Encontró trabajo no relacionado con el programa que estudió</t>
  </si>
  <si>
    <t>Encontró trabajo relacionado con el programa que estudió</t>
  </si>
  <si>
    <t>Otros</t>
  </si>
  <si>
    <t>Por cuestiones de trabajo</t>
  </si>
  <si>
    <t>Para estudiar</t>
  </si>
  <si>
    <t>VENEZUELA</t>
  </si>
  <si>
    <t>URUGUAY</t>
  </si>
  <si>
    <t>ESTADOS UNIDOS</t>
  </si>
  <si>
    <t>REINO UNIDO</t>
  </si>
  <si>
    <t>EGIPTO</t>
  </si>
  <si>
    <t>TRINIDAD Y TOBAGO</t>
  </si>
  <si>
    <t>SUIZA</t>
  </si>
  <si>
    <t>ESPAÑA</t>
  </si>
  <si>
    <t>SUDÁFRICA</t>
  </si>
  <si>
    <t>VIETNAM</t>
  </si>
  <si>
    <t>SINGAPUR</t>
  </si>
  <si>
    <t>ARABIA SAUDITA</t>
  </si>
  <si>
    <t>RUSIA</t>
  </si>
  <si>
    <t>PUERTO RICO</t>
  </si>
  <si>
    <t>GUINEA BISSAU</t>
  </si>
  <si>
    <t>PORTUGAL</t>
  </si>
  <si>
    <t>POLONIA</t>
  </si>
  <si>
    <t>PERÚ</t>
  </si>
  <si>
    <t>PANAMÁ</t>
  </si>
  <si>
    <t>NORUEGA</t>
  </si>
  <si>
    <t>NICARAGUA</t>
  </si>
  <si>
    <t>NUEVA ZELANDA</t>
  </si>
  <si>
    <t>ARUBA</t>
  </si>
  <si>
    <t>PAÍSES BAJOS</t>
  </si>
  <si>
    <t>MÉXICO</t>
  </si>
  <si>
    <t>MALTA</t>
  </si>
  <si>
    <t>JAPÓN</t>
  </si>
  <si>
    <t>COSTA DE MARFIL</t>
  </si>
  <si>
    <t>ITALIA</t>
  </si>
  <si>
    <t>ISRAEL</t>
  </si>
  <si>
    <t>IRLANDA</t>
  </si>
  <si>
    <t>INDONESIA</t>
  </si>
  <si>
    <t>INDIA</t>
  </si>
  <si>
    <t>HONDURAS</t>
  </si>
  <si>
    <t>GUATEMALA</t>
  </si>
  <si>
    <t>ALEMANIA</t>
  </si>
  <si>
    <t>GABÓN</t>
  </si>
  <si>
    <t>FRANCIA</t>
  </si>
  <si>
    <t>FINLANDIA</t>
  </si>
  <si>
    <t>EL SALVADOR</t>
  </si>
  <si>
    <t>ECUADOR</t>
  </si>
  <si>
    <t>REPÚBLICA DOMINICANA</t>
  </si>
  <si>
    <t>DINAMARCA</t>
  </si>
  <si>
    <t>CUBA</t>
  </si>
  <si>
    <t>COSTA RICA</t>
  </si>
  <si>
    <t>CHINA</t>
  </si>
  <si>
    <t>CHILE</t>
  </si>
  <si>
    <t>CANADÁ</t>
  </si>
  <si>
    <t>BRASIL</t>
  </si>
  <si>
    <t>BOLIVIA</t>
  </si>
  <si>
    <t>AUSTRIA</t>
  </si>
  <si>
    <t>AUSTRALIA</t>
  </si>
  <si>
    <t>ARGENTINA</t>
  </si>
  <si>
    <t>Sí</t>
  </si>
  <si>
    <t>% del total</t>
  </si>
  <si>
    <t>% dentro EXPECTATIVA</t>
  </si>
  <si>
    <t>% dentro EXPECTATIVAS</t>
  </si>
  <si>
    <t>Crear una empresa</t>
  </si>
  <si>
    <t>Trabajar fuera de Colombia</t>
  </si>
  <si>
    <t>Trabajar en Colombia</t>
  </si>
  <si>
    <t>Estudiar un posgrado fuera de Colombia</t>
  </si>
  <si>
    <t>Estudiar un posgrado en Colombia</t>
  </si>
  <si>
    <t>Estudiar un programa universitario</t>
  </si>
  <si>
    <t>Estudiar un programa tecnológico</t>
  </si>
  <si>
    <t>Estudiar un programa técnico</t>
  </si>
  <si>
    <t>Momento 5</t>
  </si>
  <si>
    <t>Momento 3</t>
  </si>
  <si>
    <t>Momento 1</t>
  </si>
  <si>
    <t>Total Respuestas</t>
  </si>
  <si>
    <t>Tipo de instrumento - Encuesta</t>
  </si>
  <si>
    <t>EXPECTATIVAS / MOMENTO</t>
  </si>
  <si>
    <t>Parte B Preg. 5.- Cómo califica su nivel de habla, escucha, lectura y escritura de este idioma?ESCRITURA</t>
  </si>
  <si>
    <t>Sueco</t>
  </si>
  <si>
    <t>Portugués</t>
  </si>
  <si>
    <t>Noruego</t>
  </si>
  <si>
    <t>Japonés</t>
  </si>
  <si>
    <t>Italiano</t>
  </si>
  <si>
    <t>Indonesio</t>
  </si>
  <si>
    <t>Inglés</t>
  </si>
  <si>
    <t>Hungaro</t>
  </si>
  <si>
    <t>Francés</t>
  </si>
  <si>
    <t>Esperanto</t>
  </si>
  <si>
    <t>Coreano</t>
  </si>
  <si>
    <t>Alemán</t>
  </si>
  <si>
    <t>MODALIDAD/MOMENTO</t>
  </si>
  <si>
    <t>Parte B Preg. 5.- Cómo califica su nivel de habla, escucha, lectura y escritura de este idioma?LECTURA</t>
  </si>
  <si>
    <t>Parte B Preg. 5.- Cómo califica su nivel de habla, escucha, lectura y escritura de este idioma?ESCUCHA</t>
  </si>
  <si>
    <t>Parte B Preg. 5.- Cómo califica su nivel de habla, escucha, lectura y escritura de este idioma?HABLA</t>
  </si>
  <si>
    <t>TOTAL</t>
  </si>
  <si>
    <t>NINGUNO</t>
  </si>
  <si>
    <t>ALGUN</t>
  </si>
  <si>
    <t>Parte B Preg. 4.- Que idioma diferente al español es el que más domina?</t>
  </si>
  <si>
    <t>% dentro LIMITACIONES</t>
  </si>
  <si>
    <t>No tiene</t>
  </si>
  <si>
    <t>Discapacidad múltiple</t>
  </si>
  <si>
    <t>Discapacidad física (brazos y/o piernas)</t>
  </si>
  <si>
    <t>Discapacidad psicosocial</t>
  </si>
  <si>
    <t>Trastorno del espectro autista – tea</t>
  </si>
  <si>
    <t>Sordera profunda</t>
  </si>
  <si>
    <t>Hipoacusia o baja audición</t>
  </si>
  <si>
    <t>Ceguera</t>
  </si>
  <si>
    <t>Baja visión diagnosticada</t>
  </si>
  <si>
    <t>LIMITACIONES / MOMENTO</t>
  </si>
  <si>
    <t>Parte A Preg. 3.- Tiene ud. algún tipo de discapacidad que afecte su desempeño Limitación (Respuesta Multiple)</t>
  </si>
  <si>
    <t>MOMENTO 2</t>
  </si>
  <si>
    <t>N total</t>
  </si>
  <si>
    <t>Parte A Preg. 2.-  Número de hijos</t>
  </si>
  <si>
    <t>Casado(a) / Unión libre</t>
  </si>
  <si>
    <t>Soltero(a)</t>
  </si>
  <si>
    <t>Parte A Preg.1.-  Estado civil actual</t>
  </si>
  <si>
    <t>MATEMATICAS Y CIENCIAS NATURALES</t>
  </si>
  <si>
    <t>INGENIERIA, ARQUITECTURA, URBANISMO Y AFINES</t>
  </si>
  <si>
    <t>ECONOMIA, ADMINISTRACION, CONTADURIA Y AFINES</t>
  </si>
  <si>
    <t>CIENCIAS SOCIALES Y HUMANAS</t>
  </si>
  <si>
    <t>CIENCIAS DE LA SALUD</t>
  </si>
  <si>
    <t>CIENCIAS DE LA EDUCACION</t>
  </si>
  <si>
    <t>BELLAS ARTES</t>
  </si>
  <si>
    <t>AGRONOMIA, VETERINARIA Y AFINES</t>
  </si>
  <si>
    <t>AREA CONOCIMIENTO/ MOMENTO</t>
  </si>
  <si>
    <t>AREA DE CONOCIMIENTO/MOMENTO</t>
  </si>
  <si>
    <t>% CONOCIMIENTO</t>
  </si>
  <si>
    <t>AREA DE CONOCIMIENTO</t>
  </si>
  <si>
    <t>% dentro de LIMITACIONES</t>
  </si>
  <si>
    <t>LIMITACIONES / AREA CONOCIMIENTO</t>
  </si>
  <si>
    <t>Parte D Preg. 2.- Ha residido en el extranjero después de terminar su pregrado?SI-DONDE?</t>
  </si>
  <si>
    <t>Parte C preg. 6.- Qué ha pensado hacer durante los proximos cinco años?PLAN(Respuesta Multiple)</t>
  </si>
  <si>
    <t>Parte D Preg. 7.- Ha residido en el extranjero después de terminar su pregrado?</t>
  </si>
  <si>
    <t>Parte D Preg. 8.- Cuál ha sido el principal motivo por el cual ha residido en el extranjero?</t>
  </si>
  <si>
    <t>Parte D preg. 9.- Qué tipo de estudio realiza o realizó?</t>
  </si>
  <si>
    <t>Parte D Preg. 10.- Qué tipo de trabajo realiza o realizó principalmente?</t>
  </si>
  <si>
    <t>Parte D Preg. 11.- Actualmente, Usted reside en la misma ciudad donde realizó sus estudios de educación superior?</t>
  </si>
  <si>
    <t>Parte D Preg. 12.- Cuál fue la principal razón por la que usted se mudó a la ciudad donde reside actualmente?</t>
  </si>
  <si>
    <t>Parte D Preg. 13.- Que tipo de mejora le representó este trabajo?</t>
  </si>
  <si>
    <t>Parte D Preg. 14.- Cuál fue el principal motivo para continuar sus estudios en esa ciudad?</t>
  </si>
  <si>
    <t>Parte E Preg. 15.- En la actualidad, en qué actividad ocupa la mayor parte de su tiempo?</t>
  </si>
  <si>
    <t>Parte E Preg. 16.- Además de lo anterior, realiza alguna actividad remunerada?</t>
  </si>
  <si>
    <t>Parte E Preg. 17.- Desea conseguir un trabajo o instalar un negocio?</t>
  </si>
  <si>
    <t>Parte E Preg. 18.- En el  último mes ha hecho alguna diligencia para conseguir un trabajo o instalar un negocio?</t>
  </si>
  <si>
    <t>Parte E Preg. 19.- Aunque desea trabajar/instalar negocio por qué motivo no hizo diligencias durante el último mes?</t>
  </si>
  <si>
    <t>Parte E Preg. 20.- Qué está estudiando?</t>
  </si>
  <si>
    <t>Parte E Preg. 21.- Si le hubiera resultado algún trabajo remunerado, estaba disponible la semana pasada para empezar a trabajar?</t>
  </si>
  <si>
    <t>Parte E Preg. 22.- En esa actividad usted es:</t>
  </si>
  <si>
    <t>Parte E.1 Preg. 23.- Es este su primer empleo después de graduarse?</t>
  </si>
  <si>
    <t>Parte E.1 Preg. 24.- A los cuántos meses después de graduarse, obtuvo su primer empleo?</t>
  </si>
  <si>
    <t>Parte E.1 Preg. 25.- Que canal de búsqueda le permitío conseguir el empleo actual?</t>
  </si>
  <si>
    <t>Parte E.1 Preg. 26.- Qué tipo de contrato tiene?</t>
  </si>
  <si>
    <t>Parte E.1 Preg. 27.- El área en la que usted se desempeña en la empresa/institución es:</t>
  </si>
  <si>
    <t>Parte E.1 Preg. 28.- El cargo que usted desempeña en esta empresa se ubica en el nivel de:</t>
  </si>
  <si>
    <t>Parte E.1 Preg. 29.- La actividad económica de la empresa/institución donde usted labora es:</t>
  </si>
  <si>
    <t>Parte E.1 Preg. 30.- Qué tan relacionado está su empleo con el programa que estudió?</t>
  </si>
  <si>
    <t>Parte E.1 Preg. 31.- Cuál es su  ingreso laboral mensual en este empleo?</t>
  </si>
  <si>
    <t>Parte E.2 Preg. 32.- En promedio, cuántas horas a la semana le dedica a este empleo?</t>
  </si>
  <si>
    <t>Parte E.2 Preg. 33.- Es este su primer trabajo después de graduarse?</t>
  </si>
  <si>
    <t>Parte E.2 preg. 34.- A los cuántos meses después de graduarse comenzó a trabajar de manera independiente?</t>
  </si>
  <si>
    <t>Parte E.2 Preg. 35.- Qué tan relacionadas están las actividades que realiza por cuenta propia con el programa que estudió?</t>
  </si>
  <si>
    <t>Parte E.2 Preg. 36.- Cuál de las siguientes formas de trabajo realiza por cuenta propia?</t>
  </si>
  <si>
    <t>Parte E.2 Preg. 37.- Su actividad económica es:</t>
  </si>
  <si>
    <t>Parte E.2 Preg. 38.- En promedio, cuál es el ingreso mensual que recibe por las actividades que realiza por cuenta propia?</t>
  </si>
  <si>
    <t>Parte E.3 Preg. 39.- Recibió apoyo de la institución donde estudió para la formulación o ejecución de su proyecto empresarial, finca o negocio particular?</t>
  </si>
  <si>
    <t>Parte E.3 preg. 40.- Cuál de las siguientes actividades de formación ofrecidas por la institución le pareció la más efectiva, para emprender su empresa, finca o negocio particular?</t>
  </si>
  <si>
    <t>Parte E.3 Preg. 41.- Este es su primer trabajo después de graduarse?</t>
  </si>
  <si>
    <t>Parte E.3 Preg. 42.- A los cuantos meses después de graduarse empezó a trabajar en su empresa, finca o negocio particula</t>
  </si>
  <si>
    <t>Parte E.3 Preg. 43.- Que tan relacionadas están las actividades que realiza en su empresa, finca o negocio particular, con el programa que estudió?</t>
  </si>
  <si>
    <t>Parte E.3 Preg. 44.- Cuál es la actividad económica de su empresa, finca o negocio particular?:</t>
  </si>
  <si>
    <t>Parte E.3 Preg. 45.- Cuál es el ingreso promedio mensual que le corresponde por las actividades en su empresa, finca o negocio particular?</t>
  </si>
  <si>
    <t>Parte E.4 Preg. 46.- Usted se encuentra estudiando en este momento?</t>
  </si>
  <si>
    <t>Parte E.4 Preg. 47.- Qué está estudiando?</t>
  </si>
  <si>
    <t>Parte E.4 Preg. 48.- Cuantos meses de experiencia laboral ha acumulado después de graduarse?</t>
  </si>
  <si>
    <t>Parte E.4 Preg. 49.- Teniendo en cuenta todos los aspectos, hasta qué punto su situación laboral coincide con las expectativas que tenía cuando empezó sus estudios?</t>
  </si>
  <si>
    <t>Parte E.4 Preg. 50.- Qué tan útiles has sido los conocimientos, habilidades y destrezas aprendidas en su programa en los dos sigientes aspectos?EN SU TRABAJO</t>
  </si>
  <si>
    <t>Parte E.4 Preg. 50.- Qué tan útiles has sido los conocimientos, habilidades y destrezas aprendidas en su programa en los dos sigientes aspectos?OTROS ASPECTOS VIDA</t>
  </si>
  <si>
    <t>Parte E.4 Preg. 51.- Su trabajo actual está contribuyendo a su desarrollo y crecimiento personal?</t>
  </si>
  <si>
    <t>Parte E.4 Preg. 52.- En su opinión, para el trabajo que está desempeñando realmente qué nivel de estudios se requiere?</t>
  </si>
  <si>
    <t>Parte E.4 Preg. 53.- Cómo califica su satisfacción con respecto a: su trabajo actual?</t>
  </si>
  <si>
    <t>Parte E.4 Preg. 53.- Cómo califica su satisfacción con respecto a: la cantidad de horas trabajadas semanales?</t>
  </si>
  <si>
    <t>Parte E.4 Preg. 53.- Cómo califica su satisfacción con respecto a: la aplicación de su conocimiento en su trabajo o empleo?</t>
  </si>
  <si>
    <t>Parte E.4 Preg. 53.- Cómo califica su satisfacción con respecto a: el pago o ganancia que recibe de su trabajo o empleo?</t>
  </si>
  <si>
    <t>Parte E.5 Preg. 54.- Después de graduarse ha trabajado al menos por dos semanas consecutivas?</t>
  </si>
  <si>
    <t>Parte E.5 Preg. 55.- Aproximadamente, Cuántos meses demoró en conseguir su primer empleo después de graduarse?</t>
  </si>
  <si>
    <t>Parte E.5 Preg. 56.- Aproximadamente, Cuántos meses ha estado buscando trabajo?</t>
  </si>
  <si>
    <t>Parte E.5 Preg. 57.- Aproximadamente, Cuántos meses ha estado buscando trabajo desde el momento en que se graduó?</t>
  </si>
  <si>
    <t>Parte E.5 Preg. 58.- Cuál considera la principal dificultad a la ahora de conseguir el trabajo que busca?</t>
  </si>
  <si>
    <t>Parte E.5 Preg. 59.- Cuál es el canal de búsqueda de empleo que considera podría ser el más efectivo?</t>
  </si>
  <si>
    <t>Parte E.6 Preg. 60.- Tiene interés en crear una empresa?</t>
  </si>
  <si>
    <t>Parte E.6 Preg. 61.- Cuál es la principal causa que lo motiva a crear empresa?</t>
  </si>
  <si>
    <t>Parte E.6 Preg. 62.- Cuál considera que es la principal dificultad para crear empresa?</t>
  </si>
  <si>
    <t>Parte F Preg. 63.- Cómo califica su sentido de pertenecia con la institución de Educación Superior donde estudió?</t>
  </si>
  <si>
    <t>Parte F Preg. 64.- Considera que por ser egresado de esta institución , ¿le han negado alguna oportunidad laboral?</t>
  </si>
  <si>
    <t>Parte F Preg. 65.- Le recomendaría a alguien formarse en la institución donde estudió?</t>
  </si>
  <si>
    <t>Parte F Preg. 66.- Cuál sería la principal razón para recomendar esta institución?</t>
  </si>
  <si>
    <t>Parte F Preg. 67.- Cuál sería la principal razón para no recomendar a esta institución?</t>
  </si>
  <si>
    <t>Parte F Preg. 68.- En el futuro, le gustaría cursar otros estudios en esta institución?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</si>
</sst>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0.0%"/>
    <numFmt numFmtId="165" formatCode="###0"/>
    <numFmt numFmtId="166" formatCode="####.0%"/>
    <numFmt numFmtId="167" formatCode="###0.00"/>
    <numFmt numFmtId="168" formatCode="####.0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11"/>
      <name val="Arial"/>
      <family val="2"/>
    </font>
    <font>
      <sz val="8"/>
      <color theme="1"/>
      <name val="Calibri"/>
      <family val="2"/>
      <scheme val="minor"/>
    </font>
    <font>
      <sz val="8"/>
      <color indexed="8"/>
      <name val="Arial"/>
      <family val="2"/>
    </font>
    <font>
      <b/>
      <sz val="14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indexed="8"/>
      <name val="Arial"/>
      <family val="2"/>
    </font>
    <font>
      <b/>
      <sz val="18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sz val="11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9"/>
      <color theme="1"/>
      <name val="Arial"/>
      <family val="2"/>
    </font>
    <font>
      <b/>
      <sz val="10"/>
      <color indexed="8"/>
      <name val="Arial Bold"/>
    </font>
    <font>
      <b/>
      <sz val="9"/>
      <color indexed="8"/>
      <name val="Arial Bold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indexed="8"/>
      <name val="Arial"/>
      <family val="2"/>
    </font>
    <font>
      <b/>
      <sz val="12"/>
      <name val="Arial"/>
      <family val="2"/>
    </font>
    <font>
      <sz val="11"/>
      <color indexed="8"/>
      <name val="Arial"/>
      <family val="2"/>
    </font>
    <font>
      <sz val="12"/>
      <color indexed="8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  <font>
      <b/>
      <sz val="17"/>
      <name val="Calibri"/>
      <family val="2"/>
      <scheme val="minor"/>
    </font>
    <font>
      <b/>
      <sz val="11"/>
      <color indexed="8"/>
      <name val="Arial"/>
      <family val="2"/>
    </font>
    <font>
      <b/>
      <sz val="14"/>
      <color indexed="8"/>
      <name val="Arial Bold"/>
    </font>
    <font>
      <b/>
      <sz val="11"/>
      <color indexed="8"/>
      <name val="Arial Bold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966FF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56">
    <border>
      <left/>
      <right/>
      <top/>
      <bottom/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64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medium">
        <color indexed="64"/>
      </left>
      <right style="thin">
        <color indexed="8"/>
      </right>
      <top style="medium">
        <color indexed="8"/>
      </top>
      <bottom/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medium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8"/>
      </bottom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medium">
        <color indexed="64"/>
      </top>
      <bottom style="medium">
        <color indexed="64"/>
      </bottom>
      <diagonal/>
    </border>
    <border>
      <left/>
      <right style="medium">
        <color indexed="8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thin">
        <color indexed="8"/>
      </right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 style="medium">
        <color indexed="64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medium">
        <color indexed="64"/>
      </left>
      <right style="thin">
        <color indexed="8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8"/>
      </left>
      <right/>
      <top style="thin">
        <color indexed="8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medium">
        <color indexed="8"/>
      </left>
      <right/>
      <top style="thin">
        <color indexed="8"/>
      </top>
      <bottom style="thin">
        <color indexed="64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8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8"/>
      </bottom>
      <diagonal/>
    </border>
    <border>
      <left style="medium">
        <color indexed="64"/>
      </left>
      <right style="thin">
        <color indexed="64"/>
      </right>
      <top/>
      <bottom style="medium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924">
    <xf numFmtId="0" fontId="0" fillId="0" borderId="0" xfId="0"/>
    <xf numFmtId="0" fontId="2" fillId="0" borderId="0" xfId="3"/>
    <xf numFmtId="164" fontId="3" fillId="0" borderId="1" xfId="2" applyNumberFormat="1" applyFont="1" applyBorder="1" applyAlignment="1">
      <alignment horizontal="center" vertical="center"/>
    </xf>
    <xf numFmtId="165" fontId="3" fillId="0" borderId="2" xfId="3" applyNumberFormat="1" applyFont="1" applyBorder="1" applyAlignment="1">
      <alignment horizontal="center" vertical="center"/>
    </xf>
    <xf numFmtId="164" fontId="3" fillId="0" borderId="3" xfId="2" applyNumberFormat="1" applyFont="1" applyBorder="1" applyAlignment="1">
      <alignment horizontal="center" vertical="center"/>
    </xf>
    <xf numFmtId="0" fontId="4" fillId="0" borderId="4" xfId="0" applyFont="1" applyBorder="1"/>
    <xf numFmtId="164" fontId="3" fillId="0" borderId="5" xfId="2" applyNumberFormat="1" applyFont="1" applyBorder="1" applyAlignment="1">
      <alignment horizontal="center" vertical="center"/>
    </xf>
    <xf numFmtId="165" fontId="3" fillId="0" borderId="6" xfId="3" applyNumberFormat="1" applyFont="1" applyBorder="1" applyAlignment="1">
      <alignment horizontal="center" vertical="center"/>
    </xf>
    <xf numFmtId="164" fontId="3" fillId="0" borderId="7" xfId="2" applyNumberFormat="1" applyFont="1" applyBorder="1" applyAlignment="1">
      <alignment horizontal="center" vertical="center"/>
    </xf>
    <xf numFmtId="0" fontId="4" fillId="0" borderId="8" xfId="0" applyFont="1" applyBorder="1"/>
    <xf numFmtId="164" fontId="3" fillId="2" borderId="9" xfId="2" applyNumberFormat="1" applyFont="1" applyFill="1" applyBorder="1" applyAlignment="1">
      <alignment horizontal="center" vertical="center"/>
    </xf>
    <xf numFmtId="165" fontId="3" fillId="2" borderId="10" xfId="0" applyNumberFormat="1" applyFont="1" applyFill="1" applyBorder="1" applyAlignment="1">
      <alignment horizontal="center" vertical="center"/>
    </xf>
    <xf numFmtId="164" fontId="3" fillId="2" borderId="11" xfId="2" applyNumberFormat="1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left" vertical="center"/>
    </xf>
    <xf numFmtId="0" fontId="4" fillId="2" borderId="8" xfId="0" applyFont="1" applyFill="1" applyBorder="1"/>
    <xf numFmtId="0" fontId="3" fillId="0" borderId="13" xfId="3" applyFont="1" applyBorder="1" applyAlignment="1">
      <alignment horizontal="center" wrapText="1"/>
    </xf>
    <xf numFmtId="0" fontId="3" fillId="0" borderId="14" xfId="3" applyFont="1" applyBorder="1" applyAlignment="1">
      <alignment horizontal="center" wrapText="1"/>
    </xf>
    <xf numFmtId="165" fontId="3" fillId="2" borderId="10" xfId="3" applyNumberFormat="1" applyFont="1" applyFill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 vertical="top"/>
    </xf>
    <xf numFmtId="165" fontId="3" fillId="0" borderId="2" xfId="0" applyNumberFormat="1" applyFont="1" applyBorder="1" applyAlignment="1">
      <alignment horizontal="center" vertical="top"/>
    </xf>
    <xf numFmtId="164" fontId="3" fillId="0" borderId="3" xfId="2" applyNumberFormat="1" applyFont="1" applyBorder="1" applyAlignment="1">
      <alignment horizontal="center" vertical="top"/>
    </xf>
    <xf numFmtId="164" fontId="3" fillId="0" borderId="5" xfId="2" applyNumberFormat="1" applyFont="1" applyBorder="1" applyAlignment="1">
      <alignment horizontal="center" vertical="top"/>
    </xf>
    <xf numFmtId="165" fontId="3" fillId="0" borderId="6" xfId="0" applyNumberFormat="1" applyFont="1" applyBorder="1" applyAlignment="1">
      <alignment horizontal="center" vertical="top"/>
    </xf>
    <xf numFmtId="164" fontId="3" fillId="0" borderId="7" xfId="2" applyNumberFormat="1" applyFont="1" applyBorder="1" applyAlignment="1">
      <alignment horizontal="center" vertical="top"/>
    </xf>
    <xf numFmtId="166" fontId="3" fillId="0" borderId="1" xfId="0" applyNumberFormat="1" applyFont="1" applyBorder="1" applyAlignment="1">
      <alignment horizontal="center" vertical="top"/>
    </xf>
    <xf numFmtId="166" fontId="3" fillId="0" borderId="3" xfId="0" applyNumberFormat="1" applyFont="1" applyBorder="1" applyAlignment="1">
      <alignment horizontal="center" vertical="top"/>
    </xf>
    <xf numFmtId="166" fontId="3" fillId="0" borderId="5" xfId="0" applyNumberFormat="1" applyFont="1" applyBorder="1" applyAlignment="1">
      <alignment horizontal="center" vertical="top"/>
    </xf>
    <xf numFmtId="166" fontId="3" fillId="0" borderId="7" xfId="0" applyNumberFormat="1" applyFont="1" applyBorder="1" applyAlignment="1">
      <alignment horizontal="center" vertical="top"/>
    </xf>
    <xf numFmtId="166" fontId="3" fillId="0" borderId="30" xfId="0" applyNumberFormat="1" applyFont="1" applyBorder="1" applyAlignment="1">
      <alignment horizontal="center" vertical="top"/>
    </xf>
    <xf numFmtId="165" fontId="3" fillId="0" borderId="31" xfId="0" applyNumberFormat="1" applyFont="1" applyBorder="1" applyAlignment="1">
      <alignment horizontal="center" vertical="top"/>
    </xf>
    <xf numFmtId="165" fontId="3" fillId="0" borderId="2" xfId="0" applyNumberFormat="1" applyFont="1" applyBorder="1" applyAlignment="1">
      <alignment horizontal="center" vertical="center"/>
    </xf>
    <xf numFmtId="165" fontId="3" fillId="0" borderId="6" xfId="0" applyNumberFormat="1" applyFont="1" applyBorder="1" applyAlignment="1">
      <alignment horizontal="center" vertical="center"/>
    </xf>
    <xf numFmtId="164" fontId="3" fillId="2" borderId="9" xfId="2" applyNumberFormat="1" applyFont="1" applyFill="1" applyBorder="1" applyAlignment="1">
      <alignment horizontal="center" vertical="top"/>
    </xf>
    <xf numFmtId="165" fontId="3" fillId="2" borderId="10" xfId="0" applyNumberFormat="1" applyFont="1" applyFill="1" applyBorder="1" applyAlignment="1">
      <alignment horizontal="center" vertical="top"/>
    </xf>
    <xf numFmtId="164" fontId="3" fillId="2" borderId="11" xfId="2" applyNumberFormat="1" applyFont="1" applyFill="1" applyBorder="1" applyAlignment="1">
      <alignment horizontal="center" vertical="top"/>
    </xf>
    <xf numFmtId="165" fontId="3" fillId="2" borderId="10" xfId="3" applyNumberFormat="1" applyFont="1" applyFill="1" applyBorder="1" applyAlignment="1">
      <alignment horizontal="center"/>
    </xf>
    <xf numFmtId="166" fontId="3" fillId="2" borderId="9" xfId="0" applyNumberFormat="1" applyFont="1" applyFill="1" applyBorder="1" applyAlignment="1">
      <alignment horizontal="center" vertical="top"/>
    </xf>
    <xf numFmtId="166" fontId="3" fillId="2" borderId="11" xfId="0" applyNumberFormat="1" applyFont="1" applyFill="1" applyBorder="1" applyAlignment="1">
      <alignment horizontal="center" vertical="top"/>
    </xf>
    <xf numFmtId="165" fontId="3" fillId="0" borderId="3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165" fontId="3" fillId="0" borderId="7" xfId="0" applyNumberFormat="1" applyFont="1" applyBorder="1" applyAlignment="1">
      <alignment horizontal="center"/>
    </xf>
    <xf numFmtId="165" fontId="3" fillId="0" borderId="6" xfId="0" applyNumberFormat="1" applyFont="1" applyBorder="1" applyAlignment="1">
      <alignment horizontal="center"/>
    </xf>
    <xf numFmtId="165" fontId="3" fillId="0" borderId="0" xfId="3" applyNumberFormat="1" applyFont="1" applyBorder="1" applyAlignment="1">
      <alignment horizontal="right" vertical="top"/>
    </xf>
    <xf numFmtId="0" fontId="3" fillId="0" borderId="0" xfId="3" applyFont="1" applyBorder="1" applyAlignment="1">
      <alignment horizontal="left" vertical="top" wrapText="1"/>
    </xf>
    <xf numFmtId="0" fontId="2" fillId="0" borderId="0" xfId="3" applyFont="1" applyBorder="1" applyAlignment="1">
      <alignment vertical="center"/>
    </xf>
    <xf numFmtId="1" fontId="3" fillId="0" borderId="1" xfId="3" applyNumberFormat="1" applyFont="1" applyBorder="1" applyAlignment="1">
      <alignment horizontal="center" vertical="center"/>
    </xf>
    <xf numFmtId="1" fontId="3" fillId="0" borderId="3" xfId="3" applyNumberFormat="1" applyFont="1" applyBorder="1" applyAlignment="1">
      <alignment horizontal="center" vertical="center" wrapText="1"/>
    </xf>
    <xf numFmtId="1" fontId="3" fillId="0" borderId="2" xfId="3" applyNumberFormat="1" applyFont="1" applyBorder="1" applyAlignment="1">
      <alignment horizontal="center" vertical="center" wrapText="1"/>
    </xf>
    <xf numFmtId="1" fontId="3" fillId="0" borderId="5" xfId="3" applyNumberFormat="1" applyFont="1" applyBorder="1" applyAlignment="1">
      <alignment horizontal="center" vertical="center"/>
    </xf>
    <xf numFmtId="1" fontId="3" fillId="0" borderId="7" xfId="3" applyNumberFormat="1" applyFont="1" applyBorder="1" applyAlignment="1">
      <alignment horizontal="center" vertical="center" wrapText="1"/>
    </xf>
    <xf numFmtId="1" fontId="3" fillId="0" borderId="6" xfId="3" applyNumberFormat="1" applyFont="1" applyBorder="1" applyAlignment="1">
      <alignment horizontal="center" vertical="center" wrapText="1"/>
    </xf>
    <xf numFmtId="0" fontId="3" fillId="0" borderId="0" xfId="3" applyFont="1" applyBorder="1" applyAlignment="1">
      <alignment vertical="top" wrapText="1"/>
    </xf>
    <xf numFmtId="1" fontId="3" fillId="2" borderId="9" xfId="3" applyNumberFormat="1" applyFont="1" applyFill="1" applyBorder="1" applyAlignment="1">
      <alignment horizontal="center" vertical="center"/>
    </xf>
    <xf numFmtId="1" fontId="3" fillId="2" borderId="11" xfId="3" applyNumberFormat="1" applyFont="1" applyFill="1" applyBorder="1" applyAlignment="1">
      <alignment horizontal="center" vertical="center"/>
    </xf>
    <xf numFmtId="1" fontId="3" fillId="2" borderId="10" xfId="3" applyNumberFormat="1" applyFont="1" applyFill="1" applyBorder="1" applyAlignment="1">
      <alignment horizontal="center" vertical="center"/>
    </xf>
    <xf numFmtId="165" fontId="3" fillId="0" borderId="5" xfId="3" applyNumberFormat="1" applyFont="1" applyBorder="1" applyAlignment="1">
      <alignment horizontal="center" vertical="center"/>
    </xf>
    <xf numFmtId="165" fontId="3" fillId="0" borderId="7" xfId="3" applyNumberFormat="1" applyFont="1" applyBorder="1" applyAlignment="1">
      <alignment horizontal="center" vertical="center"/>
    </xf>
    <xf numFmtId="165" fontId="3" fillId="2" borderId="9" xfId="3" applyNumberFormat="1" applyFont="1" applyFill="1" applyBorder="1" applyAlignment="1">
      <alignment horizontal="center" vertical="center"/>
    </xf>
    <xf numFmtId="165" fontId="3" fillId="2" borderId="11" xfId="3" applyNumberFormat="1" applyFont="1" applyFill="1" applyBorder="1" applyAlignment="1">
      <alignment horizontal="center" vertical="center"/>
    </xf>
    <xf numFmtId="0" fontId="3" fillId="0" borderId="0" xfId="3" applyFont="1" applyBorder="1" applyAlignment="1">
      <alignment horizontal="center" wrapText="1"/>
    </xf>
    <xf numFmtId="0" fontId="3" fillId="4" borderId="13" xfId="3" applyFont="1" applyFill="1" applyBorder="1" applyAlignment="1">
      <alignment horizontal="center" vertical="center" wrapText="1"/>
    </xf>
    <xf numFmtId="0" fontId="3" fillId="4" borderId="14" xfId="3" applyFont="1" applyFill="1" applyBorder="1" applyAlignment="1">
      <alignment horizontal="center" vertical="center" wrapText="1"/>
    </xf>
    <xf numFmtId="0" fontId="3" fillId="4" borderId="32" xfId="3" applyFont="1" applyFill="1" applyBorder="1" applyAlignment="1">
      <alignment horizontal="center" vertical="center" wrapText="1"/>
    </xf>
    <xf numFmtId="0" fontId="3" fillId="0" borderId="0" xfId="3" applyFont="1" applyBorder="1" applyAlignment="1">
      <alignment wrapText="1"/>
    </xf>
    <xf numFmtId="0" fontId="2" fillId="0" borderId="0" xfId="3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165" fontId="3" fillId="0" borderId="3" xfId="0" applyNumberFormat="1" applyFont="1" applyBorder="1" applyAlignment="1">
      <alignment horizontal="center" vertical="top"/>
    </xf>
    <xf numFmtId="165" fontId="3" fillId="0" borderId="7" xfId="0" applyNumberFormat="1" applyFont="1" applyBorder="1" applyAlignment="1">
      <alignment horizontal="center" vertical="top"/>
    </xf>
    <xf numFmtId="166" fontId="3" fillId="0" borderId="1" xfId="0" applyNumberFormat="1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166" fontId="3" fillId="0" borderId="5" xfId="0" applyNumberFormat="1" applyFont="1" applyBorder="1" applyAlignment="1">
      <alignment horizontal="center" vertical="center"/>
    </xf>
    <xf numFmtId="166" fontId="3" fillId="0" borderId="7" xfId="0" applyNumberFormat="1" applyFont="1" applyBorder="1" applyAlignment="1">
      <alignment horizontal="center" vertical="center"/>
    </xf>
    <xf numFmtId="164" fontId="3" fillId="0" borderId="1" xfId="2" applyNumberFormat="1" applyFont="1" applyBorder="1" applyAlignment="1">
      <alignment horizontal="center"/>
    </xf>
    <xf numFmtId="164" fontId="3" fillId="0" borderId="3" xfId="2" applyNumberFormat="1" applyFont="1" applyBorder="1" applyAlignment="1">
      <alignment horizontal="center"/>
    </xf>
    <xf numFmtId="164" fontId="3" fillId="0" borderId="5" xfId="2" applyNumberFormat="1" applyFont="1" applyBorder="1" applyAlignment="1">
      <alignment horizontal="center"/>
    </xf>
    <xf numFmtId="164" fontId="3" fillId="0" borderId="7" xfId="2" applyNumberFormat="1" applyFont="1" applyBorder="1" applyAlignment="1">
      <alignment horizontal="center"/>
    </xf>
    <xf numFmtId="165" fontId="3" fillId="0" borderId="1" xfId="3" applyNumberFormat="1" applyFont="1" applyBorder="1" applyAlignment="1">
      <alignment horizontal="center" vertical="center"/>
    </xf>
    <xf numFmtId="0" fontId="3" fillId="4" borderId="34" xfId="3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164" fontId="3" fillId="0" borderId="30" xfId="2" applyNumberFormat="1" applyFont="1" applyBorder="1" applyAlignment="1">
      <alignment horizontal="center" vertical="center"/>
    </xf>
    <xf numFmtId="165" fontId="3" fillId="0" borderId="31" xfId="3" applyNumberFormat="1" applyFont="1" applyBorder="1" applyAlignment="1">
      <alignment horizontal="center" vertical="center"/>
    </xf>
    <xf numFmtId="165" fontId="3" fillId="0" borderId="2" xfId="3" applyNumberFormat="1" applyFont="1" applyBorder="1" applyAlignment="1">
      <alignment horizontal="center" vertical="top"/>
    </xf>
    <xf numFmtId="165" fontId="3" fillId="0" borderId="6" xfId="3" applyNumberFormat="1" applyFont="1" applyBorder="1" applyAlignment="1">
      <alignment horizontal="center" vertical="top"/>
    </xf>
    <xf numFmtId="10" fontId="3" fillId="2" borderId="9" xfId="2" applyNumberFormat="1" applyFont="1" applyFill="1" applyBorder="1" applyAlignment="1">
      <alignment horizontal="center" vertical="center"/>
    </xf>
    <xf numFmtId="1" fontId="3" fillId="2" borderId="10" xfId="3" applyNumberFormat="1" applyFont="1" applyFill="1" applyBorder="1" applyAlignment="1">
      <alignment horizontal="center" vertical="center" wrapText="1"/>
    </xf>
    <xf numFmtId="10" fontId="3" fillId="0" borderId="1" xfId="2" applyNumberFormat="1" applyFont="1" applyBorder="1" applyAlignment="1">
      <alignment horizontal="center" vertical="center"/>
    </xf>
    <xf numFmtId="1" fontId="3" fillId="0" borderId="2" xfId="3" applyNumberFormat="1" applyFont="1" applyBorder="1" applyAlignment="1">
      <alignment horizontal="center" vertical="center"/>
    </xf>
    <xf numFmtId="10" fontId="3" fillId="0" borderId="3" xfId="2" applyNumberFormat="1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/>
    </xf>
    <xf numFmtId="1" fontId="3" fillId="0" borderId="6" xfId="3" applyNumberFormat="1" applyFont="1" applyBorder="1" applyAlignment="1">
      <alignment horizontal="center" vertical="center"/>
    </xf>
    <xf numFmtId="10" fontId="3" fillId="0" borderId="7" xfId="2" applyNumberFormat="1" applyFont="1" applyBorder="1" applyAlignment="1">
      <alignment horizontal="center" vertical="center"/>
    </xf>
    <xf numFmtId="10" fontId="3" fillId="2" borderId="11" xfId="2" applyNumberFormat="1" applyFont="1" applyFill="1" applyBorder="1" applyAlignment="1">
      <alignment horizontal="center" vertical="center"/>
    </xf>
    <xf numFmtId="10" fontId="0" fillId="0" borderId="0" xfId="2" applyNumberFormat="1" applyFont="1"/>
    <xf numFmtId="3" fontId="3" fillId="0" borderId="36" xfId="3" applyNumberFormat="1" applyFont="1" applyBorder="1" applyAlignment="1">
      <alignment horizontal="center"/>
    </xf>
    <xf numFmtId="2" fontId="3" fillId="0" borderId="3" xfId="3" applyNumberFormat="1" applyFont="1" applyBorder="1" applyAlignment="1">
      <alignment horizontal="center" wrapText="1"/>
    </xf>
    <xf numFmtId="2" fontId="3" fillId="0" borderId="37" xfId="3" applyNumberFormat="1" applyFont="1" applyBorder="1" applyAlignment="1">
      <alignment horizontal="center" wrapText="1"/>
    </xf>
    <xf numFmtId="3" fontId="3" fillId="0" borderId="38" xfId="3" applyNumberFormat="1" applyFont="1" applyBorder="1" applyAlignment="1">
      <alignment horizontal="center"/>
    </xf>
    <xf numFmtId="2" fontId="3" fillId="0" borderId="7" xfId="3" applyNumberFormat="1" applyFont="1" applyBorder="1" applyAlignment="1">
      <alignment horizontal="center" wrapText="1"/>
    </xf>
    <xf numFmtId="2" fontId="3" fillId="0" borderId="39" xfId="3" applyNumberFormat="1" applyFont="1" applyBorder="1" applyAlignment="1">
      <alignment horizontal="center" wrapText="1"/>
    </xf>
    <xf numFmtId="3" fontId="3" fillId="2" borderId="40" xfId="3" applyNumberFormat="1" applyFont="1" applyFill="1" applyBorder="1" applyAlignment="1">
      <alignment horizontal="center"/>
    </xf>
    <xf numFmtId="2" fontId="3" fillId="2" borderId="11" xfId="3" applyNumberFormat="1" applyFont="1" applyFill="1" applyBorder="1" applyAlignment="1">
      <alignment horizontal="center"/>
    </xf>
    <xf numFmtId="2" fontId="3" fillId="2" borderId="41" xfId="3" applyNumberFormat="1" applyFont="1" applyFill="1" applyBorder="1" applyAlignment="1">
      <alignment horizontal="center"/>
    </xf>
    <xf numFmtId="167" fontId="3" fillId="0" borderId="7" xfId="3" applyNumberFormat="1" applyFont="1" applyBorder="1" applyAlignment="1">
      <alignment horizontal="center" vertical="center"/>
    </xf>
    <xf numFmtId="167" fontId="3" fillId="0" borderId="39" xfId="3" applyNumberFormat="1" applyFont="1" applyBorder="1" applyAlignment="1">
      <alignment horizontal="center" vertical="center"/>
    </xf>
    <xf numFmtId="167" fontId="3" fillId="2" borderId="11" xfId="3" applyNumberFormat="1" applyFont="1" applyFill="1" applyBorder="1" applyAlignment="1">
      <alignment horizontal="center" vertical="center"/>
    </xf>
    <xf numFmtId="167" fontId="3" fillId="2" borderId="41" xfId="3" applyNumberFormat="1" applyFont="1" applyFill="1" applyBorder="1" applyAlignment="1">
      <alignment horizontal="center" vertical="center"/>
    </xf>
    <xf numFmtId="0" fontId="3" fillId="4" borderId="13" xfId="4" applyFont="1" applyFill="1" applyBorder="1" applyAlignment="1">
      <alignment horizontal="center" vertical="center" wrapText="1"/>
    </xf>
    <xf numFmtId="0" fontId="3" fillId="4" borderId="14" xfId="4" applyFont="1" applyFill="1" applyBorder="1" applyAlignment="1">
      <alignment horizontal="center" vertical="center" wrapText="1"/>
    </xf>
    <xf numFmtId="0" fontId="3" fillId="4" borderId="34" xfId="4" applyFont="1" applyFill="1" applyBorder="1" applyAlignment="1">
      <alignment horizontal="center" vertical="center" wrapText="1"/>
    </xf>
    <xf numFmtId="3" fontId="3" fillId="0" borderId="42" xfId="3" applyNumberFormat="1" applyFont="1" applyBorder="1" applyAlignment="1">
      <alignment horizontal="center" vertical="top"/>
    </xf>
    <xf numFmtId="3" fontId="3" fillId="0" borderId="30" xfId="3" applyNumberFormat="1" applyFont="1" applyBorder="1" applyAlignment="1">
      <alignment horizontal="center" vertical="top"/>
    </xf>
    <xf numFmtId="3" fontId="3" fillId="0" borderId="31" xfId="3" applyNumberFormat="1" applyFont="1" applyBorder="1" applyAlignment="1">
      <alignment horizontal="center" vertical="top"/>
    </xf>
    <xf numFmtId="3" fontId="3" fillId="0" borderId="43" xfId="3" applyNumberFormat="1" applyFont="1" applyBorder="1" applyAlignment="1">
      <alignment horizontal="center" vertical="top"/>
    </xf>
    <xf numFmtId="3" fontId="3" fillId="0" borderId="7" xfId="3" applyNumberFormat="1" applyFont="1" applyBorder="1" applyAlignment="1">
      <alignment horizontal="center" vertical="top"/>
    </xf>
    <xf numFmtId="3" fontId="3" fillId="0" borderId="6" xfId="3" applyNumberFormat="1" applyFont="1" applyBorder="1" applyAlignment="1">
      <alignment horizontal="center" vertical="top"/>
    </xf>
    <xf numFmtId="3" fontId="3" fillId="2" borderId="11" xfId="3" applyNumberFormat="1" applyFont="1" applyFill="1" applyBorder="1" applyAlignment="1">
      <alignment horizontal="center" vertical="center"/>
    </xf>
    <xf numFmtId="3" fontId="3" fillId="2" borderId="41" xfId="3" applyNumberFormat="1" applyFont="1" applyFill="1" applyBorder="1" applyAlignment="1">
      <alignment horizontal="center" vertical="center"/>
    </xf>
    <xf numFmtId="3" fontId="3" fillId="0" borderId="7" xfId="3" applyNumberFormat="1" applyFont="1" applyBorder="1" applyAlignment="1">
      <alignment horizontal="center" vertical="center"/>
    </xf>
    <xf numFmtId="3" fontId="3" fillId="0" borderId="39" xfId="3" applyNumberFormat="1" applyFont="1" applyBorder="1" applyAlignment="1">
      <alignment horizontal="center" vertical="center"/>
    </xf>
    <xf numFmtId="0" fontId="2" fillId="0" borderId="0" xfId="4"/>
    <xf numFmtId="3" fontId="3" fillId="0" borderId="44" xfId="3" applyNumberFormat="1" applyFont="1" applyBorder="1" applyAlignment="1">
      <alignment horizontal="center" vertical="center"/>
    </xf>
    <xf numFmtId="3" fontId="3" fillId="0" borderId="45" xfId="3" applyNumberFormat="1" applyFont="1" applyBorder="1" applyAlignment="1">
      <alignment horizontal="center" vertical="center"/>
    </xf>
    <xf numFmtId="3" fontId="3" fillId="2" borderId="46" xfId="3" applyNumberFormat="1" applyFont="1" applyFill="1" applyBorder="1" applyAlignment="1">
      <alignment horizontal="center" vertical="center"/>
    </xf>
    <xf numFmtId="0" fontId="3" fillId="0" borderId="34" xfId="3" applyFont="1" applyBorder="1" applyAlignment="1">
      <alignment horizontal="center" wrapText="1"/>
    </xf>
    <xf numFmtId="0" fontId="3" fillId="0" borderId="47" xfId="3" applyFont="1" applyBorder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13" fillId="0" borderId="0" xfId="3" applyFont="1" applyAlignment="1">
      <alignment horizontal="center" vertical="center" wrapText="1"/>
    </xf>
    <xf numFmtId="165" fontId="3" fillId="0" borderId="6" xfId="5" applyNumberFormat="1" applyFont="1" applyBorder="1" applyAlignment="1">
      <alignment horizontal="center" vertical="top"/>
    </xf>
    <xf numFmtId="0" fontId="3" fillId="0" borderId="52" xfId="3" applyFont="1" applyBorder="1" applyAlignment="1">
      <alignment horizontal="center" wrapText="1"/>
    </xf>
    <xf numFmtId="0" fontId="3" fillId="0" borderId="53" xfId="3" applyFont="1" applyBorder="1" applyAlignment="1">
      <alignment horizontal="center" wrapText="1"/>
    </xf>
    <xf numFmtId="0" fontId="3" fillId="0" borderId="54" xfId="3" applyFont="1" applyBorder="1" applyAlignment="1">
      <alignment horizontal="center" wrapText="1"/>
    </xf>
    <xf numFmtId="0" fontId="3" fillId="0" borderId="55" xfId="3" applyFont="1" applyBorder="1" applyAlignment="1">
      <alignment horizontal="center" wrapText="1"/>
    </xf>
    <xf numFmtId="0" fontId="3" fillId="0" borderId="56" xfId="3" applyFont="1" applyBorder="1" applyAlignment="1">
      <alignment horizontal="center" wrapText="1"/>
    </xf>
    <xf numFmtId="0" fontId="16" fillId="0" borderId="4" xfId="0" applyFont="1" applyBorder="1"/>
    <xf numFmtId="0" fontId="16" fillId="0" borderId="8" xfId="0" applyFont="1" applyBorder="1"/>
    <xf numFmtId="0" fontId="16" fillId="2" borderId="12" xfId="0" applyFont="1" applyFill="1" applyBorder="1" applyAlignment="1">
      <alignment horizontal="left" vertical="center"/>
    </xf>
    <xf numFmtId="0" fontId="16" fillId="2" borderId="8" xfId="0" applyFont="1" applyFill="1" applyBorder="1"/>
    <xf numFmtId="0" fontId="17" fillId="0" borderId="57" xfId="3" applyFont="1" applyBorder="1" applyAlignment="1">
      <alignment horizontal="center" wrapText="1"/>
    </xf>
    <xf numFmtId="0" fontId="17" fillId="0" borderId="58" xfId="3" applyFont="1" applyBorder="1" applyAlignment="1">
      <alignment horizontal="center" wrapText="1"/>
    </xf>
    <xf numFmtId="0" fontId="17" fillId="0" borderId="59" xfId="3" applyFont="1" applyBorder="1" applyAlignment="1">
      <alignment horizontal="center" wrapText="1"/>
    </xf>
    <xf numFmtId="0" fontId="17" fillId="0" borderId="60" xfId="3" applyFont="1" applyBorder="1" applyAlignment="1">
      <alignment horizontal="center" wrapText="1"/>
    </xf>
    <xf numFmtId="0" fontId="17" fillId="0" borderId="61" xfId="3" applyFont="1" applyBorder="1" applyAlignment="1">
      <alignment horizontal="center" wrapText="1"/>
    </xf>
    <xf numFmtId="3" fontId="3" fillId="0" borderId="2" xfId="3" applyNumberFormat="1" applyFont="1" applyBorder="1" applyAlignment="1">
      <alignment horizontal="center" vertical="center"/>
    </xf>
    <xf numFmtId="3" fontId="3" fillId="0" borderId="6" xfId="3" applyNumberFormat="1" applyFont="1" applyBorder="1" applyAlignment="1">
      <alignment horizontal="center" vertical="center"/>
    </xf>
    <xf numFmtId="3" fontId="3" fillId="2" borderId="10" xfId="3" applyNumberFormat="1" applyFont="1" applyFill="1" applyBorder="1" applyAlignment="1">
      <alignment horizontal="center" vertical="center"/>
    </xf>
    <xf numFmtId="0" fontId="17" fillId="0" borderId="13" xfId="3" applyFont="1" applyBorder="1" applyAlignment="1">
      <alignment horizontal="center" wrapText="1"/>
    </xf>
    <xf numFmtId="0" fontId="17" fillId="0" borderId="14" xfId="3" applyFont="1" applyBorder="1" applyAlignment="1">
      <alignment horizontal="center" wrapText="1"/>
    </xf>
    <xf numFmtId="0" fontId="17" fillId="0" borderId="47" xfId="3" applyFont="1" applyBorder="1" applyAlignment="1">
      <alignment horizontal="center" wrapText="1"/>
    </xf>
    <xf numFmtId="0" fontId="0" fillId="0" borderId="52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5" xfId="0" applyBorder="1" applyAlignment="1">
      <alignment horizontal="center"/>
    </xf>
    <xf numFmtId="164" fontId="18" fillId="0" borderId="3" xfId="2" applyNumberFormat="1" applyFont="1" applyBorder="1" applyAlignment="1">
      <alignment horizontal="center" vertical="center"/>
    </xf>
    <xf numFmtId="3" fontId="18" fillId="0" borderId="2" xfId="3" applyNumberFormat="1" applyFont="1" applyBorder="1" applyAlignment="1">
      <alignment horizontal="center" vertical="center"/>
    </xf>
    <xf numFmtId="164" fontId="18" fillId="0" borderId="7" xfId="2" applyNumberFormat="1" applyFont="1" applyBorder="1" applyAlignment="1">
      <alignment horizontal="center" vertical="center"/>
    </xf>
    <xf numFmtId="3" fontId="18" fillId="0" borderId="6" xfId="3" applyNumberFormat="1" applyFont="1" applyBorder="1" applyAlignment="1">
      <alignment horizontal="center" vertical="center"/>
    </xf>
    <xf numFmtId="164" fontId="18" fillId="2" borderId="7" xfId="2" applyNumberFormat="1" applyFont="1" applyFill="1" applyBorder="1" applyAlignment="1">
      <alignment horizontal="center" vertical="center"/>
    </xf>
    <xf numFmtId="3" fontId="18" fillId="2" borderId="6" xfId="3" applyNumberFormat="1" applyFont="1" applyFill="1" applyBorder="1" applyAlignment="1">
      <alignment horizontal="center" vertical="center"/>
    </xf>
    <xf numFmtId="0" fontId="0" fillId="0" borderId="0" xfId="0" applyFill="1"/>
    <xf numFmtId="0" fontId="0" fillId="0" borderId="4" xfId="0" applyBorder="1"/>
    <xf numFmtId="0" fontId="0" fillId="0" borderId="8" xfId="0" applyBorder="1"/>
    <xf numFmtId="164" fontId="3" fillId="2" borderId="5" xfId="2" applyNumberFormat="1" applyFont="1" applyFill="1" applyBorder="1" applyAlignment="1">
      <alignment horizontal="center" vertical="center"/>
    </xf>
    <xf numFmtId="165" fontId="3" fillId="2" borderId="6" xfId="3" applyNumberFormat="1" applyFont="1" applyFill="1" applyBorder="1" applyAlignment="1">
      <alignment horizontal="center" vertical="center"/>
    </xf>
    <xf numFmtId="164" fontId="3" fillId="2" borderId="7" xfId="2" applyNumberFormat="1" applyFont="1" applyFill="1" applyBorder="1" applyAlignment="1">
      <alignment horizontal="center" vertical="center"/>
    </xf>
    <xf numFmtId="0" fontId="0" fillId="2" borderId="12" xfId="0" applyFill="1" applyBorder="1" applyAlignment="1">
      <alignment horizontal="left" vertical="center"/>
    </xf>
    <xf numFmtId="0" fontId="0" fillId="2" borderId="8" xfId="0" applyFill="1" applyBorder="1"/>
    <xf numFmtId="164" fontId="0" fillId="0" borderId="69" xfId="2" applyNumberFormat="1" applyFont="1" applyBorder="1" applyAlignment="1">
      <alignment horizontal="center" vertical="center"/>
    </xf>
    <xf numFmtId="3" fontId="0" fillId="0" borderId="69" xfId="0" applyNumberFormat="1" applyFont="1" applyBorder="1" applyAlignment="1">
      <alignment horizontal="center" vertical="center"/>
    </xf>
    <xf numFmtId="164" fontId="0" fillId="0" borderId="70" xfId="2" applyNumberFormat="1" applyFont="1" applyBorder="1" applyAlignment="1">
      <alignment horizontal="center" vertical="center"/>
    </xf>
    <xf numFmtId="164" fontId="0" fillId="0" borderId="71" xfId="2" applyNumberFormat="1" applyFont="1" applyBorder="1" applyAlignment="1">
      <alignment horizontal="center" vertical="center"/>
    </xf>
    <xf numFmtId="3" fontId="0" fillId="0" borderId="71" xfId="0" applyNumberFormat="1" applyFont="1" applyBorder="1" applyAlignment="1">
      <alignment horizontal="center" vertical="center"/>
    </xf>
    <xf numFmtId="164" fontId="0" fillId="0" borderId="72" xfId="2" applyNumberFormat="1" applyFont="1" applyBorder="1" applyAlignment="1">
      <alignment horizontal="center" vertical="center"/>
    </xf>
    <xf numFmtId="164" fontId="0" fillId="2" borderId="73" xfId="2" applyNumberFormat="1" applyFont="1" applyFill="1" applyBorder="1" applyAlignment="1">
      <alignment horizontal="center" vertical="center"/>
    </xf>
    <xf numFmtId="3" fontId="0" fillId="2" borderId="73" xfId="0" applyNumberFormat="1" applyFont="1" applyFill="1" applyBorder="1" applyAlignment="1">
      <alignment horizontal="center" vertical="center"/>
    </xf>
    <xf numFmtId="164" fontId="0" fillId="2" borderId="74" xfId="2" applyNumberFormat="1" applyFont="1" applyFill="1" applyBorder="1" applyAlignment="1">
      <alignment horizontal="center" vertical="center"/>
    </xf>
    <xf numFmtId="3" fontId="0" fillId="0" borderId="69" xfId="0" applyNumberFormat="1" applyBorder="1" applyAlignment="1">
      <alignment horizontal="center" vertical="center"/>
    </xf>
    <xf numFmtId="3" fontId="0" fillId="0" borderId="71" xfId="0" applyNumberFormat="1" applyBorder="1" applyAlignment="1">
      <alignment horizontal="center" vertical="center"/>
    </xf>
    <xf numFmtId="3" fontId="0" fillId="2" borderId="73" xfId="0" applyNumberFormat="1" applyFill="1" applyBorder="1" applyAlignment="1">
      <alignment horizontal="center" vertical="center"/>
    </xf>
    <xf numFmtId="164" fontId="0" fillId="0" borderId="57" xfId="2" applyNumberFormat="1" applyFont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164" fontId="0" fillId="0" borderId="59" xfId="2" applyNumberFormat="1" applyFont="1" applyBorder="1" applyAlignment="1">
      <alignment horizontal="center" vertical="center"/>
    </xf>
    <xf numFmtId="164" fontId="3" fillId="0" borderId="0" xfId="2" applyNumberFormat="1" applyFont="1" applyBorder="1" applyAlignment="1">
      <alignment horizontal="center" vertical="center"/>
    </xf>
    <xf numFmtId="165" fontId="3" fillId="0" borderId="0" xfId="3" applyNumberFormat="1" applyFont="1" applyBorder="1" applyAlignment="1">
      <alignment horizontal="center" vertical="center"/>
    </xf>
    <xf numFmtId="0" fontId="0" fillId="0" borderId="0" xfId="0" applyBorder="1"/>
    <xf numFmtId="3" fontId="3" fillId="2" borderId="6" xfId="3" applyNumberFormat="1" applyFont="1" applyFill="1" applyBorder="1" applyAlignment="1">
      <alignment horizontal="center" vertical="center"/>
    </xf>
    <xf numFmtId="0" fontId="3" fillId="0" borderId="54" xfId="3" applyFont="1" applyBorder="1" applyAlignment="1">
      <alignment horizontal="center" vertical="center" wrapText="1"/>
    </xf>
    <xf numFmtId="168" fontId="3" fillId="0" borderId="0" xfId="3" applyNumberFormat="1" applyFont="1" applyBorder="1" applyAlignment="1">
      <alignment horizontal="right" vertical="top"/>
    </xf>
    <xf numFmtId="3" fontId="3" fillId="3" borderId="79" xfId="3" applyNumberFormat="1" applyFont="1" applyFill="1" applyBorder="1" applyAlignment="1">
      <alignment horizontal="center" vertical="center"/>
    </xf>
    <xf numFmtId="3" fontId="3" fillId="3" borderId="80" xfId="3" applyNumberFormat="1" applyFont="1" applyFill="1" applyBorder="1" applyAlignment="1">
      <alignment horizontal="center" vertical="center"/>
    </xf>
    <xf numFmtId="3" fontId="3" fillId="3" borderId="81" xfId="3" applyNumberFormat="1" applyFont="1" applyFill="1" applyBorder="1" applyAlignment="1">
      <alignment horizontal="center" vertical="center"/>
    </xf>
    <xf numFmtId="0" fontId="3" fillId="3" borderId="82" xfId="3" applyFont="1" applyFill="1" applyBorder="1" applyAlignment="1">
      <alignment horizontal="center" vertical="center" wrapText="1"/>
    </xf>
    <xf numFmtId="0" fontId="3" fillId="3" borderId="83" xfId="3" applyFont="1" applyFill="1" applyBorder="1" applyAlignment="1">
      <alignment horizontal="center" vertical="center" wrapText="1"/>
    </xf>
    <xf numFmtId="164" fontId="3" fillId="0" borderId="43" xfId="2" applyNumberFormat="1" applyFont="1" applyBorder="1" applyAlignment="1">
      <alignment horizontal="center" vertical="center"/>
    </xf>
    <xf numFmtId="164" fontId="3" fillId="0" borderId="84" xfId="2" applyNumberFormat="1" applyFont="1" applyBorder="1" applyAlignment="1">
      <alignment horizontal="center" vertical="center"/>
    </xf>
    <xf numFmtId="0" fontId="3" fillId="0" borderId="57" xfId="3" applyFont="1" applyBorder="1" applyAlignment="1">
      <alignment horizontal="left" vertical="top" wrapText="1"/>
    </xf>
    <xf numFmtId="164" fontId="2" fillId="0" borderId="43" xfId="2" applyNumberFormat="1" applyFont="1" applyBorder="1" applyAlignment="1">
      <alignment horizontal="center" vertical="center"/>
    </xf>
    <xf numFmtId="0" fontId="3" fillId="0" borderId="52" xfId="3" applyFont="1" applyBorder="1" applyAlignment="1">
      <alignment horizontal="left" vertical="top" wrapText="1"/>
    </xf>
    <xf numFmtId="3" fontId="3" fillId="0" borderId="86" xfId="3" applyNumberFormat="1" applyFont="1" applyBorder="1" applyAlignment="1">
      <alignment horizontal="center" vertical="center"/>
    </xf>
    <xf numFmtId="3" fontId="3" fillId="0" borderId="11" xfId="3" applyNumberFormat="1" applyFont="1" applyBorder="1" applyAlignment="1">
      <alignment horizontal="center" vertical="center"/>
    </xf>
    <xf numFmtId="3" fontId="3" fillId="0" borderId="87" xfId="3" applyNumberFormat="1" applyFont="1" applyBorder="1" applyAlignment="1">
      <alignment horizontal="center" vertical="center"/>
    </xf>
    <xf numFmtId="0" fontId="3" fillId="0" borderId="75" xfId="3" applyFont="1" applyBorder="1" applyAlignment="1">
      <alignment horizontal="left" vertical="top" wrapText="1"/>
    </xf>
    <xf numFmtId="164" fontId="3" fillId="0" borderId="89" xfId="2" applyNumberFormat="1" applyFont="1" applyBorder="1" applyAlignment="1">
      <alignment horizontal="center" vertical="center"/>
    </xf>
    <xf numFmtId="164" fontId="3" fillId="0" borderId="90" xfId="2" applyNumberFormat="1" applyFont="1" applyBorder="1" applyAlignment="1">
      <alignment horizontal="center" vertical="center"/>
    </xf>
    <xf numFmtId="164" fontId="3" fillId="0" borderId="91" xfId="2" applyNumberFormat="1" applyFont="1" applyBorder="1" applyAlignment="1">
      <alignment horizontal="center" vertical="center"/>
    </xf>
    <xf numFmtId="0" fontId="3" fillId="0" borderId="92" xfId="3" applyFont="1" applyBorder="1" applyAlignment="1">
      <alignment horizontal="left" vertical="top" wrapText="1"/>
    </xf>
    <xf numFmtId="0" fontId="0" fillId="0" borderId="0" xfId="0" applyFill="1" applyBorder="1"/>
    <xf numFmtId="1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3" fillId="3" borderId="14" xfId="3" applyFont="1" applyFill="1" applyBorder="1" applyAlignment="1">
      <alignment horizontal="center" wrapText="1"/>
    </xf>
    <xf numFmtId="0" fontId="3" fillId="3" borderId="34" xfId="3" applyFont="1" applyFill="1" applyBorder="1" applyAlignment="1">
      <alignment horizontal="center" wrapText="1"/>
    </xf>
    <xf numFmtId="164" fontId="0" fillId="0" borderId="70" xfId="0" applyNumberFormat="1" applyBorder="1" applyAlignment="1">
      <alignment horizontal="center"/>
    </xf>
    <xf numFmtId="0" fontId="0" fillId="0" borderId="69" xfId="0" applyBorder="1" applyAlignment="1">
      <alignment horizontal="center"/>
    </xf>
    <xf numFmtId="164" fontId="0" fillId="0" borderId="69" xfId="0" applyNumberFormat="1" applyBorder="1" applyAlignment="1">
      <alignment horizontal="center"/>
    </xf>
    <xf numFmtId="164" fontId="0" fillId="0" borderId="72" xfId="0" applyNumberFormat="1" applyBorder="1" applyAlignment="1">
      <alignment horizontal="center"/>
    </xf>
    <xf numFmtId="0" fontId="0" fillId="0" borderId="71" xfId="0" applyBorder="1" applyAlignment="1">
      <alignment horizontal="center"/>
    </xf>
    <xf numFmtId="164" fontId="0" fillId="0" borderId="71" xfId="0" applyNumberFormat="1" applyBorder="1" applyAlignment="1">
      <alignment horizontal="center"/>
    </xf>
    <xf numFmtId="164" fontId="0" fillId="2" borderId="74" xfId="0" applyNumberFormat="1" applyFill="1" applyBorder="1" applyAlignment="1">
      <alignment horizontal="center"/>
    </xf>
    <xf numFmtId="0" fontId="0" fillId="2" borderId="73" xfId="0" applyFill="1" applyBorder="1" applyAlignment="1">
      <alignment horizontal="center"/>
    </xf>
    <xf numFmtId="164" fontId="0" fillId="2" borderId="73" xfId="0" applyNumberFormat="1" applyFill="1" applyBorder="1" applyAlignment="1">
      <alignment horizontal="center"/>
    </xf>
    <xf numFmtId="0" fontId="0" fillId="2" borderId="12" xfId="0" applyFill="1" applyBorder="1"/>
    <xf numFmtId="0" fontId="3" fillId="0" borderId="0" xfId="3" applyFont="1" applyFill="1" applyBorder="1" applyAlignment="1">
      <alignment horizontal="center" vertical="center" wrapText="1"/>
    </xf>
    <xf numFmtId="0" fontId="0" fillId="0" borderId="0" xfId="0" applyFill="1" applyBorder="1" applyAlignment="1"/>
    <xf numFmtId="0" fontId="0" fillId="0" borderId="0" xfId="0" applyFill="1" applyBorder="1" applyAlignment="1">
      <alignment vertical="top" wrapText="1"/>
    </xf>
    <xf numFmtId="0" fontId="0" fillId="0" borderId="57" xfId="0" applyBorder="1" applyAlignment="1">
      <alignment horizontal="center"/>
    </xf>
    <xf numFmtId="0" fontId="0" fillId="0" borderId="59" xfId="0" applyBorder="1" applyAlignment="1">
      <alignment horizontal="center"/>
    </xf>
    <xf numFmtId="164" fontId="0" fillId="0" borderId="70" xfId="0" applyNumberFormat="1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0" fillId="0" borderId="105" xfId="0" applyBorder="1" applyAlignment="1">
      <alignment horizontal="center" vertical="center"/>
    </xf>
    <xf numFmtId="0" fontId="0" fillId="0" borderId="15" xfId="0" applyBorder="1"/>
    <xf numFmtId="164" fontId="0" fillId="0" borderId="72" xfId="0" applyNumberFormat="1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164" fontId="0" fillId="0" borderId="71" xfId="0" applyNumberFormat="1" applyBorder="1" applyAlignment="1">
      <alignment horizontal="center" vertical="center"/>
    </xf>
    <xf numFmtId="0" fontId="0" fillId="0" borderId="106" xfId="0" applyBorder="1" applyAlignment="1">
      <alignment horizontal="center" vertical="center"/>
    </xf>
    <xf numFmtId="0" fontId="0" fillId="0" borderId="21" xfId="0" applyBorder="1"/>
    <xf numFmtId="164" fontId="0" fillId="2" borderId="74" xfId="0" applyNumberFormat="1" applyFill="1" applyBorder="1" applyAlignment="1">
      <alignment horizontal="center" vertical="center"/>
    </xf>
    <xf numFmtId="0" fontId="0" fillId="2" borderId="73" xfId="0" applyFill="1" applyBorder="1" applyAlignment="1">
      <alignment horizontal="center" vertical="center"/>
    </xf>
    <xf numFmtId="164" fontId="0" fillId="2" borderId="73" xfId="0" applyNumberFormat="1" applyFill="1" applyBorder="1" applyAlignment="1">
      <alignment horizontal="center" vertical="center"/>
    </xf>
    <xf numFmtId="0" fontId="0" fillId="2" borderId="49" xfId="0" applyFill="1" applyBorder="1"/>
    <xf numFmtId="0" fontId="0" fillId="0" borderId="107" xfId="0" applyBorder="1" applyAlignment="1">
      <alignment horizontal="center"/>
    </xf>
    <xf numFmtId="0" fontId="0" fillId="0" borderId="0" xfId="0" applyAlignment="1">
      <alignment vertical="top" wrapText="1"/>
    </xf>
    <xf numFmtId="10" fontId="0" fillId="0" borderId="0" xfId="0" applyNumberFormat="1" applyFill="1" applyBorder="1"/>
    <xf numFmtId="0" fontId="0" fillId="0" borderId="4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2" borderId="73" xfId="0" applyFill="1" applyBorder="1" applyAlignment="1">
      <alignment horizontal="left" vertical="center"/>
    </xf>
    <xf numFmtId="0" fontId="0" fillId="0" borderId="57" xfId="0" applyBorder="1" applyAlignment="1">
      <alignment horizontal="center" vertical="center"/>
    </xf>
    <xf numFmtId="0" fontId="0" fillId="0" borderId="107" xfId="0" applyBorder="1" applyAlignment="1">
      <alignment horizontal="center" vertical="center"/>
    </xf>
    <xf numFmtId="0" fontId="2" fillId="0" borderId="0" xfId="3" applyFill="1" applyBorder="1" applyAlignment="1"/>
    <xf numFmtId="167" fontId="3" fillId="0" borderId="0" xfId="3" applyNumberFormat="1" applyFont="1" applyBorder="1" applyAlignment="1">
      <alignment horizontal="center" vertical="center"/>
    </xf>
    <xf numFmtId="164" fontId="0" fillId="0" borderId="0" xfId="2" applyNumberFormat="1" applyFont="1"/>
    <xf numFmtId="1" fontId="0" fillId="0" borderId="0" xfId="0" applyNumberFormat="1" applyAlignment="1">
      <alignment horizontal="center"/>
    </xf>
    <xf numFmtId="1" fontId="0" fillId="0" borderId="0" xfId="2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3" fontId="3" fillId="0" borderId="3" xfId="3" applyNumberFormat="1" applyFont="1" applyBorder="1" applyAlignment="1">
      <alignment horizontal="center" vertical="center"/>
    </xf>
    <xf numFmtId="0" fontId="3" fillId="0" borderId="110" xfId="3" applyFont="1" applyBorder="1" applyAlignment="1">
      <alignment horizontal="left" vertical="top" wrapText="1"/>
    </xf>
    <xf numFmtId="0" fontId="3" fillId="0" borderId="67" xfId="3" applyFont="1" applyBorder="1" applyAlignment="1">
      <alignment horizontal="left" vertical="top" wrapText="1"/>
    </xf>
    <xf numFmtId="164" fontId="0" fillId="0" borderId="0" xfId="2" applyNumberFormat="1" applyFont="1" applyAlignment="1">
      <alignment horizontal="left"/>
    </xf>
    <xf numFmtId="0" fontId="3" fillId="2" borderId="111" xfId="3" applyFont="1" applyFill="1" applyBorder="1" applyAlignment="1">
      <alignment vertical="top" wrapText="1"/>
    </xf>
    <xf numFmtId="0" fontId="3" fillId="0" borderId="112" xfId="3" applyFont="1" applyFill="1" applyBorder="1" applyAlignment="1">
      <alignment horizontal="center" vertical="center" wrapText="1"/>
    </xf>
    <xf numFmtId="0" fontId="3" fillId="0" borderId="13" xfId="3" applyFont="1" applyBorder="1" applyAlignment="1">
      <alignment horizontal="center" vertical="center" wrapText="1"/>
    </xf>
    <xf numFmtId="0" fontId="3" fillId="0" borderId="14" xfId="3" applyFont="1" applyBorder="1" applyAlignment="1">
      <alignment horizontal="center" vertical="center" wrapText="1"/>
    </xf>
    <xf numFmtId="3" fontId="23" fillId="3" borderId="113" xfId="3" applyNumberFormat="1" applyFont="1" applyFill="1" applyBorder="1" applyAlignment="1">
      <alignment horizontal="center" vertical="center"/>
    </xf>
    <xf numFmtId="3" fontId="23" fillId="3" borderId="114" xfId="3" applyNumberFormat="1" applyFont="1" applyFill="1" applyBorder="1" applyAlignment="1">
      <alignment horizontal="center" vertical="center"/>
    </xf>
    <xf numFmtId="3" fontId="23" fillId="3" borderId="115" xfId="3" applyNumberFormat="1" applyFont="1" applyFill="1" applyBorder="1" applyAlignment="1">
      <alignment horizontal="center" vertical="center"/>
    </xf>
    <xf numFmtId="0" fontId="3" fillId="3" borderId="116" xfId="3" applyFont="1" applyFill="1" applyBorder="1" applyAlignment="1">
      <alignment horizontal="left" vertical="center" wrapText="1"/>
    </xf>
    <xf numFmtId="0" fontId="3" fillId="3" borderId="117" xfId="3" applyFont="1" applyFill="1" applyBorder="1" applyAlignment="1">
      <alignment vertical="top" wrapText="1"/>
    </xf>
    <xf numFmtId="0" fontId="19" fillId="0" borderId="0" xfId="6" applyFont="1" applyFill="1" applyBorder="1" applyAlignment="1">
      <alignment vertical="center" wrapText="1"/>
    </xf>
    <xf numFmtId="164" fontId="3" fillId="0" borderId="44" xfId="2" applyNumberFormat="1" applyFont="1" applyBorder="1" applyAlignment="1">
      <alignment horizontal="center" vertical="center"/>
    </xf>
    <xf numFmtId="0" fontId="3" fillId="0" borderId="118" xfId="3" applyFont="1" applyBorder="1" applyAlignment="1">
      <alignment vertical="center" wrapText="1"/>
    </xf>
    <xf numFmtId="164" fontId="2" fillId="0" borderId="5" xfId="2" applyNumberFormat="1" applyFont="1" applyBorder="1" applyAlignment="1">
      <alignment horizontal="center" vertical="center"/>
    </xf>
    <xf numFmtId="164" fontId="3" fillId="0" borderId="45" xfId="2" applyNumberFormat="1" applyFont="1" applyBorder="1" applyAlignment="1">
      <alignment horizontal="center" vertical="center"/>
    </xf>
    <xf numFmtId="0" fontId="7" fillId="0" borderId="100" xfId="3" applyFont="1" applyBorder="1" applyAlignment="1">
      <alignment vertical="center" wrapText="1"/>
    </xf>
    <xf numFmtId="3" fontId="3" fillId="0" borderId="113" xfId="3" applyNumberFormat="1" applyFont="1" applyBorder="1" applyAlignment="1">
      <alignment horizontal="center" vertical="center"/>
    </xf>
    <xf numFmtId="3" fontId="3" fillId="0" borderId="114" xfId="3" applyNumberFormat="1" applyFont="1" applyBorder="1" applyAlignment="1">
      <alignment horizontal="center" vertical="center"/>
    </xf>
    <xf numFmtId="3" fontId="3" fillId="0" borderId="115" xfId="3" applyNumberFormat="1" applyFont="1" applyBorder="1" applyAlignment="1">
      <alignment horizontal="center" vertical="center"/>
    </xf>
    <xf numFmtId="0" fontId="3" fillId="0" borderId="103" xfId="3" applyFont="1" applyBorder="1" applyAlignment="1">
      <alignment vertical="center" wrapText="1"/>
    </xf>
    <xf numFmtId="0" fontId="3" fillId="3" borderId="63" xfId="3" applyFont="1" applyFill="1" applyBorder="1" applyAlignment="1">
      <alignment horizontal="center" wrapText="1"/>
    </xf>
    <xf numFmtId="0" fontId="3" fillId="3" borderId="62" xfId="3" applyFont="1" applyFill="1" applyBorder="1" applyAlignment="1">
      <alignment horizontal="center" wrapText="1"/>
    </xf>
    <xf numFmtId="2" fontId="3" fillId="0" borderId="3" xfId="3" applyNumberFormat="1" applyFont="1" applyBorder="1" applyAlignment="1">
      <alignment horizontal="center" vertical="center" wrapText="1"/>
    </xf>
    <xf numFmtId="2" fontId="3" fillId="0" borderId="2" xfId="3" applyNumberFormat="1" applyFont="1" applyBorder="1" applyAlignment="1">
      <alignment horizontal="center" vertical="center" wrapText="1"/>
    </xf>
    <xf numFmtId="0" fontId="3" fillId="0" borderId="110" xfId="3" applyFont="1" applyBorder="1" applyAlignment="1">
      <alignment vertical="top" wrapText="1"/>
    </xf>
    <xf numFmtId="2" fontId="3" fillId="0" borderId="7" xfId="3" applyNumberFormat="1" applyFont="1" applyBorder="1" applyAlignment="1">
      <alignment horizontal="center" vertical="center" wrapText="1"/>
    </xf>
    <xf numFmtId="2" fontId="3" fillId="0" borderId="6" xfId="3" applyNumberFormat="1" applyFont="1" applyBorder="1" applyAlignment="1">
      <alignment horizontal="center" vertical="center" wrapText="1"/>
    </xf>
    <xf numFmtId="0" fontId="3" fillId="0" borderId="67" xfId="3" applyFont="1" applyBorder="1" applyAlignment="1">
      <alignment vertical="top" wrapText="1"/>
    </xf>
    <xf numFmtId="1" fontId="3" fillId="2" borderId="40" xfId="3" applyNumberFormat="1" applyFont="1" applyFill="1" applyBorder="1" applyAlignment="1">
      <alignment horizontal="center" vertical="center" wrapText="1"/>
    </xf>
    <xf numFmtId="2" fontId="3" fillId="2" borderId="121" xfId="3" applyNumberFormat="1" applyFont="1" applyFill="1" applyBorder="1" applyAlignment="1">
      <alignment horizontal="center" vertical="center" wrapText="1"/>
    </xf>
    <xf numFmtId="2" fontId="3" fillId="2" borderId="122" xfId="3" applyNumberFormat="1" applyFont="1" applyFill="1" applyBorder="1" applyAlignment="1">
      <alignment horizontal="center" vertical="center" wrapText="1"/>
    </xf>
    <xf numFmtId="2" fontId="3" fillId="2" borderId="41" xfId="3" applyNumberFormat="1" applyFont="1" applyFill="1" applyBorder="1" applyAlignment="1">
      <alignment horizontal="center" vertical="center" wrapText="1"/>
    </xf>
    <xf numFmtId="2" fontId="3" fillId="0" borderId="7" xfId="3" applyNumberFormat="1" applyFont="1" applyBorder="1" applyAlignment="1">
      <alignment horizontal="center" vertical="center"/>
    </xf>
    <xf numFmtId="167" fontId="3" fillId="0" borderId="6" xfId="3" applyNumberFormat="1" applyFont="1" applyBorder="1" applyAlignment="1">
      <alignment horizontal="center" vertical="center"/>
    </xf>
    <xf numFmtId="0" fontId="3" fillId="2" borderId="111" xfId="3" applyFont="1" applyFill="1" applyBorder="1" applyAlignment="1">
      <alignment horizontal="left" vertical="center" wrapText="1"/>
    </xf>
    <xf numFmtId="0" fontId="3" fillId="4" borderId="123" xfId="3" applyFont="1" applyFill="1" applyBorder="1" applyAlignment="1">
      <alignment horizontal="center" wrapText="1"/>
    </xf>
    <xf numFmtId="0" fontId="3" fillId="4" borderId="59" xfId="3" applyFont="1" applyFill="1" applyBorder="1" applyAlignment="1">
      <alignment horizontal="center" wrapText="1"/>
    </xf>
    <xf numFmtId="0" fontId="3" fillId="4" borderId="124" xfId="3" applyFont="1" applyFill="1" applyBorder="1" applyAlignment="1">
      <alignment horizontal="center" wrapText="1"/>
    </xf>
    <xf numFmtId="0" fontId="2" fillId="0" borderId="0" xfId="3" applyAlignment="1">
      <alignment vertical="top" wrapText="1"/>
    </xf>
    <xf numFmtId="164" fontId="3" fillId="0" borderId="1" xfId="2" applyNumberFormat="1" applyFont="1" applyBorder="1" applyAlignment="1">
      <alignment horizontal="center" wrapText="1"/>
    </xf>
    <xf numFmtId="37" fontId="3" fillId="0" borderId="2" xfId="1" applyNumberFormat="1" applyFont="1" applyBorder="1" applyAlignment="1">
      <alignment horizontal="center" vertical="center" wrapText="1"/>
    </xf>
    <xf numFmtId="164" fontId="3" fillId="0" borderId="3" xfId="2" applyNumberFormat="1" applyFont="1" applyBorder="1" applyAlignment="1">
      <alignment horizontal="center" wrapText="1"/>
    </xf>
    <xf numFmtId="164" fontId="3" fillId="0" borderId="5" xfId="2" applyNumberFormat="1" applyFont="1" applyBorder="1" applyAlignment="1">
      <alignment horizontal="center" wrapText="1"/>
    </xf>
    <xf numFmtId="37" fontId="3" fillId="0" borderId="6" xfId="1" applyNumberFormat="1" applyFont="1" applyBorder="1" applyAlignment="1">
      <alignment horizontal="center" vertical="center" wrapText="1"/>
    </xf>
    <xf numFmtId="164" fontId="3" fillId="0" borderId="7" xfId="2" applyNumberFormat="1" applyFont="1" applyBorder="1" applyAlignment="1">
      <alignment horizontal="center" wrapText="1"/>
    </xf>
    <xf numFmtId="164" fontId="3" fillId="2" borderId="9" xfId="2" applyNumberFormat="1" applyFont="1" applyFill="1" applyBorder="1" applyAlignment="1">
      <alignment horizontal="center" wrapText="1"/>
    </xf>
    <xf numFmtId="37" fontId="3" fillId="2" borderId="10" xfId="1" applyNumberFormat="1" applyFont="1" applyFill="1" applyBorder="1" applyAlignment="1">
      <alignment horizontal="center" vertical="center" wrapText="1"/>
    </xf>
    <xf numFmtId="164" fontId="3" fillId="2" borderId="11" xfId="2" applyNumberFormat="1" applyFont="1" applyFill="1" applyBorder="1" applyAlignment="1">
      <alignment horizontal="center" wrapText="1"/>
    </xf>
    <xf numFmtId="164" fontId="3" fillId="2" borderId="9" xfId="2" applyNumberFormat="1" applyFont="1" applyFill="1" applyBorder="1" applyAlignment="1">
      <alignment horizontal="center"/>
    </xf>
    <xf numFmtId="37" fontId="3" fillId="2" borderId="10" xfId="1" applyNumberFormat="1" applyFont="1" applyFill="1" applyBorder="1" applyAlignment="1">
      <alignment horizontal="center" vertical="center"/>
    </xf>
    <xf numFmtId="164" fontId="3" fillId="2" borderId="11" xfId="2" applyNumberFormat="1" applyFont="1" applyFill="1" applyBorder="1" applyAlignment="1">
      <alignment horizontal="center"/>
    </xf>
    <xf numFmtId="0" fontId="14" fillId="0" borderId="0" xfId="7" applyFont="1"/>
    <xf numFmtId="164" fontId="25" fillId="0" borderId="1" xfId="2" applyNumberFormat="1" applyFont="1" applyBorder="1" applyAlignment="1">
      <alignment horizontal="center" vertical="center"/>
    </xf>
    <xf numFmtId="165" fontId="25" fillId="0" borderId="44" xfId="7" applyNumberFormat="1" applyFont="1" applyBorder="1" applyAlignment="1">
      <alignment horizontal="center" vertical="center"/>
    </xf>
    <xf numFmtId="0" fontId="25" fillId="0" borderId="4" xfId="7" applyFont="1" applyBorder="1" applyAlignment="1">
      <alignment vertical="top" wrapText="1"/>
    </xf>
    <xf numFmtId="164" fontId="25" fillId="0" borderId="5" xfId="2" applyNumberFormat="1" applyFont="1" applyBorder="1" applyAlignment="1">
      <alignment horizontal="center" vertical="center"/>
    </xf>
    <xf numFmtId="165" fontId="25" fillId="0" borderId="45" xfId="7" applyNumberFormat="1" applyFont="1" applyBorder="1" applyAlignment="1">
      <alignment horizontal="center" vertical="center"/>
    </xf>
    <xf numFmtId="0" fontId="25" fillId="0" borderId="8" xfId="7" applyFont="1" applyBorder="1" applyAlignment="1">
      <alignment vertical="top" wrapText="1"/>
    </xf>
    <xf numFmtId="164" fontId="25" fillId="2" borderId="113" xfId="2" applyNumberFormat="1" applyFont="1" applyFill="1" applyBorder="1" applyAlignment="1">
      <alignment horizontal="center" vertical="center"/>
    </xf>
    <xf numFmtId="165" fontId="25" fillId="2" borderId="115" xfId="7" applyNumberFormat="1" applyFont="1" applyFill="1" applyBorder="1" applyAlignment="1">
      <alignment horizontal="center" vertical="center"/>
    </xf>
    <xf numFmtId="0" fontId="25" fillId="2" borderId="126" xfId="3" applyFont="1" applyFill="1" applyBorder="1" applyAlignment="1">
      <alignment vertical="top" wrapText="1"/>
    </xf>
    <xf numFmtId="0" fontId="26" fillId="0" borderId="57" xfId="3" applyFont="1" applyBorder="1" applyAlignment="1">
      <alignment horizontal="center" vertical="center" wrapText="1"/>
    </xf>
    <xf numFmtId="0" fontId="26" fillId="0" borderId="59" xfId="3" applyFont="1" applyBorder="1" applyAlignment="1">
      <alignment horizontal="center" vertical="center" wrapText="1"/>
    </xf>
    <xf numFmtId="164" fontId="17" fillId="0" borderId="30" xfId="2" applyNumberFormat="1" applyFont="1" applyBorder="1" applyAlignment="1">
      <alignment horizontal="center" vertical="center"/>
    </xf>
    <xf numFmtId="165" fontId="17" fillId="0" borderId="31" xfId="8" applyNumberFormat="1" applyFont="1" applyBorder="1" applyAlignment="1">
      <alignment horizontal="center" vertical="center"/>
    </xf>
    <xf numFmtId="164" fontId="17" fillId="0" borderId="7" xfId="2" applyNumberFormat="1" applyFont="1" applyBorder="1" applyAlignment="1">
      <alignment horizontal="center" vertical="center"/>
    </xf>
    <xf numFmtId="165" fontId="17" fillId="0" borderId="6" xfId="8" applyNumberFormat="1" applyFont="1" applyBorder="1" applyAlignment="1">
      <alignment horizontal="center" vertical="center"/>
    </xf>
    <xf numFmtId="0" fontId="26" fillId="0" borderId="54" xfId="3" applyFont="1" applyBorder="1" applyAlignment="1">
      <alignment horizontal="center" vertical="center" wrapText="1"/>
    </xf>
    <xf numFmtId="0" fontId="26" fillId="0" borderId="128" xfId="3" applyFont="1" applyBorder="1" applyAlignment="1">
      <alignment horizontal="center" vertical="center" wrapText="1"/>
    </xf>
    <xf numFmtId="0" fontId="25" fillId="2" borderId="49" xfId="3" applyFont="1" applyFill="1" applyBorder="1" applyAlignment="1">
      <alignment vertical="top" wrapText="1"/>
    </xf>
    <xf numFmtId="0" fontId="2" fillId="0" borderId="0" xfId="7"/>
    <xf numFmtId="165" fontId="3" fillId="0" borderId="0" xfId="7" applyNumberFormat="1" applyFont="1" applyBorder="1" applyAlignment="1">
      <alignment horizontal="right" vertical="top"/>
    </xf>
    <xf numFmtId="0" fontId="3" fillId="0" borderId="0" xfId="7" applyFont="1" applyBorder="1" applyAlignment="1">
      <alignment horizontal="left" vertical="top" wrapText="1"/>
    </xf>
    <xf numFmtId="0" fontId="2" fillId="0" borderId="0" xfId="7" applyFont="1" applyBorder="1" applyAlignment="1">
      <alignment vertical="center"/>
    </xf>
    <xf numFmtId="165" fontId="25" fillId="0" borderId="42" xfId="8" applyNumberFormat="1" applyFont="1" applyBorder="1" applyAlignment="1">
      <alignment horizontal="center" vertical="center"/>
    </xf>
    <xf numFmtId="165" fontId="25" fillId="0" borderId="30" xfId="8" applyNumberFormat="1" applyFont="1" applyBorder="1" applyAlignment="1">
      <alignment horizontal="center" vertical="center"/>
    </xf>
    <xf numFmtId="165" fontId="25" fillId="0" borderId="31" xfId="8" applyNumberFormat="1" applyFont="1" applyBorder="1" applyAlignment="1">
      <alignment horizontal="center" vertical="center"/>
    </xf>
    <xf numFmtId="165" fontId="25" fillId="0" borderId="43" xfId="8" applyNumberFormat="1" applyFont="1" applyBorder="1" applyAlignment="1">
      <alignment horizontal="center" vertical="center"/>
    </xf>
    <xf numFmtId="165" fontId="25" fillId="0" borderId="7" xfId="8" applyNumberFormat="1" applyFont="1" applyBorder="1" applyAlignment="1">
      <alignment horizontal="center" vertical="center"/>
    </xf>
    <xf numFmtId="165" fontId="25" fillId="0" borderId="6" xfId="8" applyNumberFormat="1" applyFont="1" applyBorder="1" applyAlignment="1">
      <alignment horizontal="center" vertical="center"/>
    </xf>
    <xf numFmtId="0" fontId="3" fillId="0" borderId="0" xfId="7" applyFont="1" applyBorder="1" applyAlignment="1">
      <alignment vertical="top" wrapText="1"/>
    </xf>
    <xf numFmtId="165" fontId="25" fillId="2" borderId="86" xfId="7" applyNumberFormat="1" applyFont="1" applyFill="1" applyBorder="1" applyAlignment="1">
      <alignment horizontal="center" vertical="center"/>
    </xf>
    <xf numFmtId="165" fontId="25" fillId="2" borderId="11" xfId="7" applyNumberFormat="1" applyFont="1" applyFill="1" applyBorder="1" applyAlignment="1">
      <alignment horizontal="center" vertical="center"/>
    </xf>
    <xf numFmtId="165" fontId="25" fillId="2" borderId="10" xfId="7" applyNumberFormat="1" applyFont="1" applyFill="1" applyBorder="1" applyAlignment="1">
      <alignment horizontal="center" vertical="center"/>
    </xf>
    <xf numFmtId="165" fontId="25" fillId="0" borderId="43" xfId="7" applyNumberFormat="1" applyFont="1" applyBorder="1" applyAlignment="1">
      <alignment horizontal="center" vertical="center"/>
    </xf>
    <xf numFmtId="165" fontId="25" fillId="0" borderId="7" xfId="7" applyNumberFormat="1" applyFont="1" applyBorder="1" applyAlignment="1">
      <alignment horizontal="center" vertical="center"/>
    </xf>
    <xf numFmtId="165" fontId="25" fillId="0" borderId="6" xfId="7" applyNumberFormat="1" applyFont="1" applyBorder="1" applyAlignment="1">
      <alignment horizontal="center" vertical="center"/>
    </xf>
    <xf numFmtId="0" fontId="3" fillId="0" borderId="0" xfId="7" applyFont="1" applyBorder="1" applyAlignment="1">
      <alignment horizontal="center" wrapText="1"/>
    </xf>
    <xf numFmtId="0" fontId="25" fillId="3" borderId="129" xfId="7" applyFont="1" applyFill="1" applyBorder="1" applyAlignment="1">
      <alignment horizontal="center" vertical="center" wrapText="1"/>
    </xf>
    <xf numFmtId="0" fontId="25" fillId="3" borderId="14" xfId="7" applyFont="1" applyFill="1" applyBorder="1" applyAlignment="1">
      <alignment horizontal="center" vertical="center" wrapText="1"/>
    </xf>
    <xf numFmtId="0" fontId="25" fillId="3" borderId="34" xfId="7" applyFont="1" applyFill="1" applyBorder="1" applyAlignment="1">
      <alignment horizontal="center" vertical="center" wrapText="1"/>
    </xf>
    <xf numFmtId="0" fontId="3" fillId="0" borderId="0" xfId="7" applyFont="1" applyBorder="1" applyAlignment="1">
      <alignment wrapText="1"/>
    </xf>
    <xf numFmtId="0" fontId="2" fillId="0" borderId="0" xfId="7" applyBorder="1" applyAlignment="1">
      <alignment vertical="center" wrapText="1"/>
    </xf>
    <xf numFmtId="0" fontId="16" fillId="0" borderId="0" xfId="0" applyFont="1" applyAlignment="1">
      <alignment horizontal="center" vertical="center" wrapText="1"/>
    </xf>
    <xf numFmtId="0" fontId="2" fillId="0" borderId="0" xfId="7" applyFont="1" applyAlignment="1">
      <alignment horizontal="center" vertical="center" wrapText="1"/>
    </xf>
    <xf numFmtId="165" fontId="25" fillId="0" borderId="2" xfId="7" applyNumberFormat="1" applyFont="1" applyBorder="1" applyAlignment="1">
      <alignment horizontal="center" vertical="center"/>
    </xf>
    <xf numFmtId="164" fontId="25" fillId="0" borderId="3" xfId="2" applyNumberFormat="1" applyFont="1" applyBorder="1" applyAlignment="1">
      <alignment horizontal="center" vertical="center"/>
    </xf>
    <xf numFmtId="164" fontId="25" fillId="0" borderId="7" xfId="2" applyNumberFormat="1" applyFont="1" applyBorder="1" applyAlignment="1">
      <alignment horizontal="center" vertical="center"/>
    </xf>
    <xf numFmtId="164" fontId="25" fillId="2" borderId="9" xfId="2" applyNumberFormat="1" applyFont="1" applyFill="1" applyBorder="1" applyAlignment="1">
      <alignment horizontal="center" vertical="center"/>
    </xf>
    <xf numFmtId="164" fontId="25" fillId="2" borderId="11" xfId="2" applyNumberFormat="1" applyFont="1" applyFill="1" applyBorder="1" applyAlignment="1">
      <alignment horizontal="center" vertical="center"/>
    </xf>
    <xf numFmtId="1" fontId="25" fillId="0" borderId="42" xfId="7" applyNumberFormat="1" applyFont="1" applyBorder="1" applyAlignment="1">
      <alignment horizontal="center" vertical="center"/>
    </xf>
    <xf numFmtId="1" fontId="25" fillId="0" borderId="30" xfId="7" applyNumberFormat="1" applyFont="1" applyBorder="1" applyAlignment="1">
      <alignment horizontal="center" vertical="center" wrapText="1"/>
    </xf>
    <xf numFmtId="1" fontId="25" fillId="0" borderId="31" xfId="7" applyNumberFormat="1" applyFont="1" applyBorder="1" applyAlignment="1">
      <alignment horizontal="center" vertical="center" wrapText="1"/>
    </xf>
    <xf numFmtId="1" fontId="25" fillId="0" borderId="43" xfId="7" applyNumberFormat="1" applyFont="1" applyBorder="1" applyAlignment="1">
      <alignment horizontal="center" vertical="center"/>
    </xf>
    <xf numFmtId="1" fontId="25" fillId="0" borderId="7" xfId="7" applyNumberFormat="1" applyFont="1" applyBorder="1" applyAlignment="1">
      <alignment horizontal="center" vertical="center" wrapText="1"/>
    </xf>
    <xf numFmtId="1" fontId="25" fillId="0" borderId="6" xfId="7" applyNumberFormat="1" applyFont="1" applyBorder="1" applyAlignment="1">
      <alignment horizontal="center" vertical="center" wrapText="1"/>
    </xf>
    <xf numFmtId="1" fontId="25" fillId="2" borderId="86" xfId="7" applyNumberFormat="1" applyFont="1" applyFill="1" applyBorder="1" applyAlignment="1">
      <alignment horizontal="center" vertical="center"/>
    </xf>
    <xf numFmtId="1" fontId="25" fillId="2" borderId="11" xfId="7" applyNumberFormat="1" applyFont="1" applyFill="1" applyBorder="1" applyAlignment="1">
      <alignment horizontal="center" vertical="center"/>
    </xf>
    <xf numFmtId="1" fontId="25" fillId="2" borderId="10" xfId="7" applyNumberFormat="1" applyFont="1" applyFill="1" applyBorder="1" applyAlignment="1">
      <alignment horizontal="center" vertical="center"/>
    </xf>
    <xf numFmtId="164" fontId="26" fillId="0" borderId="1" xfId="2" applyNumberFormat="1" applyFont="1" applyBorder="1" applyAlignment="1">
      <alignment horizontal="center" vertical="center"/>
    </xf>
    <xf numFmtId="165" fontId="26" fillId="0" borderId="44" xfId="7" applyNumberFormat="1" applyFont="1" applyBorder="1" applyAlignment="1">
      <alignment horizontal="center" vertical="center"/>
    </xf>
    <xf numFmtId="164" fontId="26" fillId="0" borderId="5" xfId="2" applyNumberFormat="1" applyFont="1" applyBorder="1" applyAlignment="1">
      <alignment horizontal="center" vertical="center"/>
    </xf>
    <xf numFmtId="165" fontId="26" fillId="0" borderId="45" xfId="7" applyNumberFormat="1" applyFont="1" applyBorder="1" applyAlignment="1">
      <alignment horizontal="center" vertical="center"/>
    </xf>
    <xf numFmtId="164" fontId="26" fillId="2" borderId="113" xfId="2" applyNumberFormat="1" applyFont="1" applyFill="1" applyBorder="1" applyAlignment="1">
      <alignment horizontal="center" vertical="center"/>
    </xf>
    <xf numFmtId="165" fontId="26" fillId="2" borderId="115" xfId="7" applyNumberFormat="1" applyFont="1" applyFill="1" applyBorder="1" applyAlignment="1">
      <alignment horizontal="center" vertical="center"/>
    </xf>
    <xf numFmtId="164" fontId="25" fillId="0" borderId="1" xfId="2" applyNumberFormat="1" applyFont="1" applyBorder="1" applyAlignment="1">
      <alignment horizontal="center" vertical="top"/>
    </xf>
    <xf numFmtId="165" fontId="25" fillId="0" borderId="44" xfId="7" applyNumberFormat="1" applyFont="1" applyBorder="1" applyAlignment="1">
      <alignment horizontal="center" vertical="top"/>
    </xf>
    <xf numFmtId="164" fontId="25" fillId="0" borderId="5" xfId="2" applyNumberFormat="1" applyFont="1" applyBorder="1" applyAlignment="1">
      <alignment horizontal="center" vertical="top"/>
    </xf>
    <xf numFmtId="165" fontId="25" fillId="0" borderId="45" xfId="7" applyNumberFormat="1" applyFont="1" applyBorder="1" applyAlignment="1">
      <alignment horizontal="center" vertical="top"/>
    </xf>
    <xf numFmtId="164" fontId="25" fillId="2" borderId="113" xfId="2" applyNumberFormat="1" applyFont="1" applyFill="1" applyBorder="1" applyAlignment="1">
      <alignment horizontal="center" vertical="top"/>
    </xf>
    <xf numFmtId="165" fontId="25" fillId="2" borderId="115" xfId="7" applyNumberFormat="1" applyFont="1" applyFill="1" applyBorder="1" applyAlignment="1">
      <alignment horizontal="center" vertical="top"/>
    </xf>
    <xf numFmtId="167" fontId="25" fillId="0" borderId="30" xfId="8" applyNumberFormat="1" applyFont="1" applyBorder="1" applyAlignment="1">
      <alignment horizontal="center" vertical="center"/>
    </xf>
    <xf numFmtId="167" fontId="25" fillId="0" borderId="31" xfId="8" applyNumberFormat="1" applyFont="1" applyBorder="1" applyAlignment="1">
      <alignment horizontal="center" vertical="center"/>
    </xf>
    <xf numFmtId="167" fontId="25" fillId="0" borderId="7" xfId="8" applyNumberFormat="1" applyFont="1" applyBorder="1" applyAlignment="1">
      <alignment horizontal="center" vertical="center"/>
    </xf>
    <xf numFmtId="167" fontId="25" fillId="0" borderId="6" xfId="8" applyNumberFormat="1" applyFont="1" applyBorder="1" applyAlignment="1">
      <alignment horizontal="center" vertical="center"/>
    </xf>
    <xf numFmtId="165" fontId="25" fillId="2" borderId="43" xfId="8" applyNumberFormat="1" applyFont="1" applyFill="1" applyBorder="1" applyAlignment="1">
      <alignment horizontal="center" vertical="center"/>
    </xf>
    <xf numFmtId="167" fontId="25" fillId="2" borderId="7" xfId="8" applyNumberFormat="1" applyFont="1" applyFill="1" applyBorder="1" applyAlignment="1">
      <alignment horizontal="center" vertical="center"/>
    </xf>
    <xf numFmtId="167" fontId="25" fillId="2" borderId="6" xfId="8" applyNumberFormat="1" applyFont="1" applyFill="1" applyBorder="1" applyAlignment="1">
      <alignment horizontal="center" vertical="center"/>
    </xf>
    <xf numFmtId="3" fontId="25" fillId="0" borderId="1" xfId="7" applyNumberFormat="1" applyFont="1" applyBorder="1" applyAlignment="1">
      <alignment horizontal="center" vertical="center"/>
    </xf>
    <xf numFmtId="3" fontId="25" fillId="0" borderId="3" xfId="7" applyNumberFormat="1" applyFont="1" applyBorder="1" applyAlignment="1">
      <alignment horizontal="center" vertical="center"/>
    </xf>
    <xf numFmtId="3" fontId="25" fillId="0" borderId="2" xfId="7" applyNumberFormat="1" applyFont="1" applyBorder="1" applyAlignment="1">
      <alignment horizontal="center" vertical="center"/>
    </xf>
    <xf numFmtId="0" fontId="25" fillId="0" borderId="4" xfId="7" applyFont="1" applyBorder="1" applyAlignment="1">
      <alignment vertical="center" wrapText="1"/>
    </xf>
    <xf numFmtId="3" fontId="25" fillId="0" borderId="5" xfId="7" applyNumberFormat="1" applyFont="1" applyBorder="1" applyAlignment="1">
      <alignment horizontal="center" vertical="center"/>
    </xf>
    <xf numFmtId="3" fontId="25" fillId="0" borderId="7" xfId="7" applyNumberFormat="1" applyFont="1" applyBorder="1" applyAlignment="1">
      <alignment horizontal="center" vertical="center"/>
    </xf>
    <xf numFmtId="3" fontId="25" fillId="0" borderId="6" xfId="7" applyNumberFormat="1" applyFont="1" applyBorder="1" applyAlignment="1">
      <alignment horizontal="center" vertical="center"/>
    </xf>
    <xf numFmtId="0" fontId="25" fillId="0" borderId="8" xfId="7" applyFont="1" applyBorder="1" applyAlignment="1">
      <alignment vertical="center" wrapText="1"/>
    </xf>
    <xf numFmtId="3" fontId="25" fillId="2" borderId="9" xfId="7" applyNumberFormat="1" applyFont="1" applyFill="1" applyBorder="1" applyAlignment="1">
      <alignment horizontal="center" vertical="center"/>
    </xf>
    <xf numFmtId="3" fontId="25" fillId="2" borderId="11" xfId="7" applyNumberFormat="1" applyFont="1" applyFill="1" applyBorder="1" applyAlignment="1">
      <alignment horizontal="center" vertical="center"/>
    </xf>
    <xf numFmtId="3" fontId="25" fillId="2" borderId="10" xfId="7" applyNumberFormat="1" applyFont="1" applyFill="1" applyBorder="1" applyAlignment="1">
      <alignment horizontal="center" vertical="center"/>
    </xf>
    <xf numFmtId="0" fontId="25" fillId="2" borderId="126" xfId="3" applyFont="1" applyFill="1" applyBorder="1" applyAlignment="1">
      <alignment vertical="center" wrapText="1"/>
    </xf>
    <xf numFmtId="0" fontId="25" fillId="3" borderId="13" xfId="7" applyFont="1" applyFill="1" applyBorder="1" applyAlignment="1">
      <alignment horizontal="center" vertical="center" wrapText="1"/>
    </xf>
    <xf numFmtId="0" fontId="2" fillId="0" borderId="0" xfId="7" applyFont="1"/>
    <xf numFmtId="3" fontId="25" fillId="0" borderId="45" xfId="7" applyNumberFormat="1" applyFont="1" applyBorder="1" applyAlignment="1">
      <alignment horizontal="center" vertical="center"/>
    </xf>
    <xf numFmtId="164" fontId="25" fillId="2" borderId="74" xfId="2" applyNumberFormat="1" applyFont="1" applyFill="1" applyBorder="1" applyAlignment="1">
      <alignment horizontal="center" vertical="center"/>
    </xf>
    <xf numFmtId="3" fontId="25" fillId="2" borderId="12" xfId="3" applyNumberFormat="1" applyFont="1" applyFill="1" applyBorder="1" applyAlignment="1">
      <alignment horizontal="center" vertical="center"/>
    </xf>
    <xf numFmtId="164" fontId="25" fillId="0" borderId="0" xfId="2" applyNumberFormat="1" applyFont="1" applyFill="1" applyBorder="1" applyAlignment="1">
      <alignment horizontal="center" vertical="center" wrapText="1"/>
    </xf>
    <xf numFmtId="1" fontId="25" fillId="0" borderId="0" xfId="3" applyNumberFormat="1" applyFont="1" applyFill="1" applyBorder="1" applyAlignment="1">
      <alignment horizontal="center" vertical="center" wrapText="1"/>
    </xf>
    <xf numFmtId="0" fontId="14" fillId="0" borderId="0" xfId="7" applyFont="1" applyAlignment="1">
      <alignment vertical="top" wrapText="1"/>
    </xf>
    <xf numFmtId="0" fontId="26" fillId="0" borderId="4" xfId="7" applyFont="1" applyBorder="1" applyAlignment="1">
      <alignment vertical="center"/>
    </xf>
    <xf numFmtId="0" fontId="26" fillId="0" borderId="8" xfId="7" applyFont="1" applyBorder="1" applyAlignment="1">
      <alignment vertical="center" wrapText="1"/>
    </xf>
    <xf numFmtId="0" fontId="26" fillId="2" borderId="126" xfId="3" applyFont="1" applyFill="1" applyBorder="1" applyAlignment="1">
      <alignment vertical="center" wrapText="1"/>
    </xf>
    <xf numFmtId="0" fontId="26" fillId="0" borderId="8" xfId="7" applyFont="1" applyBorder="1" applyAlignment="1">
      <alignment vertical="center"/>
    </xf>
    <xf numFmtId="0" fontId="25" fillId="0" borderId="4" xfId="7" applyFont="1" applyBorder="1" applyAlignment="1">
      <alignment vertical="center"/>
    </xf>
    <xf numFmtId="0" fontId="25" fillId="0" borderId="8" xfId="7" applyFont="1" applyBorder="1" applyAlignment="1">
      <alignment vertical="center"/>
    </xf>
    <xf numFmtId="0" fontId="25" fillId="0" borderId="57" xfId="3" applyFont="1" applyBorder="1" applyAlignment="1">
      <alignment horizontal="center" vertical="center" wrapText="1"/>
    </xf>
    <xf numFmtId="0" fontId="25" fillId="0" borderId="59" xfId="3" applyFont="1" applyBorder="1" applyAlignment="1">
      <alignment horizontal="center" vertical="center" wrapText="1"/>
    </xf>
    <xf numFmtId="0" fontId="25" fillId="0" borderId="54" xfId="3" applyFont="1" applyBorder="1" applyAlignment="1">
      <alignment horizontal="center" vertical="center" wrapText="1"/>
    </xf>
    <xf numFmtId="164" fontId="17" fillId="0" borderId="3" xfId="2" applyNumberFormat="1" applyFont="1" applyBorder="1" applyAlignment="1">
      <alignment horizontal="center" vertical="center"/>
    </xf>
    <xf numFmtId="165" fontId="17" fillId="0" borderId="2" xfId="7" applyNumberFormat="1" applyFont="1" applyBorder="1" applyAlignment="1">
      <alignment horizontal="center" vertical="center"/>
    </xf>
    <xf numFmtId="164" fontId="17" fillId="0" borderId="5" xfId="2" applyNumberFormat="1" applyFont="1" applyBorder="1" applyAlignment="1">
      <alignment horizontal="center" vertical="center"/>
    </xf>
    <xf numFmtId="3" fontId="17" fillId="0" borderId="45" xfId="7" applyNumberFormat="1" applyFont="1" applyBorder="1" applyAlignment="1">
      <alignment horizontal="center" vertical="center"/>
    </xf>
    <xf numFmtId="164" fontId="17" fillId="2" borderId="74" xfId="2" applyNumberFormat="1" applyFont="1" applyFill="1" applyBorder="1" applyAlignment="1">
      <alignment horizontal="center" vertical="center"/>
    </xf>
    <xf numFmtId="3" fontId="17" fillId="2" borderId="12" xfId="3" applyNumberFormat="1" applyFont="1" applyFill="1" applyBorder="1" applyAlignment="1">
      <alignment horizontal="center" vertical="center"/>
    </xf>
    <xf numFmtId="0" fontId="25" fillId="0" borderId="52" xfId="3" applyFont="1" applyBorder="1" applyAlignment="1">
      <alignment horizontal="center" vertical="center" wrapText="1"/>
    </xf>
    <xf numFmtId="164" fontId="17" fillId="0" borderId="1" xfId="2" applyNumberFormat="1" applyFont="1" applyBorder="1" applyAlignment="1">
      <alignment horizontal="center" vertical="center"/>
    </xf>
    <xf numFmtId="0" fontId="16" fillId="0" borderId="0" xfId="0" applyFont="1"/>
    <xf numFmtId="3" fontId="17" fillId="0" borderId="44" xfId="7" applyNumberFormat="1" applyFont="1" applyBorder="1" applyAlignment="1">
      <alignment horizontal="center" vertical="center"/>
    </xf>
    <xf numFmtId="1" fontId="25" fillId="2" borderId="12" xfId="3" applyNumberFormat="1" applyFont="1" applyFill="1" applyBorder="1" applyAlignment="1">
      <alignment horizontal="center" vertical="center"/>
    </xf>
    <xf numFmtId="0" fontId="17" fillId="0" borderId="4" xfId="7" applyFont="1" applyBorder="1" applyAlignment="1">
      <alignment vertical="center"/>
    </xf>
    <xf numFmtId="0" fontId="17" fillId="0" borderId="8" xfId="7" applyFont="1" applyBorder="1" applyAlignment="1">
      <alignment vertical="center" wrapText="1"/>
    </xf>
    <xf numFmtId="0" fontId="17" fillId="2" borderId="126" xfId="3" applyFont="1" applyFill="1" applyBorder="1" applyAlignment="1">
      <alignment vertical="center" wrapText="1"/>
    </xf>
    <xf numFmtId="0" fontId="17" fillId="0" borderId="8" xfId="7" applyFont="1" applyBorder="1" applyAlignment="1">
      <alignment vertical="center"/>
    </xf>
    <xf numFmtId="0" fontId="17" fillId="0" borderId="54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0" fontId="17" fillId="0" borderId="52" xfId="3" applyFont="1" applyBorder="1" applyAlignment="1">
      <alignment horizontal="center" vertical="center" wrapText="1"/>
    </xf>
    <xf numFmtId="164" fontId="17" fillId="0" borderId="1" xfId="2" applyNumberFormat="1" applyFont="1" applyBorder="1" applyAlignment="1">
      <alignment horizontal="center" vertical="top"/>
    </xf>
    <xf numFmtId="37" fontId="17" fillId="0" borderId="44" xfId="1" applyNumberFormat="1" applyFont="1" applyBorder="1" applyAlignment="1">
      <alignment horizontal="center" vertical="center"/>
    </xf>
    <xf numFmtId="0" fontId="17" fillId="0" borderId="4" xfId="7" applyFont="1" applyBorder="1" applyAlignment="1">
      <alignment vertical="top"/>
    </xf>
    <xf numFmtId="164" fontId="17" fillId="0" borderId="5" xfId="2" applyNumberFormat="1" applyFont="1" applyBorder="1" applyAlignment="1">
      <alignment horizontal="center" vertical="top"/>
    </xf>
    <xf numFmtId="37" fontId="17" fillId="0" borderId="45" xfId="1" applyNumberFormat="1" applyFont="1" applyBorder="1" applyAlignment="1">
      <alignment horizontal="center" vertical="center"/>
    </xf>
    <xf numFmtId="0" fontId="17" fillId="0" borderId="8" xfId="7" applyFont="1" applyBorder="1" applyAlignment="1">
      <alignment vertical="top" wrapText="1"/>
    </xf>
    <xf numFmtId="37" fontId="17" fillId="2" borderId="12" xfId="1" applyNumberFormat="1" applyFont="1" applyFill="1" applyBorder="1" applyAlignment="1">
      <alignment horizontal="center" vertical="center"/>
    </xf>
    <xf numFmtId="0" fontId="17" fillId="2" borderId="126" xfId="3" applyFont="1" applyFill="1" applyBorder="1" applyAlignment="1">
      <alignment vertical="top" wrapText="1"/>
    </xf>
    <xf numFmtId="0" fontId="17" fillId="0" borderId="8" xfId="7" applyFont="1" applyBorder="1" applyAlignment="1">
      <alignment vertical="top"/>
    </xf>
    <xf numFmtId="165" fontId="17" fillId="0" borderId="6" xfId="7" applyNumberFormat="1" applyFont="1" applyBorder="1" applyAlignment="1">
      <alignment horizontal="center" vertical="center"/>
    </xf>
    <xf numFmtId="164" fontId="17" fillId="2" borderId="9" xfId="2" applyNumberFormat="1" applyFont="1" applyFill="1" applyBorder="1" applyAlignment="1">
      <alignment horizontal="center" vertical="center"/>
    </xf>
    <xf numFmtId="165" fontId="17" fillId="2" borderId="10" xfId="7" applyNumberFormat="1" applyFont="1" applyFill="1" applyBorder="1" applyAlignment="1">
      <alignment horizontal="center" vertical="center"/>
    </xf>
    <xf numFmtId="164" fontId="17" fillId="2" borderId="11" xfId="2" applyNumberFormat="1" applyFont="1" applyFill="1" applyBorder="1" applyAlignment="1">
      <alignment horizontal="center" vertical="center"/>
    </xf>
    <xf numFmtId="1" fontId="17" fillId="2" borderId="12" xfId="3" applyNumberFormat="1" applyFont="1" applyFill="1" applyBorder="1" applyAlignment="1">
      <alignment horizontal="center" vertical="center"/>
    </xf>
    <xf numFmtId="164" fontId="17" fillId="2" borderId="73" xfId="2" applyNumberFormat="1" applyFont="1" applyFill="1" applyBorder="1" applyAlignment="1">
      <alignment horizontal="center" vertical="center"/>
    </xf>
    <xf numFmtId="164" fontId="25" fillId="2" borderId="73" xfId="2" applyNumberFormat="1" applyFont="1" applyFill="1" applyBorder="1" applyAlignment="1">
      <alignment horizontal="center" vertical="center"/>
    </xf>
    <xf numFmtId="0" fontId="3" fillId="0" borderId="52" xfId="3" applyFont="1" applyBorder="1" applyAlignment="1">
      <alignment horizontal="center" vertical="center" wrapText="1"/>
    </xf>
    <xf numFmtId="3" fontId="17" fillId="3" borderId="75" xfId="7" applyNumberFormat="1" applyFont="1" applyFill="1" applyBorder="1" applyAlignment="1">
      <alignment horizontal="center" vertical="center"/>
    </xf>
    <xf numFmtId="3" fontId="17" fillId="3" borderId="138" xfId="7" applyNumberFormat="1" applyFont="1" applyFill="1" applyBorder="1" applyAlignment="1">
      <alignment horizontal="center" vertical="center"/>
    </xf>
    <xf numFmtId="0" fontId="3" fillId="3" borderId="139" xfId="7" applyFont="1" applyFill="1" applyBorder="1" applyAlignment="1">
      <alignment horizontal="left" vertical="center" wrapText="1"/>
    </xf>
    <xf numFmtId="0" fontId="31" fillId="3" borderId="83" xfId="7" applyFont="1" applyFill="1" applyBorder="1" applyAlignment="1">
      <alignment horizontal="center" vertical="top" wrapText="1"/>
    </xf>
    <xf numFmtId="164" fontId="17" fillId="0" borderId="92" xfId="2" applyNumberFormat="1" applyFont="1" applyBorder="1" applyAlignment="1">
      <alignment horizontal="center" vertical="center"/>
    </xf>
    <xf numFmtId="164" fontId="17" fillId="0" borderId="140" xfId="2" applyNumberFormat="1" applyFont="1" applyBorder="1" applyAlignment="1">
      <alignment horizontal="center" vertical="center"/>
    </xf>
    <xf numFmtId="0" fontId="3" fillId="0" borderId="118" xfId="7" applyFont="1" applyBorder="1" applyAlignment="1">
      <alignment horizontal="left" vertical="center" wrapText="1"/>
    </xf>
    <xf numFmtId="3" fontId="17" fillId="0" borderId="75" xfId="7" applyNumberFormat="1" applyFont="1" applyBorder="1" applyAlignment="1">
      <alignment horizontal="center" vertical="center"/>
    </xf>
    <xf numFmtId="3" fontId="17" fillId="0" borderId="138" xfId="7" applyNumberFormat="1" applyFont="1" applyBorder="1" applyAlignment="1">
      <alignment horizontal="center" vertical="center"/>
    </xf>
    <xf numFmtId="0" fontId="3" fillId="0" borderId="103" xfId="7" applyFont="1" applyBorder="1" applyAlignment="1">
      <alignment horizontal="left" vertical="center" wrapText="1"/>
    </xf>
    <xf numFmtId="0" fontId="3" fillId="3" borderId="63" xfId="7" applyFont="1" applyFill="1" applyBorder="1" applyAlignment="1">
      <alignment horizontal="center" vertical="center" wrapText="1"/>
    </xf>
    <xf numFmtId="0" fontId="3" fillId="3" borderId="64" xfId="7" applyFont="1" applyFill="1" applyBorder="1" applyAlignment="1">
      <alignment horizontal="center" vertical="center" wrapText="1"/>
    </xf>
    <xf numFmtId="10" fontId="0" fillId="0" borderId="70" xfId="0" applyNumberFormat="1" applyBorder="1" applyAlignment="1">
      <alignment horizontal="center"/>
    </xf>
    <xf numFmtId="0" fontId="0" fillId="0" borderId="141" xfId="0" applyBorder="1" applyAlignment="1">
      <alignment horizontal="center"/>
    </xf>
    <xf numFmtId="10" fontId="0" fillId="0" borderId="69" xfId="0" applyNumberFormat="1" applyBorder="1" applyAlignment="1">
      <alignment horizontal="center"/>
    </xf>
    <xf numFmtId="10" fontId="1" fillId="0" borderId="69" xfId="0" applyNumberFormat="1" applyFont="1" applyBorder="1" applyAlignment="1">
      <alignment horizontal="center"/>
    </xf>
    <xf numFmtId="0" fontId="1" fillId="0" borderId="141" xfId="0" applyFont="1" applyBorder="1" applyAlignment="1">
      <alignment horizontal="center"/>
    </xf>
    <xf numFmtId="0" fontId="3" fillId="0" borderId="4" xfId="7" applyFont="1" applyBorder="1" applyAlignment="1">
      <alignment vertical="top"/>
    </xf>
    <xf numFmtId="10" fontId="0" fillId="0" borderId="72" xfId="0" applyNumberFormat="1" applyBorder="1" applyAlignment="1">
      <alignment horizontal="center"/>
    </xf>
    <xf numFmtId="0" fontId="0" fillId="0" borderId="142" xfId="0" applyBorder="1" applyAlignment="1">
      <alignment horizontal="center"/>
    </xf>
    <xf numFmtId="10" fontId="0" fillId="0" borderId="71" xfId="0" applyNumberFormat="1" applyBorder="1" applyAlignment="1">
      <alignment horizontal="center"/>
    </xf>
    <xf numFmtId="10" fontId="1" fillId="0" borderId="71" xfId="0" applyNumberFormat="1" applyFont="1" applyBorder="1" applyAlignment="1">
      <alignment horizontal="center"/>
    </xf>
    <xf numFmtId="0" fontId="1" fillId="0" borderId="142" xfId="0" applyFont="1" applyBorder="1" applyAlignment="1">
      <alignment horizontal="center"/>
    </xf>
    <xf numFmtId="0" fontId="3" fillId="0" borderId="8" xfId="7" applyFont="1" applyBorder="1" applyAlignment="1">
      <alignment vertical="top" wrapText="1"/>
    </xf>
    <xf numFmtId="0" fontId="3" fillId="2" borderId="126" xfId="3" applyFont="1" applyFill="1" applyBorder="1" applyAlignment="1">
      <alignment vertical="top" wrapText="1"/>
    </xf>
    <xf numFmtId="0" fontId="3" fillId="0" borderId="8" xfId="7" applyFont="1" applyBorder="1" applyAlignment="1">
      <alignment vertical="top"/>
    </xf>
    <xf numFmtId="164" fontId="1" fillId="0" borderId="70" xfId="2" applyNumberFormat="1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10" fontId="1" fillId="0" borderId="69" xfId="2" applyNumberFormat="1" applyFont="1" applyBorder="1" applyAlignment="1">
      <alignment horizontal="center"/>
    </xf>
    <xf numFmtId="164" fontId="1" fillId="0" borderId="69" xfId="2" applyNumberFormat="1" applyFont="1" applyBorder="1" applyAlignment="1">
      <alignment horizontal="center"/>
    </xf>
    <xf numFmtId="0" fontId="1" fillId="0" borderId="93" xfId="0" applyFont="1" applyBorder="1" applyAlignment="1">
      <alignment horizontal="center"/>
    </xf>
    <xf numFmtId="164" fontId="1" fillId="0" borderId="72" xfId="2" applyNumberFormat="1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10" fontId="1" fillId="0" borderId="71" xfId="2" applyNumberFormat="1" applyFont="1" applyBorder="1" applyAlignment="1">
      <alignment horizontal="center"/>
    </xf>
    <xf numFmtId="164" fontId="1" fillId="0" borderId="71" xfId="2" applyNumberFormat="1" applyFont="1" applyBorder="1" applyAlignment="1">
      <alignment horizontal="center"/>
    </xf>
    <xf numFmtId="0" fontId="1" fillId="0" borderId="85" xfId="0" applyFont="1" applyBorder="1" applyAlignment="1">
      <alignment horizontal="center"/>
    </xf>
    <xf numFmtId="1" fontId="25" fillId="2" borderId="73" xfId="3" applyNumberFormat="1" applyFont="1" applyFill="1" applyBorder="1" applyAlignment="1">
      <alignment horizontal="center" vertical="center"/>
    </xf>
    <xf numFmtId="10" fontId="25" fillId="2" borderId="73" xfId="2" applyNumberFormat="1" applyFont="1" applyFill="1" applyBorder="1" applyAlignment="1">
      <alignment horizontal="center" vertical="center"/>
    </xf>
    <xf numFmtId="0" fontId="1" fillId="0" borderId="144" xfId="0" applyFont="1" applyBorder="1" applyAlignment="1">
      <alignment horizontal="center"/>
    </xf>
    <xf numFmtId="0" fontId="1" fillId="0" borderId="145" xfId="0" applyFont="1" applyBorder="1" applyAlignment="1">
      <alignment horizontal="center"/>
    </xf>
    <xf numFmtId="164" fontId="16" fillId="0" borderId="70" xfId="2" applyNumberFormat="1" applyFont="1" applyBorder="1" applyAlignment="1">
      <alignment horizontal="center"/>
    </xf>
    <xf numFmtId="0" fontId="16" fillId="0" borderId="69" xfId="0" applyFont="1" applyBorder="1" applyAlignment="1">
      <alignment horizontal="center"/>
    </xf>
    <xf numFmtId="10" fontId="16" fillId="0" borderId="69" xfId="2" applyNumberFormat="1" applyFont="1" applyBorder="1" applyAlignment="1">
      <alignment horizontal="center"/>
    </xf>
    <xf numFmtId="164" fontId="16" fillId="0" borderId="69" xfId="2" applyNumberFormat="1" applyFont="1" applyBorder="1" applyAlignment="1">
      <alignment horizontal="center"/>
    </xf>
    <xf numFmtId="0" fontId="16" fillId="0" borderId="93" xfId="0" applyFont="1" applyBorder="1" applyAlignment="1">
      <alignment horizontal="center"/>
    </xf>
    <xf numFmtId="164" fontId="16" fillId="0" borderId="72" xfId="2" applyNumberFormat="1" applyFont="1" applyBorder="1" applyAlignment="1">
      <alignment horizontal="center"/>
    </xf>
    <xf numFmtId="0" fontId="16" fillId="0" borderId="71" xfId="0" applyFont="1" applyBorder="1" applyAlignment="1">
      <alignment horizontal="center"/>
    </xf>
    <xf numFmtId="10" fontId="16" fillId="0" borderId="71" xfId="2" applyNumberFormat="1" applyFont="1" applyBorder="1" applyAlignment="1">
      <alignment horizontal="center"/>
    </xf>
    <xf numFmtId="164" fontId="16" fillId="0" borderId="71" xfId="2" applyNumberFormat="1" applyFont="1" applyBorder="1" applyAlignment="1">
      <alignment horizontal="center"/>
    </xf>
    <xf numFmtId="0" fontId="16" fillId="0" borderId="85" xfId="0" applyFont="1" applyBorder="1" applyAlignment="1">
      <alignment horizontal="center"/>
    </xf>
    <xf numFmtId="1" fontId="17" fillId="2" borderId="73" xfId="3" applyNumberFormat="1" applyFont="1" applyFill="1" applyBorder="1" applyAlignment="1">
      <alignment horizontal="center" vertical="center"/>
    </xf>
    <xf numFmtId="10" fontId="17" fillId="2" borderId="73" xfId="2" applyNumberFormat="1" applyFont="1" applyFill="1" applyBorder="1" applyAlignment="1">
      <alignment horizontal="center" vertical="center"/>
    </xf>
    <xf numFmtId="0" fontId="16" fillId="0" borderId="144" xfId="0" applyFont="1" applyBorder="1" applyAlignment="1">
      <alignment horizontal="center"/>
    </xf>
    <xf numFmtId="0" fontId="16" fillId="0" borderId="145" xfId="0" applyFont="1" applyBorder="1" applyAlignment="1">
      <alignment horizontal="center"/>
    </xf>
    <xf numFmtId="10" fontId="0" fillId="0" borderId="0" xfId="0" applyNumberFormat="1"/>
    <xf numFmtId="165" fontId="16" fillId="0" borderId="0" xfId="0" applyNumberFormat="1" applyFont="1"/>
    <xf numFmtId="1" fontId="2" fillId="0" borderId="0" xfId="7" applyNumberFormat="1" applyFont="1"/>
    <xf numFmtId="3" fontId="17" fillId="0" borderId="3" xfId="8" applyNumberFormat="1" applyFont="1" applyBorder="1" applyAlignment="1">
      <alignment horizontal="center" vertical="center"/>
    </xf>
    <xf numFmtId="0" fontId="17" fillId="0" borderId="110" xfId="7" applyFont="1" applyBorder="1" applyAlignment="1">
      <alignment vertical="top"/>
    </xf>
    <xf numFmtId="3" fontId="17" fillId="0" borderId="7" xfId="8" applyNumberFormat="1" applyFont="1" applyBorder="1" applyAlignment="1">
      <alignment horizontal="center" vertical="center"/>
    </xf>
    <xf numFmtId="0" fontId="17" fillId="0" borderId="67" xfId="7" applyFont="1" applyBorder="1" applyAlignment="1">
      <alignment vertical="top" wrapText="1"/>
    </xf>
    <xf numFmtId="3" fontId="17" fillId="2" borderId="11" xfId="8" applyNumberFormat="1" applyFont="1" applyFill="1" applyBorder="1" applyAlignment="1">
      <alignment horizontal="center" vertical="center"/>
    </xf>
    <xf numFmtId="0" fontId="17" fillId="2" borderId="111" xfId="3" applyFont="1" applyFill="1" applyBorder="1" applyAlignment="1">
      <alignment vertical="top" wrapText="1"/>
    </xf>
    <xf numFmtId="0" fontId="17" fillId="0" borderId="67" xfId="7" applyFont="1" applyBorder="1" applyAlignment="1">
      <alignment vertical="top"/>
    </xf>
    <xf numFmtId="0" fontId="17" fillId="0" borderId="13" xfId="8" applyFont="1" applyBorder="1" applyAlignment="1">
      <alignment horizontal="center" wrapText="1"/>
    </xf>
    <xf numFmtId="0" fontId="17" fillId="0" borderId="14" xfId="8" applyFont="1" applyBorder="1" applyAlignment="1">
      <alignment horizontal="center" wrapText="1"/>
    </xf>
    <xf numFmtId="164" fontId="3" fillId="0" borderId="0" xfId="2" applyNumberFormat="1" applyFont="1" applyFill="1" applyBorder="1" applyAlignment="1">
      <alignment horizontal="center" vertical="center"/>
    </xf>
    <xf numFmtId="0" fontId="3" fillId="0" borderId="0" xfId="7" applyFont="1" applyFill="1" applyBorder="1" applyAlignment="1">
      <alignment horizontal="left" vertical="center" wrapText="1"/>
    </xf>
    <xf numFmtId="0" fontId="31" fillId="0" borderId="0" xfId="7" applyFont="1" applyFill="1" applyBorder="1" applyAlignment="1">
      <alignment vertical="center" wrapText="1"/>
    </xf>
    <xf numFmtId="165" fontId="3" fillId="0" borderId="0" xfId="7" applyNumberFormat="1" applyFont="1" applyFill="1" applyBorder="1" applyAlignment="1">
      <alignment horizontal="center" vertical="center"/>
    </xf>
    <xf numFmtId="0" fontId="3" fillId="0" borderId="0" xfId="7" applyFont="1" applyFill="1" applyBorder="1" applyAlignment="1">
      <alignment horizontal="left" vertical="top" wrapText="1"/>
    </xf>
    <xf numFmtId="0" fontId="2" fillId="0" borderId="0" xfId="7" applyFont="1" applyFill="1" applyBorder="1" applyAlignment="1">
      <alignment vertical="center"/>
    </xf>
    <xf numFmtId="164" fontId="2" fillId="0" borderId="0" xfId="2" applyNumberFormat="1" applyFont="1" applyFill="1" applyBorder="1" applyAlignment="1">
      <alignment horizontal="center" vertical="center"/>
    </xf>
    <xf numFmtId="0" fontId="7" fillId="0" borderId="0" xfId="7" applyFont="1" applyFill="1" applyBorder="1" applyAlignment="1">
      <alignment horizontal="left" vertical="top" wrapText="1"/>
    </xf>
    <xf numFmtId="0" fontId="2" fillId="0" borderId="0" xfId="7" applyFill="1" applyBorder="1"/>
    <xf numFmtId="165" fontId="17" fillId="3" borderId="119" xfId="9" applyNumberFormat="1" applyFont="1" applyFill="1" applyBorder="1" applyAlignment="1">
      <alignment horizontal="center" vertical="top"/>
    </xf>
    <xf numFmtId="165" fontId="17" fillId="3" borderId="149" xfId="9" applyNumberFormat="1" applyFont="1" applyFill="1" applyBorder="1" applyAlignment="1">
      <alignment horizontal="center" vertical="top"/>
    </xf>
    <xf numFmtId="165" fontId="17" fillId="3" borderId="150" xfId="9" applyNumberFormat="1" applyFont="1" applyFill="1" applyBorder="1" applyAlignment="1">
      <alignment horizontal="center" vertical="top"/>
    </xf>
    <xf numFmtId="0" fontId="3" fillId="3" borderId="151" xfId="9" applyFont="1" applyFill="1" applyBorder="1" applyAlignment="1">
      <alignment horizontal="center" vertical="center" wrapText="1"/>
    </xf>
    <xf numFmtId="0" fontId="3" fillId="3" borderId="152" xfId="9" applyFont="1" applyFill="1" applyBorder="1" applyAlignment="1">
      <alignment horizontal="center" vertical="top" wrapText="1"/>
    </xf>
    <xf numFmtId="164" fontId="17" fillId="0" borderId="43" xfId="2" applyNumberFormat="1" applyFont="1" applyBorder="1" applyAlignment="1">
      <alignment horizontal="center" vertical="center"/>
    </xf>
    <xf numFmtId="164" fontId="17" fillId="0" borderId="84" xfId="2" applyNumberFormat="1" applyFont="1" applyBorder="1" applyAlignment="1">
      <alignment horizontal="center" vertical="center"/>
    </xf>
    <xf numFmtId="0" fontId="3" fillId="0" borderId="57" xfId="9" applyFont="1" applyBorder="1" applyAlignment="1">
      <alignment horizontal="left" vertical="center" wrapText="1"/>
    </xf>
    <xf numFmtId="0" fontId="7" fillId="0" borderId="52" xfId="9" applyFont="1" applyBorder="1" applyAlignment="1">
      <alignment horizontal="left" vertical="center" wrapText="1"/>
    </xf>
    <xf numFmtId="165" fontId="17" fillId="0" borderId="86" xfId="9" applyNumberFormat="1" applyFont="1" applyBorder="1" applyAlignment="1">
      <alignment horizontal="center" vertical="center"/>
    </xf>
    <xf numFmtId="165" fontId="17" fillId="0" borderId="11" xfId="9" applyNumberFormat="1" applyFont="1" applyBorder="1" applyAlignment="1">
      <alignment horizontal="center" vertical="center"/>
    </xf>
    <xf numFmtId="165" fontId="17" fillId="0" borderId="87" xfId="9" applyNumberFormat="1" applyFont="1" applyBorder="1" applyAlignment="1">
      <alignment horizontal="center" vertical="center"/>
    </xf>
    <xf numFmtId="0" fontId="3" fillId="0" borderId="75" xfId="9" applyFont="1" applyBorder="1" applyAlignment="1">
      <alignment horizontal="left" vertical="center" wrapText="1"/>
    </xf>
    <xf numFmtId="164" fontId="17" fillId="0" borderId="89" xfId="2" applyNumberFormat="1" applyFont="1" applyBorder="1" applyAlignment="1">
      <alignment horizontal="center" vertical="center"/>
    </xf>
    <xf numFmtId="164" fontId="17" fillId="0" borderId="90" xfId="2" applyNumberFormat="1" applyFont="1" applyBorder="1" applyAlignment="1">
      <alignment horizontal="center" vertical="center"/>
    </xf>
    <xf numFmtId="164" fontId="17" fillId="0" borderId="91" xfId="2" applyNumberFormat="1" applyFont="1" applyBorder="1" applyAlignment="1">
      <alignment horizontal="center" vertical="center"/>
    </xf>
    <xf numFmtId="0" fontId="3" fillId="0" borderId="52" xfId="9" applyFont="1" applyBorder="1" applyAlignment="1">
      <alignment horizontal="left" vertical="center" wrapText="1"/>
    </xf>
    <xf numFmtId="0" fontId="3" fillId="3" borderId="14" xfId="9" applyFont="1" applyFill="1" applyBorder="1" applyAlignment="1">
      <alignment horizontal="center" vertical="center" wrapText="1"/>
    </xf>
    <xf numFmtId="0" fontId="3" fillId="3" borderId="34" xfId="9" applyFont="1" applyFill="1" applyBorder="1" applyAlignment="1">
      <alignment horizontal="center" vertical="center" wrapText="1"/>
    </xf>
    <xf numFmtId="165" fontId="3" fillId="0" borderId="1" xfId="7" applyNumberFormat="1" applyFont="1" applyBorder="1" applyAlignment="1">
      <alignment horizontal="center"/>
    </xf>
    <xf numFmtId="167" fontId="3" fillId="0" borderId="3" xfId="7" applyNumberFormat="1" applyFont="1" applyBorder="1" applyAlignment="1">
      <alignment horizontal="center" wrapText="1"/>
    </xf>
    <xf numFmtId="167" fontId="3" fillId="0" borderId="2" xfId="7" applyNumberFormat="1" applyFont="1" applyBorder="1" applyAlignment="1">
      <alignment horizontal="center" wrapText="1"/>
    </xf>
    <xf numFmtId="0" fontId="3" fillId="0" borderId="110" xfId="7" applyFont="1" applyBorder="1" applyAlignment="1">
      <alignment vertical="top"/>
    </xf>
    <xf numFmtId="165" fontId="3" fillId="0" borderId="5" xfId="7" applyNumberFormat="1" applyFont="1" applyBorder="1" applyAlignment="1">
      <alignment horizontal="center"/>
    </xf>
    <xf numFmtId="167" fontId="3" fillId="0" borderId="7" xfId="7" applyNumberFormat="1" applyFont="1" applyBorder="1" applyAlignment="1">
      <alignment horizontal="center" wrapText="1"/>
    </xf>
    <xf numFmtId="167" fontId="3" fillId="0" borderId="6" xfId="7" applyNumberFormat="1" applyFont="1" applyBorder="1" applyAlignment="1">
      <alignment horizontal="center" wrapText="1"/>
    </xf>
    <xf numFmtId="0" fontId="3" fillId="0" borderId="67" xfId="7" applyFont="1" applyBorder="1" applyAlignment="1">
      <alignment vertical="top" wrapText="1"/>
    </xf>
    <xf numFmtId="165" fontId="3" fillId="2" borderId="9" xfId="7" applyNumberFormat="1" applyFont="1" applyFill="1" applyBorder="1" applyAlignment="1">
      <alignment horizontal="center"/>
    </xf>
    <xf numFmtId="167" fontId="3" fillId="2" borderId="11" xfId="7" applyNumberFormat="1" applyFont="1" applyFill="1" applyBorder="1" applyAlignment="1">
      <alignment horizontal="center"/>
    </xf>
    <xf numFmtId="167" fontId="3" fillId="2" borderId="10" xfId="7" applyNumberFormat="1" applyFont="1" applyFill="1" applyBorder="1" applyAlignment="1">
      <alignment horizontal="center"/>
    </xf>
    <xf numFmtId="0" fontId="3" fillId="0" borderId="67" xfId="7" applyFont="1" applyBorder="1" applyAlignment="1">
      <alignment vertical="top"/>
    </xf>
    <xf numFmtId="167" fontId="3" fillId="0" borderId="7" xfId="7" applyNumberFormat="1" applyFont="1" applyBorder="1" applyAlignment="1">
      <alignment horizontal="center"/>
    </xf>
    <xf numFmtId="167" fontId="3" fillId="0" borderId="6" xfId="7" applyNumberFormat="1" applyFont="1" applyBorder="1" applyAlignment="1">
      <alignment horizontal="center"/>
    </xf>
    <xf numFmtId="0" fontId="3" fillId="3" borderId="13" xfId="7" applyFont="1" applyFill="1" applyBorder="1" applyAlignment="1">
      <alignment horizontal="center" wrapText="1"/>
    </xf>
    <xf numFmtId="0" fontId="3" fillId="3" borderId="14" xfId="7" applyFont="1" applyFill="1" applyBorder="1" applyAlignment="1">
      <alignment horizontal="center" wrapText="1"/>
    </xf>
    <xf numFmtId="0" fontId="3" fillId="3" borderId="34" xfId="7" applyFont="1" applyFill="1" applyBorder="1" applyAlignment="1">
      <alignment horizontal="center" wrapText="1"/>
    </xf>
    <xf numFmtId="0" fontId="0" fillId="0" borderId="0" xfId="0" applyAlignment="1">
      <alignment vertical="top"/>
    </xf>
    <xf numFmtId="0" fontId="2" fillId="0" borderId="0" xfId="7" applyAlignment="1">
      <alignment vertical="top"/>
    </xf>
    <xf numFmtId="165" fontId="3" fillId="0" borderId="2" xfId="7" applyNumberFormat="1" applyFont="1" applyBorder="1" applyAlignment="1">
      <alignment horizontal="center" vertical="center"/>
    </xf>
    <xf numFmtId="0" fontId="2" fillId="0" borderId="0" xfId="7" applyAlignment="1">
      <alignment vertical="top" wrapText="1"/>
    </xf>
    <xf numFmtId="164" fontId="3" fillId="0" borderId="5" xfId="2" applyNumberFormat="1" applyFont="1" applyBorder="1" applyAlignment="1">
      <alignment horizontal="center" vertical="center" wrapText="1"/>
    </xf>
    <xf numFmtId="165" fontId="3" fillId="0" borderId="6" xfId="7" applyNumberFormat="1" applyFont="1" applyBorder="1" applyAlignment="1">
      <alignment horizontal="center" vertical="center" wrapText="1"/>
    </xf>
    <xf numFmtId="164" fontId="3" fillId="0" borderId="7" xfId="2" applyNumberFormat="1" applyFont="1" applyBorder="1" applyAlignment="1">
      <alignment horizontal="center" vertical="center" wrapText="1"/>
    </xf>
    <xf numFmtId="165" fontId="3" fillId="2" borderId="11" xfId="3" applyNumberFormat="1" applyFont="1" applyFill="1" applyBorder="1" applyAlignment="1">
      <alignment horizontal="center" wrapText="1"/>
    </xf>
    <xf numFmtId="165" fontId="3" fillId="2" borderId="10" xfId="3" applyNumberFormat="1" applyFont="1" applyFill="1" applyBorder="1" applyAlignment="1">
      <alignment horizontal="center" wrapText="1"/>
    </xf>
    <xf numFmtId="165" fontId="3" fillId="0" borderId="6" xfId="7" applyNumberFormat="1" applyFont="1" applyBorder="1" applyAlignment="1">
      <alignment horizontal="center" vertical="center"/>
    </xf>
    <xf numFmtId="0" fontId="0" fillId="3" borderId="54" xfId="0" applyFill="1" applyBorder="1" applyAlignment="1">
      <alignment horizontal="center"/>
    </xf>
    <xf numFmtId="0" fontId="5" fillId="4" borderId="49" xfId="3" applyFont="1" applyFill="1" applyBorder="1" applyAlignment="1">
      <alignment horizontal="center" vertical="center" wrapText="1"/>
    </xf>
    <xf numFmtId="0" fontId="5" fillId="4" borderId="8" xfId="3" applyFont="1" applyFill="1" applyBorder="1" applyAlignment="1">
      <alignment horizontal="center" vertical="center" wrapText="1"/>
    </xf>
    <xf numFmtId="0" fontId="5" fillId="4" borderId="66" xfId="3" applyFont="1" applyFill="1" applyBorder="1" applyAlignment="1">
      <alignment horizontal="center" vertical="center" wrapText="1"/>
    </xf>
    <xf numFmtId="0" fontId="3" fillId="0" borderId="88" xfId="3" applyFont="1" applyBorder="1" applyAlignment="1">
      <alignment horizontal="center" vertical="center" wrapText="1"/>
    </xf>
    <xf numFmtId="0" fontId="3" fillId="0" borderId="85" xfId="3" applyFont="1" applyBorder="1" applyAlignment="1">
      <alignment horizontal="center" vertical="center" wrapText="1"/>
    </xf>
    <xf numFmtId="0" fontId="3" fillId="0" borderId="93" xfId="3" applyFont="1" applyBorder="1" applyAlignment="1">
      <alignment horizontal="center" vertical="center" wrapText="1"/>
    </xf>
    <xf numFmtId="0" fontId="19" fillId="4" borderId="49" xfId="6" applyFont="1" applyFill="1" applyBorder="1" applyAlignment="1">
      <alignment horizontal="center" vertical="center" wrapText="1"/>
    </xf>
    <xf numFmtId="0" fontId="19" fillId="4" borderId="97" xfId="6" applyFont="1" applyFill="1" applyBorder="1" applyAlignment="1">
      <alignment horizontal="center" vertical="center" wrapText="1"/>
    </xf>
    <xf numFmtId="0" fontId="19" fillId="4" borderId="8" xfId="6" applyFont="1" applyFill="1" applyBorder="1" applyAlignment="1">
      <alignment horizontal="center" vertical="center" wrapText="1"/>
    </xf>
    <xf numFmtId="0" fontId="19" fillId="4" borderId="94" xfId="6" applyFont="1" applyFill="1" applyBorder="1" applyAlignment="1">
      <alignment horizontal="center" vertical="center" wrapText="1"/>
    </xf>
    <xf numFmtId="0" fontId="3" fillId="0" borderId="96" xfId="3" applyFont="1" applyBorder="1" applyAlignment="1">
      <alignment horizontal="center" wrapText="1"/>
    </xf>
    <xf numFmtId="0" fontId="3" fillId="0" borderId="28" xfId="3" applyFont="1" applyBorder="1" applyAlignment="1">
      <alignment horizontal="center" wrapText="1"/>
    </xf>
    <xf numFmtId="0" fontId="3" fillId="0" borderId="95" xfId="3" applyFont="1" applyBorder="1" applyAlignment="1">
      <alignment horizontal="center" wrapText="1"/>
    </xf>
    <xf numFmtId="0" fontId="0" fillId="0" borderId="76" xfId="0" applyBorder="1" applyAlignment="1">
      <alignment horizontal="center"/>
    </xf>
    <xf numFmtId="0" fontId="0" fillId="0" borderId="75" xfId="0" applyBorder="1" applyAlignment="1">
      <alignment horizontal="center"/>
    </xf>
    <xf numFmtId="0" fontId="5" fillId="4" borderId="78" xfId="3" applyFont="1" applyFill="1" applyBorder="1" applyAlignment="1">
      <alignment horizontal="center" vertical="center" wrapText="1"/>
    </xf>
    <xf numFmtId="0" fontId="5" fillId="4" borderId="67" xfId="3" applyFont="1" applyFill="1" applyBorder="1" applyAlignment="1">
      <alignment horizontal="center" vertical="center" wrapText="1"/>
    </xf>
    <xf numFmtId="0" fontId="5" fillId="4" borderId="77" xfId="3" applyFont="1" applyFill="1" applyBorder="1" applyAlignment="1">
      <alignment horizontal="center" vertical="center" wrapText="1"/>
    </xf>
    <xf numFmtId="0" fontId="3" fillId="0" borderId="68" xfId="3" applyFont="1" applyBorder="1" applyAlignment="1">
      <alignment horizontal="center" wrapText="1"/>
    </xf>
    <xf numFmtId="0" fontId="3" fillId="0" borderId="23" xfId="3" applyFont="1" applyBorder="1" applyAlignment="1">
      <alignment horizontal="center" wrapText="1"/>
    </xf>
    <xf numFmtId="0" fontId="3" fillId="0" borderId="22" xfId="3" applyFont="1" applyBorder="1" applyAlignment="1">
      <alignment horizontal="center" wrapText="1"/>
    </xf>
    <xf numFmtId="0" fontId="3" fillId="3" borderId="20" xfId="3" applyFont="1" applyFill="1" applyBorder="1" applyAlignment="1">
      <alignment horizontal="center" wrapText="1"/>
    </xf>
    <xf numFmtId="0" fontId="2" fillId="3" borderId="18" xfId="3" applyFont="1" applyFill="1" applyBorder="1" applyAlignment="1">
      <alignment horizontal="center" vertical="center"/>
    </xf>
    <xf numFmtId="0" fontId="0" fillId="3" borderId="52" xfId="0" applyFill="1" applyBorder="1" applyAlignment="1">
      <alignment horizontal="center"/>
    </xf>
    <xf numFmtId="0" fontId="3" fillId="0" borderId="24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0" fontId="3" fillId="0" borderId="22" xfId="0" applyFont="1" applyBorder="1" applyAlignment="1">
      <alignment horizontal="center" wrapText="1"/>
    </xf>
    <xf numFmtId="0" fontId="3" fillId="4" borderId="20" xfId="0" applyFont="1" applyFill="1" applyBorder="1" applyAlignment="1">
      <alignment horizontal="center" wrapText="1"/>
    </xf>
    <xf numFmtId="0" fontId="0" fillId="4" borderId="18" xfId="0" applyFont="1" applyFill="1" applyBorder="1" applyAlignment="1">
      <alignment horizontal="center" vertical="center"/>
    </xf>
    <xf numFmtId="0" fontId="3" fillId="4" borderId="19" xfId="0" applyFont="1" applyFill="1" applyBorder="1" applyAlignment="1">
      <alignment horizontal="center" wrapText="1"/>
    </xf>
    <xf numFmtId="0" fontId="3" fillId="4" borderId="17" xfId="0" applyFont="1" applyFill="1" applyBorder="1" applyAlignment="1">
      <alignment horizontal="center" wrapText="1"/>
    </xf>
    <xf numFmtId="0" fontId="0" fillId="4" borderId="16" xfId="0" applyFont="1" applyFill="1" applyBorder="1" applyAlignment="1">
      <alignment horizontal="center" vertical="center"/>
    </xf>
    <xf numFmtId="0" fontId="5" fillId="4" borderId="25" xfId="3" applyFont="1" applyFill="1" applyBorder="1" applyAlignment="1">
      <alignment horizontal="center" vertical="center" wrapText="1"/>
    </xf>
    <xf numFmtId="0" fontId="5" fillId="4" borderId="21" xfId="3" applyFont="1" applyFill="1" applyBorder="1" applyAlignment="1">
      <alignment horizontal="center" vertical="center" wrapText="1"/>
    </xf>
    <xf numFmtId="0" fontId="5" fillId="4" borderId="15" xfId="3" applyFont="1" applyFill="1" applyBorder="1" applyAlignment="1">
      <alignment horizontal="center" vertical="center" wrapText="1"/>
    </xf>
    <xf numFmtId="0" fontId="3" fillId="4" borderId="20" xfId="0" applyFont="1" applyFill="1" applyBorder="1" applyAlignment="1">
      <alignment horizontal="center" vertical="center" wrapText="1"/>
    </xf>
    <xf numFmtId="0" fontId="3" fillId="4" borderId="19" xfId="0" applyFont="1" applyFill="1" applyBorder="1" applyAlignment="1">
      <alignment horizontal="center" vertical="center" wrapText="1"/>
    </xf>
    <xf numFmtId="0" fontId="3" fillId="4" borderId="17" xfId="0" applyFont="1" applyFill="1" applyBorder="1" applyAlignment="1">
      <alignment horizontal="center" vertical="center" wrapText="1"/>
    </xf>
    <xf numFmtId="0" fontId="0" fillId="4" borderId="26" xfId="0" applyFont="1" applyFill="1" applyBorder="1" applyAlignment="1">
      <alignment horizontal="center" vertical="center"/>
    </xf>
    <xf numFmtId="0" fontId="3" fillId="0" borderId="29" xfId="0" applyFont="1" applyBorder="1" applyAlignment="1">
      <alignment horizontal="center" wrapText="1"/>
    </xf>
    <xf numFmtId="0" fontId="3" fillId="0" borderId="28" xfId="0" applyFont="1" applyBorder="1" applyAlignment="1">
      <alignment horizontal="center" wrapText="1"/>
    </xf>
    <xf numFmtId="0" fontId="3" fillId="0" borderId="27" xfId="0" applyFont="1" applyBorder="1" applyAlignment="1">
      <alignment horizontal="center" wrapText="1"/>
    </xf>
    <xf numFmtId="0" fontId="7" fillId="3" borderId="20" xfId="0" applyFont="1" applyFill="1" applyBorder="1" applyAlignment="1">
      <alignment horizontal="center" wrapText="1"/>
    </xf>
    <xf numFmtId="0" fontId="6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wrapText="1"/>
    </xf>
    <xf numFmtId="0" fontId="7" fillId="3" borderId="17" xfId="0" applyFont="1" applyFill="1" applyBorder="1" applyAlignment="1">
      <alignment horizontal="center" wrapText="1"/>
    </xf>
    <xf numFmtId="0" fontId="6" fillId="3" borderId="26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wrapText="1"/>
    </xf>
    <xf numFmtId="0" fontId="0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wrapText="1"/>
    </xf>
    <xf numFmtId="0" fontId="0" fillId="3" borderId="16" xfId="0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3" fillId="0" borderId="33" xfId="3" applyFont="1" applyBorder="1" applyAlignment="1">
      <alignment horizontal="center" wrapText="1"/>
    </xf>
    <xf numFmtId="0" fontId="2" fillId="0" borderId="23" xfId="3" applyFont="1" applyBorder="1" applyAlignment="1">
      <alignment horizontal="center" vertical="center"/>
    </xf>
    <xf numFmtId="0" fontId="2" fillId="0" borderId="22" xfId="3" applyFont="1" applyBorder="1" applyAlignment="1">
      <alignment horizontal="center" vertical="center"/>
    </xf>
    <xf numFmtId="0" fontId="8" fillId="4" borderId="25" xfId="3" applyFont="1" applyFill="1" applyBorder="1" applyAlignment="1">
      <alignment horizontal="center" vertical="center" wrapText="1"/>
    </xf>
    <xf numFmtId="0" fontId="8" fillId="4" borderId="15" xfId="3" applyFont="1" applyFill="1" applyBorder="1" applyAlignment="1">
      <alignment horizontal="center" vertical="center" wrapText="1"/>
    </xf>
    <xf numFmtId="0" fontId="10" fillId="3" borderId="17" xfId="0" applyFont="1" applyFill="1" applyBorder="1" applyAlignment="1">
      <alignment horizontal="center" vertical="center" wrapText="1"/>
    </xf>
    <xf numFmtId="0" fontId="9" fillId="3" borderId="16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/>
    </xf>
    <xf numFmtId="0" fontId="7" fillId="4" borderId="19" xfId="0" applyFont="1" applyFill="1" applyBorder="1" applyAlignment="1">
      <alignment horizontal="center" vertical="center" wrapText="1"/>
    </xf>
    <xf numFmtId="0" fontId="10" fillId="3" borderId="20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wrapText="1"/>
    </xf>
    <xf numFmtId="0" fontId="0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wrapText="1"/>
    </xf>
    <xf numFmtId="0" fontId="7" fillId="4" borderId="17" xfId="0" applyFont="1" applyFill="1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/>
    </xf>
    <xf numFmtId="0" fontId="3" fillId="0" borderId="17" xfId="0" applyFont="1" applyBorder="1" applyAlignment="1">
      <alignment horizontal="center" wrapText="1"/>
    </xf>
    <xf numFmtId="0" fontId="0" fillId="0" borderId="16" xfId="0" applyFont="1" applyBorder="1" applyAlignment="1">
      <alignment horizontal="center" vertical="center"/>
    </xf>
    <xf numFmtId="0" fontId="3" fillId="0" borderId="24" xfId="3" applyFont="1" applyBorder="1" applyAlignment="1">
      <alignment horizontal="center" wrapText="1"/>
    </xf>
    <xf numFmtId="0" fontId="3" fillId="4" borderId="51" xfId="3" applyFont="1" applyFill="1" applyBorder="1" applyAlignment="1">
      <alignment horizontal="center" wrapText="1"/>
    </xf>
    <xf numFmtId="0" fontId="3" fillId="4" borderId="18" xfId="3" applyFont="1" applyFill="1" applyBorder="1" applyAlignment="1">
      <alignment horizontal="center" wrapText="1"/>
    </xf>
    <xf numFmtId="0" fontId="3" fillId="4" borderId="50" xfId="3" applyFont="1" applyFill="1" applyBorder="1" applyAlignment="1">
      <alignment horizontal="center" wrapText="1"/>
    </xf>
    <xf numFmtId="0" fontId="3" fillId="4" borderId="16" xfId="3" applyFont="1" applyFill="1" applyBorder="1" applyAlignment="1">
      <alignment horizontal="center" wrapText="1"/>
    </xf>
    <xf numFmtId="0" fontId="3" fillId="4" borderId="20" xfId="3" applyFont="1" applyFill="1" applyBorder="1" applyAlignment="1">
      <alignment horizontal="center" wrapText="1"/>
    </xf>
    <xf numFmtId="0" fontId="2" fillId="4" borderId="18" xfId="3" applyFont="1" applyFill="1" applyBorder="1" applyAlignment="1">
      <alignment horizontal="center" vertical="center"/>
    </xf>
    <xf numFmtId="0" fontId="3" fillId="4" borderId="19" xfId="3" applyFont="1" applyFill="1" applyBorder="1" applyAlignment="1">
      <alignment horizontal="center" wrapText="1"/>
    </xf>
    <xf numFmtId="0" fontId="3" fillId="4" borderId="20" xfId="3" applyFont="1" applyFill="1" applyBorder="1" applyAlignment="1">
      <alignment horizontal="center" vertical="center" wrapText="1"/>
    </xf>
    <xf numFmtId="0" fontId="3" fillId="4" borderId="19" xfId="3" applyFont="1" applyFill="1" applyBorder="1" applyAlignment="1">
      <alignment horizontal="center" vertical="center" wrapText="1"/>
    </xf>
    <xf numFmtId="0" fontId="3" fillId="4" borderId="17" xfId="3" applyFont="1" applyFill="1" applyBorder="1" applyAlignment="1">
      <alignment horizontal="center" vertical="center" wrapText="1"/>
    </xf>
    <xf numFmtId="0" fontId="2" fillId="4" borderId="16" xfId="3" applyFont="1" applyFill="1" applyBorder="1" applyAlignment="1">
      <alignment horizontal="center" vertical="center"/>
    </xf>
    <xf numFmtId="0" fontId="3" fillId="4" borderId="17" xfId="3" applyFont="1" applyFill="1" applyBorder="1" applyAlignment="1">
      <alignment horizontal="center" wrapText="1"/>
    </xf>
    <xf numFmtId="0" fontId="3" fillId="0" borderId="29" xfId="3" applyFont="1" applyBorder="1" applyAlignment="1">
      <alignment horizontal="center" wrapText="1"/>
    </xf>
    <xf numFmtId="0" fontId="3" fillId="0" borderId="27" xfId="3" applyFont="1" applyBorder="1" applyAlignment="1">
      <alignment horizontal="center" wrapText="1"/>
    </xf>
    <xf numFmtId="0" fontId="2" fillId="4" borderId="26" xfId="3" applyFont="1" applyFill="1" applyBorder="1" applyAlignment="1">
      <alignment horizontal="center" vertical="center"/>
    </xf>
    <xf numFmtId="0" fontId="17" fillId="4" borderId="19" xfId="3" applyFont="1" applyFill="1" applyBorder="1" applyAlignment="1">
      <alignment horizontal="center" vertical="center" wrapText="1"/>
    </xf>
    <xf numFmtId="0" fontId="17" fillId="4" borderId="17" xfId="3" applyFont="1" applyFill="1" applyBorder="1" applyAlignment="1">
      <alignment horizontal="center" vertical="center" wrapText="1"/>
    </xf>
    <xf numFmtId="0" fontId="17" fillId="4" borderId="48" xfId="3" applyFont="1" applyFill="1" applyBorder="1" applyAlignment="1">
      <alignment horizontal="center" vertical="center" wrapText="1"/>
    </xf>
    <xf numFmtId="0" fontId="3" fillId="3" borderId="19" xfId="3" applyFont="1" applyFill="1" applyBorder="1" applyAlignment="1">
      <alignment horizontal="center" wrapText="1"/>
    </xf>
    <xf numFmtId="0" fontId="3" fillId="3" borderId="17" xfId="3" applyFont="1" applyFill="1" applyBorder="1" applyAlignment="1">
      <alignment horizontal="center" wrapText="1"/>
    </xf>
    <xf numFmtId="0" fontId="2" fillId="3" borderId="16" xfId="3" applyFont="1" applyFill="1" applyBorder="1" applyAlignment="1">
      <alignment horizontal="center" vertical="center"/>
    </xf>
    <xf numFmtId="0" fontId="17" fillId="4" borderId="64" xfId="3" applyFont="1" applyFill="1" applyBorder="1" applyAlignment="1">
      <alignment horizontal="center" vertical="center" wrapText="1"/>
    </xf>
    <xf numFmtId="0" fontId="2" fillId="4" borderId="62" xfId="3" applyFont="1" applyFill="1" applyBorder="1" applyAlignment="1">
      <alignment horizontal="center" vertical="center"/>
    </xf>
    <xf numFmtId="0" fontId="17" fillId="4" borderId="63" xfId="3" applyFont="1" applyFill="1" applyBorder="1" applyAlignment="1">
      <alignment horizontal="center" vertical="center" wrapText="1"/>
    </xf>
    <xf numFmtId="0" fontId="0" fillId="0" borderId="65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3" borderId="76" xfId="0" applyFill="1" applyBorder="1" applyAlignment="1">
      <alignment horizontal="center"/>
    </xf>
    <xf numFmtId="0" fontId="3" fillId="0" borderId="35" xfId="3" applyFont="1" applyBorder="1" applyAlignment="1">
      <alignment horizontal="center" wrapText="1"/>
    </xf>
    <xf numFmtId="0" fontId="2" fillId="0" borderId="125" xfId="3" applyFont="1" applyBorder="1" applyAlignment="1">
      <alignment horizontal="center" vertical="center"/>
    </xf>
    <xf numFmtId="0" fontId="12" fillId="4" borderId="78" xfId="3" applyFont="1" applyFill="1" applyBorder="1" applyAlignment="1">
      <alignment horizontal="center" vertical="center" wrapText="1"/>
    </xf>
    <xf numFmtId="0" fontId="12" fillId="4" borderId="77" xfId="3" applyFont="1" applyFill="1" applyBorder="1" applyAlignment="1">
      <alignment horizontal="center" vertical="center" wrapText="1"/>
    </xf>
    <xf numFmtId="0" fontId="24" fillId="4" borderId="78" xfId="3" applyFont="1" applyFill="1" applyBorder="1" applyAlignment="1">
      <alignment horizontal="center" vertical="center" wrapText="1"/>
    </xf>
    <xf numFmtId="0" fontId="24" fillId="4" borderId="67" xfId="3" applyFont="1" applyFill="1" applyBorder="1" applyAlignment="1">
      <alignment horizontal="center" vertical="center" wrapText="1"/>
    </xf>
    <xf numFmtId="0" fontId="24" fillId="4" borderId="77" xfId="3" applyFont="1" applyFill="1" applyBorder="1" applyAlignment="1">
      <alignment horizontal="center" vertical="center" wrapText="1"/>
    </xf>
    <xf numFmtId="0" fontId="20" fillId="0" borderId="0" xfId="3" applyFont="1" applyBorder="1" applyAlignment="1">
      <alignment horizontal="center" vertical="center" wrapText="1"/>
    </xf>
    <xf numFmtId="0" fontId="24" fillId="3" borderId="49" xfId="3" applyFont="1" applyFill="1" applyBorder="1" applyAlignment="1">
      <alignment horizontal="center" vertical="center" wrapText="1"/>
    </xf>
    <xf numFmtId="0" fontId="24" fillId="3" borderId="120" xfId="3" applyFont="1" applyFill="1" applyBorder="1" applyAlignment="1">
      <alignment horizontal="center" vertical="center" wrapText="1"/>
    </xf>
    <xf numFmtId="0" fontId="24" fillId="3" borderId="8" xfId="3" applyFont="1" applyFill="1" applyBorder="1" applyAlignment="1">
      <alignment horizontal="center" vertical="center" wrapText="1"/>
    </xf>
    <xf numFmtId="0" fontId="24" fillId="3" borderId="38" xfId="3" applyFont="1" applyFill="1" applyBorder="1" applyAlignment="1">
      <alignment horizontal="center" vertical="center" wrapText="1"/>
    </xf>
    <xf numFmtId="0" fontId="3" fillId="0" borderId="24" xfId="3" applyFont="1" applyBorder="1" applyAlignment="1">
      <alignment horizontal="left" vertical="top" wrapText="1"/>
    </xf>
    <xf numFmtId="0" fontId="2" fillId="0" borderId="8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0" fontId="22" fillId="4" borderId="78" xfId="3" applyFont="1" applyFill="1" applyBorder="1" applyAlignment="1">
      <alignment horizontal="center" vertical="center" wrapText="1"/>
    </xf>
    <xf numFmtId="0" fontId="22" fillId="4" borderId="67" xfId="3" applyFont="1" applyFill="1" applyBorder="1" applyAlignment="1">
      <alignment horizontal="center" vertical="center" wrapText="1"/>
    </xf>
    <xf numFmtId="0" fontId="22" fillId="4" borderId="77" xfId="3" applyFont="1" applyFill="1" applyBorder="1" applyAlignment="1">
      <alignment horizontal="center" vertical="center" wrapText="1"/>
    </xf>
    <xf numFmtId="0" fontId="2" fillId="0" borderId="28" xfId="3" applyFont="1" applyBorder="1" applyAlignment="1">
      <alignment horizontal="center" vertical="center"/>
    </xf>
    <xf numFmtId="0" fontId="2" fillId="0" borderId="95" xfId="3" applyFont="1" applyBorder="1" applyAlignment="1">
      <alignment horizontal="center" vertical="center"/>
    </xf>
    <xf numFmtId="0" fontId="0" fillId="0" borderId="52" xfId="0" applyBorder="1" applyAlignment="1">
      <alignment vertical="center" wrapText="1"/>
    </xf>
    <xf numFmtId="0" fontId="0" fillId="3" borderId="104" xfId="0" applyFill="1" applyBorder="1" applyAlignment="1">
      <alignment horizontal="center"/>
    </xf>
    <xf numFmtId="0" fontId="3" fillId="3" borderId="119" xfId="3" applyFont="1" applyFill="1" applyBorder="1" applyAlignment="1">
      <alignment horizontal="center" wrapText="1"/>
    </xf>
    <xf numFmtId="0" fontId="2" fillId="3" borderId="43" xfId="3" applyFont="1" applyFill="1" applyBorder="1" applyAlignment="1">
      <alignment horizontal="center" vertical="center"/>
    </xf>
    <xf numFmtId="0" fontId="0" fillId="3" borderId="75" xfId="0" applyFill="1" applyBorder="1" applyAlignment="1">
      <alignment horizontal="center"/>
    </xf>
    <xf numFmtId="0" fontId="3" fillId="3" borderId="86" xfId="3" applyFont="1" applyFill="1" applyBorder="1" applyAlignment="1">
      <alignment horizontal="center" wrapText="1"/>
    </xf>
    <xf numFmtId="0" fontId="3" fillId="3" borderId="42" xfId="3" applyFont="1" applyFill="1" applyBorder="1" applyAlignment="1">
      <alignment horizontal="center" wrapText="1"/>
    </xf>
    <xf numFmtId="0" fontId="5" fillId="4" borderId="4" xfId="3" applyFont="1" applyFill="1" applyBorder="1" applyAlignment="1">
      <alignment horizontal="center" vertical="center" wrapText="1"/>
    </xf>
    <xf numFmtId="0" fontId="17" fillId="0" borderId="24" xfId="3" applyFont="1" applyBorder="1" applyAlignment="1">
      <alignment horizontal="center" wrapText="1"/>
    </xf>
    <xf numFmtId="0" fontId="17" fillId="0" borderId="23" xfId="3" applyFont="1" applyBorder="1" applyAlignment="1">
      <alignment horizontal="center" wrapText="1"/>
    </xf>
    <xf numFmtId="0" fontId="17" fillId="0" borderId="22" xfId="3" applyFont="1" applyBorder="1" applyAlignment="1">
      <alignment horizontal="center" wrapText="1"/>
    </xf>
    <xf numFmtId="0" fontId="7" fillId="4" borderId="20" xfId="3" applyFont="1" applyFill="1" applyBorder="1" applyAlignment="1">
      <alignment horizontal="center" vertical="center" wrapText="1"/>
    </xf>
    <xf numFmtId="0" fontId="13" fillId="4" borderId="18" xfId="3" applyFont="1" applyFill="1" applyBorder="1" applyAlignment="1">
      <alignment horizontal="center" vertical="center"/>
    </xf>
    <xf numFmtId="0" fontId="7" fillId="4" borderId="19" xfId="3" applyFont="1" applyFill="1" applyBorder="1" applyAlignment="1">
      <alignment horizontal="center" vertical="center" wrapText="1"/>
    </xf>
    <xf numFmtId="0" fontId="7" fillId="4" borderId="17" xfId="3" applyFont="1" applyFill="1" applyBorder="1" applyAlignment="1">
      <alignment horizontal="center" vertical="center" wrapText="1"/>
    </xf>
    <xf numFmtId="0" fontId="13" fillId="4" borderId="16" xfId="3" applyFont="1" applyFill="1" applyBorder="1" applyAlignment="1">
      <alignment horizontal="center" vertical="center"/>
    </xf>
    <xf numFmtId="0" fontId="10" fillId="4" borderId="19" xfId="3" applyFont="1" applyFill="1" applyBorder="1" applyAlignment="1">
      <alignment horizontal="center" vertical="center" wrapText="1"/>
    </xf>
    <xf numFmtId="0" fontId="15" fillId="4" borderId="18" xfId="3" applyFont="1" applyFill="1" applyBorder="1" applyAlignment="1">
      <alignment horizontal="center" vertical="center" wrapText="1"/>
    </xf>
    <xf numFmtId="0" fontId="7" fillId="4" borderId="20" xfId="3" applyFont="1" applyFill="1" applyBorder="1" applyAlignment="1">
      <alignment horizontal="center" wrapText="1"/>
    </xf>
    <xf numFmtId="0" fontId="7" fillId="4" borderId="19" xfId="3" applyFont="1" applyFill="1" applyBorder="1" applyAlignment="1">
      <alignment horizontal="center" wrapText="1"/>
    </xf>
    <xf numFmtId="0" fontId="7" fillId="4" borderId="17" xfId="3" applyFont="1" applyFill="1" applyBorder="1" applyAlignment="1">
      <alignment horizontal="center" wrapText="1"/>
    </xf>
    <xf numFmtId="0" fontId="3" fillId="4" borderId="19" xfId="4" applyFont="1" applyFill="1" applyBorder="1" applyAlignment="1">
      <alignment horizontal="center" vertical="center" wrapText="1"/>
    </xf>
    <xf numFmtId="0" fontId="2" fillId="4" borderId="18" xfId="4" applyFont="1" applyFill="1" applyBorder="1" applyAlignment="1">
      <alignment horizontal="center" vertical="center"/>
    </xf>
    <xf numFmtId="0" fontId="3" fillId="4" borderId="17" xfId="4" applyFont="1" applyFill="1" applyBorder="1" applyAlignment="1">
      <alignment horizontal="center" vertical="center" wrapText="1"/>
    </xf>
    <xf numFmtId="0" fontId="2" fillId="4" borderId="16" xfId="4" applyFont="1" applyFill="1" applyBorder="1" applyAlignment="1">
      <alignment horizontal="center" vertical="center"/>
    </xf>
    <xf numFmtId="0" fontId="10" fillId="4" borderId="48" xfId="3" applyFont="1" applyFill="1" applyBorder="1" applyAlignment="1">
      <alignment horizontal="center" vertical="center" wrapText="1"/>
    </xf>
    <xf numFmtId="0" fontId="8" fillId="4" borderId="21" xfId="3" applyFont="1" applyFill="1" applyBorder="1" applyAlignment="1">
      <alignment horizontal="center" vertical="center" wrapText="1"/>
    </xf>
    <xf numFmtId="0" fontId="14" fillId="4" borderId="49" xfId="3" applyFont="1" applyFill="1" applyBorder="1" applyAlignment="1">
      <alignment horizontal="center" vertical="center" wrapText="1"/>
    </xf>
    <xf numFmtId="0" fontId="14" fillId="4" borderId="8" xfId="3" applyFont="1" applyFill="1" applyBorder="1" applyAlignment="1">
      <alignment horizontal="center" vertical="center" wrapText="1"/>
    </xf>
    <xf numFmtId="0" fontId="14" fillId="4" borderId="4" xfId="3" applyFont="1" applyFill="1" applyBorder="1" applyAlignment="1">
      <alignment horizontal="center" vertical="center" wrapText="1"/>
    </xf>
    <xf numFmtId="0" fontId="10" fillId="4" borderId="17" xfId="3" applyFont="1" applyFill="1" applyBorder="1" applyAlignment="1">
      <alignment horizontal="center" vertical="center" wrapText="1"/>
    </xf>
    <xf numFmtId="0" fontId="15" fillId="4" borderId="16" xfId="3" applyFont="1" applyFill="1" applyBorder="1" applyAlignment="1">
      <alignment horizontal="center" vertical="center" wrapText="1"/>
    </xf>
    <xf numFmtId="0" fontId="3" fillId="0" borderId="24" xfId="4" applyFont="1" applyBorder="1" applyAlignment="1">
      <alignment horizontal="center" wrapText="1"/>
    </xf>
    <xf numFmtId="0" fontId="3" fillId="0" borderId="23" xfId="4" applyFont="1" applyBorder="1" applyAlignment="1">
      <alignment horizontal="center" wrapText="1"/>
    </xf>
    <xf numFmtId="0" fontId="3" fillId="0" borderId="22" xfId="4" applyFont="1" applyBorder="1" applyAlignment="1">
      <alignment horizontal="center" wrapText="1"/>
    </xf>
    <xf numFmtId="0" fontId="3" fillId="4" borderId="20" xfId="4" applyFont="1" applyFill="1" applyBorder="1" applyAlignment="1">
      <alignment horizontal="center" vertical="center" wrapText="1"/>
    </xf>
    <xf numFmtId="0" fontId="12" fillId="4" borderId="18" xfId="3" applyFont="1" applyFill="1" applyBorder="1" applyAlignment="1">
      <alignment horizontal="center" vertical="center"/>
    </xf>
    <xf numFmtId="0" fontId="12" fillId="4" borderId="16" xfId="3" applyFont="1" applyFill="1" applyBorder="1" applyAlignment="1">
      <alignment horizontal="center" vertical="center"/>
    </xf>
    <xf numFmtId="0" fontId="13" fillId="4" borderId="18" xfId="3" applyFont="1" applyFill="1" applyBorder="1" applyAlignment="1">
      <alignment horizontal="center" vertical="center" wrapText="1"/>
    </xf>
    <xf numFmtId="0" fontId="11" fillId="4" borderId="25" xfId="3" applyFont="1" applyFill="1" applyBorder="1" applyAlignment="1">
      <alignment horizontal="center" vertical="center" wrapText="1"/>
    </xf>
    <xf numFmtId="0" fontId="11" fillId="4" borderId="21" xfId="3" applyFont="1" applyFill="1" applyBorder="1" applyAlignment="1">
      <alignment horizontal="center" vertical="center" wrapText="1"/>
    </xf>
    <xf numFmtId="0" fontId="3" fillId="3" borderId="17" xfId="3" applyFont="1" applyFill="1" applyBorder="1" applyAlignment="1">
      <alignment horizontal="center" vertical="center" wrapText="1"/>
    </xf>
    <xf numFmtId="0" fontId="3" fillId="3" borderId="20" xfId="3" applyFont="1" applyFill="1" applyBorder="1" applyAlignment="1">
      <alignment horizontal="center" vertical="center" wrapText="1"/>
    </xf>
    <xf numFmtId="0" fontId="3" fillId="3" borderId="19" xfId="3" applyFont="1" applyFill="1" applyBorder="1" applyAlignment="1">
      <alignment horizontal="center" vertical="center" wrapText="1"/>
    </xf>
    <xf numFmtId="0" fontId="5" fillId="3" borderId="25" xfId="3" applyFont="1" applyFill="1" applyBorder="1" applyAlignment="1">
      <alignment horizontal="center" vertical="center" wrapText="1"/>
    </xf>
    <xf numFmtId="0" fontId="5" fillId="3" borderId="21" xfId="3" applyFont="1" applyFill="1" applyBorder="1" applyAlignment="1">
      <alignment horizontal="center" vertical="center" wrapText="1"/>
    </xf>
    <xf numFmtId="0" fontId="5" fillId="3" borderId="15" xfId="3" applyFont="1" applyFill="1" applyBorder="1" applyAlignment="1">
      <alignment horizontal="center" vertical="center" wrapText="1"/>
    </xf>
    <xf numFmtId="0" fontId="21" fillId="4" borderId="25" xfId="0" applyFont="1" applyFill="1" applyBorder="1" applyAlignment="1">
      <alignment horizontal="center" vertical="center" wrapText="1"/>
    </xf>
    <xf numFmtId="0" fontId="21" fillId="4" borderId="21" xfId="0" applyFont="1" applyFill="1" applyBorder="1" applyAlignment="1">
      <alignment horizontal="center" vertical="center" wrapText="1"/>
    </xf>
    <xf numFmtId="0" fontId="21" fillId="4" borderId="15" xfId="0" applyFont="1" applyFill="1" applyBorder="1" applyAlignment="1">
      <alignment horizontal="center" vertical="center" wrapText="1"/>
    </xf>
    <xf numFmtId="0" fontId="0" fillId="0" borderId="65" xfId="0" applyBorder="1" applyAlignment="1">
      <alignment vertical="top" wrapText="1"/>
    </xf>
    <xf numFmtId="0" fontId="0" fillId="0" borderId="54" xfId="0" applyBorder="1" applyAlignment="1">
      <alignment vertical="top" wrapText="1"/>
    </xf>
    <xf numFmtId="0" fontId="0" fillId="3" borderId="109" xfId="0" applyFill="1" applyBorder="1" applyAlignment="1">
      <alignment horizontal="center"/>
    </xf>
    <xf numFmtId="0" fontId="0" fillId="3" borderId="108" xfId="0" applyFill="1" applyBorder="1" applyAlignment="1">
      <alignment horizontal="center"/>
    </xf>
    <xf numFmtId="0" fontId="0" fillId="3" borderId="65" xfId="0" applyFill="1" applyBorder="1" applyAlignment="1">
      <alignment horizontal="center"/>
    </xf>
    <xf numFmtId="0" fontId="0" fillId="0" borderId="52" xfId="0" applyBorder="1" applyAlignment="1">
      <alignment vertical="top" wrapText="1"/>
    </xf>
    <xf numFmtId="0" fontId="0" fillId="3" borderId="103" xfId="0" applyFill="1" applyBorder="1" applyAlignment="1">
      <alignment horizontal="center"/>
    </xf>
    <xf numFmtId="0" fontId="0" fillId="3" borderId="102" xfId="0" applyFill="1" applyBorder="1" applyAlignment="1">
      <alignment horizontal="center"/>
    </xf>
    <xf numFmtId="0" fontId="0" fillId="0" borderId="100" xfId="0" applyBorder="1" applyAlignment="1">
      <alignment vertical="top" wrapText="1"/>
    </xf>
    <xf numFmtId="0" fontId="0" fillId="0" borderId="99" xfId="0" applyBorder="1" applyAlignment="1">
      <alignment vertical="top" wrapText="1"/>
    </xf>
    <xf numFmtId="0" fontId="0" fillId="0" borderId="98" xfId="0" applyBorder="1" applyAlignment="1">
      <alignment vertical="top" wrapText="1"/>
    </xf>
    <xf numFmtId="0" fontId="0" fillId="3" borderId="101" xfId="0" applyFill="1" applyBorder="1" applyAlignment="1">
      <alignment horizontal="center"/>
    </xf>
    <xf numFmtId="0" fontId="27" fillId="3" borderId="49" xfId="3" applyFont="1" applyFill="1" applyBorder="1" applyAlignment="1">
      <alignment horizontal="center" vertical="center" wrapText="1"/>
    </xf>
    <xf numFmtId="0" fontId="27" fillId="3" borderId="8" xfId="3" applyFont="1" applyFill="1" applyBorder="1" applyAlignment="1">
      <alignment horizontal="center" vertical="center" wrapText="1"/>
    </xf>
    <xf numFmtId="0" fontId="27" fillId="3" borderId="66" xfId="3" applyFont="1" applyFill="1" applyBorder="1" applyAlignment="1">
      <alignment horizontal="center" vertical="center" wrapText="1"/>
    </xf>
    <xf numFmtId="0" fontId="25" fillId="0" borderId="35" xfId="7" applyFont="1" applyBorder="1" applyAlignment="1">
      <alignment horizontal="center" wrapText="1"/>
    </xf>
    <xf numFmtId="0" fontId="14" fillId="0" borderId="23" xfId="7" applyFont="1" applyBorder="1" applyAlignment="1">
      <alignment horizontal="center" vertical="center"/>
    </xf>
    <xf numFmtId="0" fontId="14" fillId="0" borderId="22" xfId="7" applyFont="1" applyBorder="1" applyAlignment="1">
      <alignment horizontal="center" vertical="center"/>
    </xf>
    <xf numFmtId="0" fontId="25" fillId="3" borderId="20" xfId="7" applyFont="1" applyFill="1" applyBorder="1" applyAlignment="1">
      <alignment horizontal="center" vertical="center" wrapText="1"/>
    </xf>
    <xf numFmtId="0" fontId="14" fillId="3" borderId="18" xfId="7" applyFont="1" applyFill="1" applyBorder="1" applyAlignment="1">
      <alignment horizontal="center" vertical="center"/>
    </xf>
    <xf numFmtId="0" fontId="25" fillId="3" borderId="19" xfId="7" applyFont="1" applyFill="1" applyBorder="1" applyAlignment="1">
      <alignment horizontal="center" vertical="center" wrapText="1"/>
    </xf>
    <xf numFmtId="0" fontId="25" fillId="3" borderId="17" xfId="7" applyFont="1" applyFill="1" applyBorder="1" applyAlignment="1">
      <alignment horizontal="center" vertical="center" wrapText="1"/>
    </xf>
    <xf numFmtId="0" fontId="14" fillId="3" borderId="16" xfId="7" applyFont="1" applyFill="1" applyBorder="1" applyAlignment="1">
      <alignment horizontal="center" vertical="center"/>
    </xf>
    <xf numFmtId="0" fontId="25" fillId="0" borderId="127" xfId="7" applyFont="1" applyBorder="1" applyAlignment="1">
      <alignment horizontal="center" wrapText="1"/>
    </xf>
    <xf numFmtId="0" fontId="14" fillId="0" borderId="28" xfId="7" applyFont="1" applyBorder="1" applyAlignment="1">
      <alignment horizontal="center" vertical="center"/>
    </xf>
    <xf numFmtId="0" fontId="14" fillId="0" borderId="27" xfId="7" applyFont="1" applyBorder="1" applyAlignment="1">
      <alignment horizontal="center" vertical="center"/>
    </xf>
    <xf numFmtId="0" fontId="14" fillId="3" borderId="26" xfId="7" applyFont="1" applyFill="1" applyBorder="1" applyAlignment="1">
      <alignment horizontal="center" vertical="center"/>
    </xf>
    <xf numFmtId="0" fontId="25" fillId="3" borderId="20" xfId="7" applyFont="1" applyFill="1" applyBorder="1" applyAlignment="1">
      <alignment horizontal="center" wrapText="1"/>
    </xf>
    <xf numFmtId="0" fontId="25" fillId="3" borderId="19" xfId="7" applyFont="1" applyFill="1" applyBorder="1" applyAlignment="1">
      <alignment horizontal="center" wrapText="1"/>
    </xf>
    <xf numFmtId="0" fontId="25" fillId="3" borderId="17" xfId="7" applyFont="1" applyFill="1" applyBorder="1" applyAlignment="1">
      <alignment horizontal="center" wrapText="1"/>
    </xf>
    <xf numFmtId="0" fontId="17" fillId="0" borderId="127" xfId="8" applyFont="1" applyBorder="1" applyAlignment="1">
      <alignment horizontal="center" wrapText="1"/>
    </xf>
    <xf numFmtId="0" fontId="2" fillId="0" borderId="28" xfId="8" applyFont="1" applyBorder="1" applyAlignment="1">
      <alignment horizontal="center" vertical="center"/>
    </xf>
    <xf numFmtId="0" fontId="2" fillId="0" borderId="27" xfId="8" applyFont="1" applyBorder="1" applyAlignment="1">
      <alignment horizontal="center" vertical="center"/>
    </xf>
    <xf numFmtId="0" fontId="25" fillId="3" borderId="64" xfId="7" applyFont="1" applyFill="1" applyBorder="1" applyAlignment="1">
      <alignment horizontal="center" wrapText="1"/>
    </xf>
    <xf numFmtId="0" fontId="14" fillId="3" borderId="62" xfId="7" applyFont="1" applyFill="1" applyBorder="1" applyAlignment="1">
      <alignment horizontal="center" vertical="center"/>
    </xf>
    <xf numFmtId="0" fontId="27" fillId="3" borderId="78" xfId="3" applyFont="1" applyFill="1" applyBorder="1" applyAlignment="1">
      <alignment horizontal="center" vertical="center" wrapText="1"/>
    </xf>
    <xf numFmtId="0" fontId="27" fillId="3" borderId="67" xfId="3" applyFont="1" applyFill="1" applyBorder="1" applyAlignment="1">
      <alignment horizontal="center" vertical="center" wrapText="1"/>
    </xf>
    <xf numFmtId="0" fontId="28" fillId="3" borderId="131" xfId="7" applyFont="1" applyFill="1" applyBorder="1" applyAlignment="1">
      <alignment horizontal="center" vertical="center" wrapText="1"/>
    </xf>
    <xf numFmtId="0" fontId="28" fillId="3" borderId="130" xfId="7" applyFont="1" applyFill="1" applyBorder="1" applyAlignment="1">
      <alignment horizontal="center" vertical="center" wrapText="1"/>
    </xf>
    <xf numFmtId="0" fontId="3" fillId="3" borderId="19" xfId="7" applyFont="1" applyFill="1" applyBorder="1" applyAlignment="1">
      <alignment horizontal="center" vertical="center" wrapText="1"/>
    </xf>
    <xf numFmtId="0" fontId="12" fillId="3" borderId="18" xfId="7" applyFont="1" applyFill="1" applyBorder="1" applyAlignment="1">
      <alignment horizontal="center" vertical="center" wrapText="1"/>
    </xf>
    <xf numFmtId="0" fontId="17" fillId="3" borderId="19" xfId="7" applyFont="1" applyFill="1" applyBorder="1" applyAlignment="1">
      <alignment horizontal="center" vertical="center" wrapText="1"/>
    </xf>
    <xf numFmtId="0" fontId="2" fillId="3" borderId="18" xfId="7" applyFont="1" applyFill="1" applyBorder="1" applyAlignment="1">
      <alignment horizontal="center" vertical="center" wrapText="1"/>
    </xf>
    <xf numFmtId="0" fontId="0" fillId="0" borderId="143" xfId="0" applyBorder="1" applyAlignment="1">
      <alignment horizontal="center"/>
    </xf>
    <xf numFmtId="0" fontId="16" fillId="0" borderId="100" xfId="0" applyFont="1" applyBorder="1" applyAlignment="1">
      <alignment horizontal="center" vertical="top" wrapText="1"/>
    </xf>
    <xf numFmtId="0" fontId="16" fillId="0" borderId="99" xfId="0" applyFont="1" applyBorder="1" applyAlignment="1">
      <alignment horizontal="center" vertical="top" wrapText="1"/>
    </xf>
    <xf numFmtId="0" fontId="16" fillId="0" borderId="98" xfId="0" applyFont="1" applyBorder="1" applyAlignment="1">
      <alignment horizontal="center" vertical="top" wrapText="1"/>
    </xf>
    <xf numFmtId="0" fontId="0" fillId="4" borderId="54" xfId="0" applyFill="1" applyBorder="1" applyAlignment="1">
      <alignment horizontal="center"/>
    </xf>
    <xf numFmtId="0" fontId="0" fillId="4" borderId="52" xfId="0" applyFill="1" applyBorder="1" applyAlignment="1">
      <alignment horizontal="center"/>
    </xf>
    <xf numFmtId="0" fontId="0" fillId="4" borderId="76" xfId="0" applyFill="1" applyBorder="1" applyAlignment="1">
      <alignment horizontal="center"/>
    </xf>
    <xf numFmtId="0" fontId="16" fillId="0" borderId="65" xfId="0" applyFont="1" applyBorder="1" applyAlignment="1">
      <alignment horizontal="center" vertical="top" wrapText="1"/>
    </xf>
    <xf numFmtId="0" fontId="24" fillId="3" borderId="78" xfId="7" applyFont="1" applyFill="1" applyBorder="1" applyAlignment="1">
      <alignment horizontal="center" vertical="center" wrapText="1"/>
    </xf>
    <xf numFmtId="0" fontId="24" fillId="3" borderId="77" xfId="7" applyFont="1" applyFill="1" applyBorder="1" applyAlignment="1">
      <alignment horizontal="center" vertical="center" wrapText="1"/>
    </xf>
    <xf numFmtId="0" fontId="3" fillId="0" borderId="154" xfId="9" applyFont="1" applyBorder="1" applyAlignment="1">
      <alignment horizontal="center" wrapText="1"/>
    </xf>
    <xf numFmtId="0" fontId="2" fillId="0" borderId="28" xfId="9" applyFont="1" applyBorder="1" applyAlignment="1">
      <alignment horizontal="center" vertical="center"/>
    </xf>
    <xf numFmtId="0" fontId="2" fillId="0" borderId="95" xfId="9" applyFont="1" applyBorder="1" applyAlignment="1">
      <alignment horizontal="center" vertical="center"/>
    </xf>
    <xf numFmtId="0" fontId="3" fillId="3" borderId="119" xfId="9" applyFont="1" applyFill="1" applyBorder="1" applyAlignment="1">
      <alignment horizontal="center" vertical="center" wrapText="1"/>
    </xf>
    <xf numFmtId="0" fontId="2" fillId="3" borderId="42" xfId="9" applyFont="1" applyFill="1" applyBorder="1" applyAlignment="1">
      <alignment horizontal="center" vertical="center"/>
    </xf>
    <xf numFmtId="0" fontId="3" fillId="0" borderId="35" xfId="7" applyFont="1" applyBorder="1" applyAlignment="1">
      <alignment horizontal="center" wrapText="1"/>
    </xf>
    <xf numFmtId="0" fontId="2" fillId="0" borderId="23" xfId="7" applyFont="1" applyBorder="1" applyAlignment="1">
      <alignment horizontal="center" vertical="center"/>
    </xf>
    <xf numFmtId="0" fontId="2" fillId="0" borderId="22" xfId="7" applyFont="1" applyBorder="1" applyAlignment="1">
      <alignment horizontal="center" vertical="center"/>
    </xf>
    <xf numFmtId="0" fontId="17" fillId="0" borderId="28" xfId="9" applyFont="1" applyBorder="1" applyAlignment="1">
      <alignment horizontal="left" vertical="center" wrapText="1"/>
    </xf>
    <xf numFmtId="0" fontId="2" fillId="0" borderId="0" xfId="9" applyFont="1" applyBorder="1" applyAlignment="1">
      <alignment horizontal="center" vertical="center"/>
    </xf>
    <xf numFmtId="0" fontId="2" fillId="0" borderId="153" xfId="9" applyFont="1" applyBorder="1" applyAlignment="1">
      <alignment horizontal="center" vertical="center"/>
    </xf>
    <xf numFmtId="0" fontId="35" fillId="4" borderId="78" xfId="3" applyFont="1" applyFill="1" applyBorder="1" applyAlignment="1">
      <alignment horizontal="center" vertical="center" wrapText="1"/>
    </xf>
    <xf numFmtId="0" fontId="35" fillId="4" borderId="67" xfId="3" applyFont="1" applyFill="1" applyBorder="1" applyAlignment="1">
      <alignment horizontal="center" vertical="center" wrapText="1"/>
    </xf>
    <xf numFmtId="0" fontId="35" fillId="4" borderId="77" xfId="3" applyFont="1" applyFill="1" applyBorder="1" applyAlignment="1">
      <alignment horizontal="center" vertical="center" wrapText="1"/>
    </xf>
    <xf numFmtId="0" fontId="17" fillId="0" borderId="90" xfId="8" applyFont="1" applyBorder="1" applyAlignment="1">
      <alignment horizontal="center" wrapText="1"/>
    </xf>
    <xf numFmtId="0" fontId="2" fillId="0" borderId="91" xfId="8" applyFont="1" applyBorder="1" applyAlignment="1">
      <alignment horizontal="center" vertical="center"/>
    </xf>
    <xf numFmtId="0" fontId="3" fillId="3" borderId="20" xfId="7" applyFont="1" applyFill="1" applyBorder="1" applyAlignment="1">
      <alignment horizontal="center" wrapText="1"/>
    </xf>
    <xf numFmtId="0" fontId="2" fillId="3" borderId="18" xfId="7" applyFont="1" applyFill="1" applyBorder="1" applyAlignment="1">
      <alignment horizontal="center" vertical="center"/>
    </xf>
    <xf numFmtId="0" fontId="3" fillId="3" borderId="19" xfId="7" applyFont="1" applyFill="1" applyBorder="1" applyAlignment="1">
      <alignment horizontal="center" wrapText="1"/>
    </xf>
    <xf numFmtId="0" fontId="3" fillId="3" borderId="17" xfId="7" applyFont="1" applyFill="1" applyBorder="1" applyAlignment="1">
      <alignment horizontal="center" wrapText="1"/>
    </xf>
    <xf numFmtId="0" fontId="2" fillId="3" borderId="16" xfId="7" applyFont="1" applyFill="1" applyBorder="1" applyAlignment="1">
      <alignment horizontal="center" vertical="center"/>
    </xf>
    <xf numFmtId="0" fontId="28" fillId="3" borderId="126" xfId="7" applyFont="1" applyFill="1" applyBorder="1" applyAlignment="1">
      <alignment horizontal="center" vertical="center" wrapText="1"/>
    </xf>
    <xf numFmtId="0" fontId="28" fillId="3" borderId="8" xfId="7" applyFont="1" applyFill="1" applyBorder="1" applyAlignment="1">
      <alignment horizontal="center" vertical="center" wrapText="1"/>
    </xf>
    <xf numFmtId="0" fontId="28" fillId="3" borderId="94" xfId="7" applyFont="1" applyFill="1" applyBorder="1" applyAlignment="1">
      <alignment horizontal="center" vertical="center" wrapText="1"/>
    </xf>
    <xf numFmtId="0" fontId="33" fillId="0" borderId="155" xfId="7" applyFont="1" applyBorder="1" applyAlignment="1">
      <alignment horizontal="center" vertical="center" wrapText="1"/>
    </xf>
    <xf numFmtId="0" fontId="17" fillId="0" borderId="148" xfId="8" applyFont="1" applyBorder="1" applyAlignment="1">
      <alignment horizontal="center" wrapText="1"/>
    </xf>
    <xf numFmtId="0" fontId="17" fillId="0" borderId="91" xfId="8" applyFont="1" applyBorder="1" applyAlignment="1">
      <alignment horizontal="center" wrapText="1"/>
    </xf>
    <xf numFmtId="0" fontId="17" fillId="0" borderId="89" xfId="8" applyFont="1" applyBorder="1" applyAlignment="1">
      <alignment horizontal="center" wrapText="1"/>
    </xf>
    <xf numFmtId="0" fontId="2" fillId="0" borderId="146" xfId="8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top" wrapText="1"/>
    </xf>
    <xf numFmtId="0" fontId="17" fillId="0" borderId="147" xfId="8" applyFont="1" applyBorder="1" applyAlignment="1">
      <alignment horizontal="center" wrapText="1"/>
    </xf>
    <xf numFmtId="0" fontId="17" fillId="0" borderId="103" xfId="8" applyFont="1" applyBorder="1" applyAlignment="1">
      <alignment horizontal="center" wrapText="1"/>
    </xf>
    <xf numFmtId="0" fontId="17" fillId="0" borderId="102" xfId="8" applyFont="1" applyBorder="1" applyAlignment="1">
      <alignment horizontal="center" wrapText="1"/>
    </xf>
    <xf numFmtId="0" fontId="17" fillId="0" borderId="101" xfId="8" applyFont="1" applyBorder="1" applyAlignment="1">
      <alignment horizontal="center" wrapText="1"/>
    </xf>
    <xf numFmtId="0" fontId="0" fillId="4" borderId="75" xfId="0" applyFill="1" applyBorder="1" applyAlignment="1">
      <alignment horizontal="center"/>
    </xf>
    <xf numFmtId="0" fontId="16" fillId="0" borderId="52" xfId="0" applyFont="1" applyBorder="1" applyAlignment="1">
      <alignment horizontal="center" vertical="top" wrapText="1"/>
    </xf>
    <xf numFmtId="0" fontId="17" fillId="3" borderId="17" xfId="7" applyFont="1" applyFill="1" applyBorder="1" applyAlignment="1">
      <alignment horizontal="center" wrapText="1"/>
    </xf>
    <xf numFmtId="0" fontId="24" fillId="3" borderId="78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0" fontId="17" fillId="0" borderId="35" xfId="7" applyFont="1" applyBorder="1" applyAlignment="1">
      <alignment horizontal="center" wrapText="1"/>
    </xf>
    <xf numFmtId="0" fontId="17" fillId="3" borderId="20" xfId="7" applyFont="1" applyFill="1" applyBorder="1" applyAlignment="1">
      <alignment horizontal="center" wrapText="1"/>
    </xf>
    <xf numFmtId="0" fontId="17" fillId="3" borderId="19" xfId="7" applyFont="1" applyFill="1" applyBorder="1" applyAlignment="1">
      <alignment horizontal="center" wrapText="1"/>
    </xf>
    <xf numFmtId="0" fontId="17" fillId="3" borderId="17" xfId="7" applyFont="1" applyFill="1" applyBorder="1" applyAlignment="1">
      <alignment horizontal="center" vertical="center" wrapText="1"/>
    </xf>
    <xf numFmtId="0" fontId="17" fillId="3" borderId="63" xfId="7" applyFont="1" applyFill="1" applyBorder="1" applyAlignment="1">
      <alignment horizontal="center" wrapText="1"/>
    </xf>
    <xf numFmtId="0" fontId="2" fillId="3" borderId="62" xfId="7" applyFont="1" applyFill="1" applyBorder="1" applyAlignment="1">
      <alignment horizontal="center" vertical="center"/>
    </xf>
    <xf numFmtId="0" fontId="24" fillId="3" borderId="77" xfId="3" applyFont="1" applyFill="1" applyBorder="1" applyAlignment="1">
      <alignment horizontal="center" vertical="center" wrapText="1"/>
    </xf>
    <xf numFmtId="0" fontId="17" fillId="0" borderId="68" xfId="7" applyFont="1" applyFill="1" applyBorder="1" applyAlignment="1">
      <alignment horizontal="center" wrapText="1"/>
    </xf>
    <xf numFmtId="0" fontId="17" fillId="0" borderId="23" xfId="7" applyFont="1" applyFill="1" applyBorder="1" applyAlignment="1">
      <alignment horizontal="center" wrapText="1"/>
    </xf>
    <xf numFmtId="0" fontId="17" fillId="0" borderId="22" xfId="7" applyFont="1" applyFill="1" applyBorder="1" applyAlignment="1">
      <alignment horizontal="center" wrapText="1"/>
    </xf>
    <xf numFmtId="0" fontId="17" fillId="3" borderId="136" xfId="7" applyFont="1" applyFill="1" applyBorder="1" applyAlignment="1">
      <alignment horizontal="center" wrapText="1"/>
    </xf>
    <xf numFmtId="0" fontId="17" fillId="3" borderId="135" xfId="7" applyFont="1" applyFill="1" applyBorder="1" applyAlignment="1">
      <alignment horizontal="center" wrapText="1"/>
    </xf>
    <xf numFmtId="0" fontId="17" fillId="3" borderId="134" xfId="7" applyFont="1" applyFill="1" applyBorder="1" applyAlignment="1">
      <alignment horizontal="center" wrapText="1"/>
    </xf>
    <xf numFmtId="0" fontId="17" fillId="3" borderId="133" xfId="7" applyFont="1" applyFill="1" applyBorder="1" applyAlignment="1">
      <alignment horizontal="center" wrapText="1"/>
    </xf>
    <xf numFmtId="0" fontId="17" fillId="0" borderId="35" xfId="7" applyFont="1" applyBorder="1" applyAlignment="1">
      <alignment horizontal="center" vertical="center" wrapText="1"/>
    </xf>
    <xf numFmtId="0" fontId="17" fillId="3" borderId="20" xfId="7" applyFont="1" applyFill="1" applyBorder="1" applyAlignment="1">
      <alignment horizontal="center" vertical="center" wrapText="1"/>
    </xf>
    <xf numFmtId="0" fontId="17" fillId="0" borderId="127" xfId="7" applyFont="1" applyBorder="1" applyAlignment="1">
      <alignment horizontal="center" wrapText="1"/>
    </xf>
    <xf numFmtId="0" fontId="2" fillId="0" borderId="28" xfId="7" applyFont="1" applyBorder="1" applyAlignment="1">
      <alignment horizontal="center" vertical="center"/>
    </xf>
    <xf numFmtId="0" fontId="2" fillId="0" borderId="27" xfId="7" applyFont="1" applyBorder="1" applyAlignment="1">
      <alignment horizontal="center" vertical="center"/>
    </xf>
    <xf numFmtId="0" fontId="2" fillId="3" borderId="26" xfId="7" applyFont="1" applyFill="1" applyBorder="1" applyAlignment="1">
      <alignment horizontal="center" vertical="center"/>
    </xf>
    <xf numFmtId="0" fontId="17" fillId="0" borderId="20" xfId="7" applyFont="1" applyBorder="1" applyAlignment="1">
      <alignment horizontal="center" wrapText="1"/>
    </xf>
    <xf numFmtId="0" fontId="2" fillId="0" borderId="18" xfId="7" applyFont="1" applyBorder="1" applyAlignment="1">
      <alignment horizontal="center" vertical="center"/>
    </xf>
    <xf numFmtId="0" fontId="17" fillId="0" borderId="19" xfId="7" applyFont="1" applyBorder="1" applyAlignment="1">
      <alignment horizontal="center" wrapText="1"/>
    </xf>
    <xf numFmtId="0" fontId="17" fillId="0" borderId="17" xfId="7" applyFont="1" applyBorder="1" applyAlignment="1">
      <alignment horizontal="center" wrapText="1"/>
    </xf>
    <xf numFmtId="0" fontId="2" fillId="0" borderId="16" xfId="7" applyFont="1" applyBorder="1" applyAlignment="1">
      <alignment horizontal="center" vertical="center"/>
    </xf>
    <xf numFmtId="0" fontId="5" fillId="3" borderId="78" xfId="3" applyFont="1" applyFill="1" applyBorder="1" applyAlignment="1">
      <alignment horizontal="center" vertical="center" wrapText="1"/>
    </xf>
    <xf numFmtId="0" fontId="5" fillId="3" borderId="67" xfId="3" applyFont="1" applyFill="1" applyBorder="1" applyAlignment="1">
      <alignment horizontal="center" vertical="center" wrapText="1"/>
    </xf>
    <xf numFmtId="0" fontId="5" fillId="3" borderId="66" xfId="3" applyFont="1" applyFill="1" applyBorder="1" applyAlignment="1">
      <alignment horizontal="center" vertical="center" wrapText="1"/>
    </xf>
    <xf numFmtId="0" fontId="26" fillId="0" borderId="127" xfId="7" applyFont="1" applyBorder="1" applyAlignment="1">
      <alignment horizontal="center" wrapText="1"/>
    </xf>
    <xf numFmtId="0" fontId="29" fillId="0" borderId="28" xfId="7" applyFont="1" applyBorder="1" applyAlignment="1">
      <alignment horizontal="center" vertical="center"/>
    </xf>
    <xf numFmtId="0" fontId="29" fillId="0" borderId="27" xfId="7" applyFont="1" applyBorder="1" applyAlignment="1">
      <alignment horizontal="center" vertical="center"/>
    </xf>
    <xf numFmtId="0" fontId="26" fillId="3" borderId="20" xfId="7" applyFont="1" applyFill="1" applyBorder="1" applyAlignment="1">
      <alignment horizontal="center" wrapText="1"/>
    </xf>
    <xf numFmtId="0" fontId="29" fillId="3" borderId="18" xfId="7" applyFont="1" applyFill="1" applyBorder="1" applyAlignment="1">
      <alignment horizontal="center" vertical="center"/>
    </xf>
    <xf numFmtId="0" fontId="26" fillId="3" borderId="19" xfId="7" applyFont="1" applyFill="1" applyBorder="1" applyAlignment="1">
      <alignment horizontal="center" wrapText="1"/>
    </xf>
    <xf numFmtId="0" fontId="26" fillId="3" borderId="17" xfId="7" applyFont="1" applyFill="1" applyBorder="1" applyAlignment="1">
      <alignment horizontal="center" wrapText="1"/>
    </xf>
    <xf numFmtId="0" fontId="29" fillId="3" borderId="26" xfId="7" applyFont="1" applyFill="1" applyBorder="1" applyAlignment="1">
      <alignment horizontal="center" vertical="center"/>
    </xf>
    <xf numFmtId="0" fontId="17" fillId="0" borderId="20" xfId="7" applyFont="1" applyBorder="1" applyAlignment="1">
      <alignment horizontal="center" vertical="center" wrapText="1"/>
    </xf>
    <xf numFmtId="0" fontId="17" fillId="0" borderId="19" xfId="7" applyFont="1" applyBorder="1" applyAlignment="1">
      <alignment horizontal="center" vertical="center" wrapText="1"/>
    </xf>
    <xf numFmtId="0" fontId="17" fillId="0" borderId="17" xfId="7" applyFont="1" applyBorder="1" applyAlignment="1">
      <alignment horizontal="center" vertical="center" wrapText="1"/>
    </xf>
    <xf numFmtId="0" fontId="2" fillId="0" borderId="26" xfId="7" applyFont="1" applyBorder="1" applyAlignment="1">
      <alignment horizontal="center" vertical="center"/>
    </xf>
    <xf numFmtId="0" fontId="25" fillId="0" borderId="35" xfId="7" applyFont="1" applyBorder="1" applyAlignment="1">
      <alignment horizontal="center" vertical="center" wrapText="1"/>
    </xf>
    <xf numFmtId="0" fontId="30" fillId="4" borderId="25" xfId="3" applyFont="1" applyFill="1" applyBorder="1" applyAlignment="1">
      <alignment horizontal="center" vertical="center" wrapText="1"/>
    </xf>
    <xf numFmtId="0" fontId="30" fillId="4" borderId="21" xfId="3" applyFont="1" applyFill="1" applyBorder="1" applyAlignment="1">
      <alignment horizontal="center" vertical="center" wrapText="1"/>
    </xf>
    <xf numFmtId="0" fontId="2" fillId="3" borderId="26" xfId="7" applyFont="1" applyFill="1" applyBorder="1" applyAlignment="1">
      <alignment horizontal="center" vertical="center" wrapText="1"/>
    </xf>
    <xf numFmtId="0" fontId="26" fillId="0" borderId="35" xfId="7" applyFont="1" applyBorder="1" applyAlignment="1">
      <alignment horizontal="center" wrapText="1"/>
    </xf>
    <xf numFmtId="0" fontId="29" fillId="0" borderId="23" xfId="7" applyFont="1" applyBorder="1" applyAlignment="1">
      <alignment horizontal="center" vertical="center"/>
    </xf>
    <xf numFmtId="0" fontId="29" fillId="0" borderId="22" xfId="7" applyFont="1" applyBorder="1" applyAlignment="1">
      <alignment horizontal="center" vertical="center"/>
    </xf>
    <xf numFmtId="0" fontId="26" fillId="0" borderId="20" xfId="7" applyFont="1" applyBorder="1" applyAlignment="1">
      <alignment horizontal="center" wrapText="1"/>
    </xf>
    <xf numFmtId="0" fontId="29" fillId="0" borderId="18" xfId="7" applyFont="1" applyBorder="1" applyAlignment="1">
      <alignment horizontal="center" vertical="center"/>
    </xf>
    <xf numFmtId="0" fontId="26" fillId="0" borderId="19" xfId="7" applyFont="1" applyBorder="1" applyAlignment="1">
      <alignment horizontal="center" wrapText="1"/>
    </xf>
    <xf numFmtId="0" fontId="26" fillId="0" borderId="17" xfId="7" applyFont="1" applyBorder="1" applyAlignment="1">
      <alignment horizontal="center" wrapText="1"/>
    </xf>
    <xf numFmtId="0" fontId="29" fillId="0" borderId="16" xfId="7" applyFont="1" applyBorder="1" applyAlignment="1">
      <alignment horizontal="center" vertical="center"/>
    </xf>
    <xf numFmtId="0" fontId="14" fillId="3" borderId="18" xfId="7" applyFont="1" applyFill="1" applyBorder="1" applyAlignment="1">
      <alignment horizontal="center" vertical="center" wrapText="1"/>
    </xf>
    <xf numFmtId="0" fontId="14" fillId="3" borderId="16" xfId="7" applyFont="1" applyFill="1" applyBorder="1" applyAlignment="1">
      <alignment horizontal="center" vertical="center" wrapText="1"/>
    </xf>
    <xf numFmtId="0" fontId="2" fillId="3" borderId="16" xfId="7" applyFont="1" applyFill="1" applyBorder="1" applyAlignment="1">
      <alignment horizontal="center" vertical="center" wrapText="1"/>
    </xf>
    <xf numFmtId="0" fontId="25" fillId="0" borderId="132" xfId="7" applyFont="1" applyBorder="1" applyAlignment="1">
      <alignment horizontal="center" wrapText="1"/>
    </xf>
    <xf numFmtId="0" fontId="17" fillId="3" borderId="48" xfId="7" applyFont="1" applyFill="1" applyBorder="1" applyAlignment="1">
      <alignment horizontal="center" vertical="center" wrapText="1"/>
    </xf>
    <xf numFmtId="0" fontId="25" fillId="0" borderId="127" xfId="7" applyFont="1" applyBorder="1" applyAlignment="1">
      <alignment horizontal="center" vertical="center" wrapText="1"/>
    </xf>
    <xf numFmtId="0" fontId="25" fillId="0" borderId="19" xfId="7" applyFont="1" applyBorder="1" applyAlignment="1">
      <alignment horizontal="center" wrapText="1"/>
    </xf>
    <xf numFmtId="0" fontId="14" fillId="0" borderId="18" xfId="7" applyFont="1" applyBorder="1" applyAlignment="1">
      <alignment horizontal="center" vertical="center"/>
    </xf>
    <xf numFmtId="0" fontId="25" fillId="0" borderId="17" xfId="7" applyFont="1" applyBorder="1" applyAlignment="1">
      <alignment horizontal="center" wrapText="1"/>
    </xf>
    <xf numFmtId="0" fontId="14" fillId="0" borderId="26" xfId="7" applyFont="1" applyBorder="1" applyAlignment="1">
      <alignment horizontal="center" vertical="center"/>
    </xf>
    <xf numFmtId="0" fontId="25" fillId="0" borderId="20" xfId="7" applyFont="1" applyBorder="1" applyAlignment="1">
      <alignment horizontal="center" wrapText="1"/>
    </xf>
    <xf numFmtId="0" fontId="14" fillId="0" borderId="16" xfId="7" applyFont="1" applyBorder="1" applyAlignment="1">
      <alignment horizontal="center" vertical="center"/>
    </xf>
    <xf numFmtId="0" fontId="33" fillId="0" borderId="49" xfId="3" applyFont="1" applyBorder="1" applyAlignment="1">
      <alignment horizontal="center" vertical="center" wrapText="1"/>
    </xf>
    <xf numFmtId="0" fontId="33" fillId="0" borderId="125" xfId="3" applyFont="1" applyBorder="1" applyAlignment="1">
      <alignment horizontal="center" vertical="center" wrapText="1"/>
    </xf>
    <xf numFmtId="0" fontId="33" fillId="0" borderId="120" xfId="3" applyFont="1" applyBorder="1" applyAlignment="1">
      <alignment horizontal="center" vertical="center" wrapText="1"/>
    </xf>
    <xf numFmtId="0" fontId="3" fillId="3" borderId="9" xfId="7" applyFont="1" applyFill="1" applyBorder="1" applyAlignment="1">
      <alignment horizontal="center" vertical="center" wrapText="1"/>
    </xf>
    <xf numFmtId="0" fontId="3" fillId="3" borderId="1" xfId="7" applyFont="1" applyFill="1" applyBorder="1" applyAlignment="1">
      <alignment horizontal="center" vertical="center" wrapText="1"/>
    </xf>
    <xf numFmtId="0" fontId="25" fillId="0" borderId="88" xfId="7" applyFont="1" applyBorder="1" applyAlignment="1">
      <alignment horizontal="center" vertical="center" wrapText="1"/>
    </xf>
    <xf numFmtId="0" fontId="25" fillId="0" borderId="93" xfId="7" applyFont="1" applyBorder="1" applyAlignment="1">
      <alignment horizontal="center" vertical="center" wrapText="1"/>
    </xf>
    <xf numFmtId="0" fontId="25" fillId="0" borderId="12" xfId="7" applyFont="1" applyBorder="1" applyAlignment="1">
      <alignment horizontal="center" vertical="center" wrapText="1"/>
    </xf>
    <xf numFmtId="0" fontId="32" fillId="4" borderId="49" xfId="6" applyFont="1" applyFill="1" applyBorder="1" applyAlignment="1">
      <alignment horizontal="center" vertical="center" wrapText="1"/>
    </xf>
    <xf numFmtId="0" fontId="32" fillId="4" borderId="97" xfId="6" applyFont="1" applyFill="1" applyBorder="1" applyAlignment="1">
      <alignment horizontal="center" vertical="center" wrapText="1"/>
    </xf>
    <xf numFmtId="0" fontId="32" fillId="4" borderId="8" xfId="6" applyFont="1" applyFill="1" applyBorder="1" applyAlignment="1">
      <alignment horizontal="center" vertical="center" wrapText="1"/>
    </xf>
    <xf numFmtId="0" fontId="32" fillId="4" borderId="94" xfId="6" applyFont="1" applyFill="1" applyBorder="1" applyAlignment="1">
      <alignment horizontal="center" vertical="center" wrapText="1"/>
    </xf>
    <xf numFmtId="0" fontId="3" fillId="0" borderId="96" xfId="7" applyFont="1" applyBorder="1" applyAlignment="1">
      <alignment horizontal="center" wrapText="1"/>
    </xf>
    <xf numFmtId="0" fontId="3" fillId="0" borderId="28" xfId="7" applyFont="1" applyBorder="1" applyAlignment="1">
      <alignment horizontal="center" wrapText="1"/>
    </xf>
    <xf numFmtId="0" fontId="3" fillId="0" borderId="95" xfId="7" applyFont="1" applyBorder="1" applyAlignment="1">
      <alignment horizontal="center" wrapText="1"/>
    </xf>
    <xf numFmtId="0" fontId="17" fillId="3" borderId="137" xfId="7" applyFont="1" applyFill="1" applyBorder="1" applyAlignment="1">
      <alignment horizontal="center" wrapText="1"/>
    </xf>
    <xf numFmtId="0" fontId="2" fillId="3" borderId="123" xfId="7" applyFont="1" applyFill="1" applyBorder="1" applyAlignment="1">
      <alignment horizontal="center" vertical="center"/>
    </xf>
    <xf numFmtId="0" fontId="17" fillId="3" borderId="64" xfId="7" applyFont="1" applyFill="1" applyBorder="1" applyAlignment="1">
      <alignment horizontal="center" wrapText="1"/>
    </xf>
    <xf numFmtId="0" fontId="36" fillId="5" borderId="49" xfId="0" applyFont="1" applyFill="1" applyBorder="1" applyAlignment="1">
      <alignment horizontal="center" vertical="center" wrapText="1"/>
    </xf>
    <xf numFmtId="0" fontId="36" fillId="5" borderId="8" xfId="0" applyFont="1" applyFill="1" applyBorder="1" applyAlignment="1">
      <alignment horizontal="center" vertical="center" wrapText="1"/>
    </xf>
    <xf numFmtId="0" fontId="36" fillId="5" borderId="66" xfId="0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center" vertical="center" wrapText="1"/>
    </xf>
    <xf numFmtId="0" fontId="34" fillId="5" borderId="8" xfId="0" applyFont="1" applyFill="1" applyBorder="1" applyAlignment="1">
      <alignment horizontal="center" vertical="center" wrapText="1"/>
    </xf>
    <xf numFmtId="0" fontId="34" fillId="5" borderId="66" xfId="0" applyFont="1" applyFill="1" applyBorder="1" applyAlignment="1">
      <alignment horizontal="center" vertical="center" wrapText="1"/>
    </xf>
    <xf numFmtId="0" fontId="3" fillId="0" borderId="35" xfId="7" applyFont="1" applyBorder="1" applyAlignment="1">
      <alignment horizontal="left" vertical="top" wrapText="1"/>
    </xf>
    <xf numFmtId="0" fontId="2" fillId="0" borderId="23" xfId="7" applyFont="1" applyBorder="1" applyAlignment="1">
      <alignment horizontal="left" vertical="top"/>
    </xf>
    <xf numFmtId="0" fontId="2" fillId="0" borderId="22" xfId="7" applyFont="1" applyBorder="1" applyAlignment="1">
      <alignment horizontal="left" vertical="top"/>
    </xf>
  </cellXfs>
  <cellStyles count="10">
    <cellStyle name="Millares" xfId="1" builtinId="3"/>
    <cellStyle name="Normal" xfId="0" builtinId="0"/>
    <cellStyle name="Normal_AREA" xfId="9"/>
    <cellStyle name="Normal_AREACONOC" xfId="7"/>
    <cellStyle name="Normal_CONOCIMIENTO" xfId="8"/>
    <cellStyle name="Normal_Hoja2" xfId="5"/>
    <cellStyle name="Normal_MODALIDAD" xfId="3"/>
    <cellStyle name="Normal_MODALIDAD_1" xfId="6"/>
    <cellStyle name="Normal_MODALIDAD_2" xfId="4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E1481"/>
  <sheetViews>
    <sheetView tabSelected="1" zoomScaleNormal="100" workbookViewId="0">
      <selection activeCell="P6" sqref="P6"/>
    </sheetView>
  </sheetViews>
  <sheetFormatPr baseColWidth="10" defaultRowHeight="15"/>
  <cols>
    <col min="1" max="1" width="16.85546875" customWidth="1"/>
    <col min="2" max="2" width="9.140625" customWidth="1"/>
    <col min="3" max="3" width="7.85546875" customWidth="1"/>
    <col min="4" max="4" width="8.5703125" customWidth="1"/>
    <col min="5" max="5" width="8.85546875" customWidth="1"/>
    <col min="6" max="6" width="19.85546875" customWidth="1"/>
    <col min="7" max="7" width="9.85546875" customWidth="1"/>
    <col min="8" max="8" width="7.42578125" customWidth="1"/>
    <col min="9" max="9" width="7" customWidth="1"/>
    <col min="10" max="10" width="7.140625" customWidth="1"/>
    <col min="11" max="11" width="6.7109375" customWidth="1"/>
    <col min="12" max="12" width="8.7109375" customWidth="1"/>
    <col min="13" max="13" width="11" customWidth="1"/>
    <col min="14" max="14" width="7.85546875" customWidth="1"/>
    <col min="15" max="15" width="9.42578125" customWidth="1"/>
    <col min="16" max="16" width="7.140625" customWidth="1"/>
    <col min="17" max="17" width="7.42578125" customWidth="1"/>
    <col min="18" max="18" width="6.85546875" customWidth="1"/>
    <col min="19" max="19" width="7.140625" customWidth="1"/>
    <col min="20" max="20" width="6.7109375" customWidth="1"/>
    <col min="21" max="21" width="7.42578125" customWidth="1"/>
    <col min="22" max="22" width="6.7109375" customWidth="1"/>
    <col min="23" max="23" width="8.28515625" customWidth="1"/>
    <col min="24" max="24" width="5.7109375" customWidth="1"/>
    <col min="25" max="25" width="6.5703125" customWidth="1"/>
    <col min="26" max="26" width="7.28515625" customWidth="1"/>
    <col min="27" max="27" width="6.85546875" customWidth="1"/>
    <col min="28" max="28" width="7.140625" customWidth="1"/>
    <col min="29" max="29" width="6.7109375" customWidth="1"/>
    <col min="30" max="30" width="7" customWidth="1"/>
    <col min="31" max="31" width="7.42578125" customWidth="1"/>
    <col min="32" max="32" width="7.5703125" customWidth="1"/>
    <col min="33" max="33" width="6.85546875" customWidth="1"/>
    <col min="34" max="34" width="7.7109375" customWidth="1"/>
    <col min="35" max="35" width="6.42578125" customWidth="1"/>
    <col min="36" max="36" width="6.85546875" customWidth="1"/>
    <col min="37" max="37" width="6.5703125" customWidth="1"/>
    <col min="38" max="38" width="7.140625" customWidth="1"/>
    <col min="39" max="39" width="6.5703125" customWidth="1"/>
    <col min="40" max="40" width="7.85546875" customWidth="1"/>
    <col min="41" max="41" width="8" customWidth="1"/>
    <col min="42" max="42" width="7.85546875" customWidth="1"/>
    <col min="43" max="43" width="7.42578125" customWidth="1"/>
    <col min="44" max="44" width="8.28515625" customWidth="1"/>
    <col min="45" max="45" width="7.140625" customWidth="1"/>
  </cols>
  <sheetData>
    <row r="1" spans="1:8" ht="15" customHeight="1">
      <c r="A1" s="674" t="s">
        <v>13</v>
      </c>
      <c r="B1" s="670" t="s">
        <v>301</v>
      </c>
      <c r="C1" s="625"/>
      <c r="D1" s="625"/>
      <c r="E1" s="625"/>
      <c r="F1" s="625"/>
      <c r="G1" s="626"/>
      <c r="H1" s="1"/>
    </row>
    <row r="2" spans="1:8" ht="15" customHeight="1">
      <c r="A2" s="675"/>
      <c r="B2" s="647" t="s">
        <v>300</v>
      </c>
      <c r="C2" s="648"/>
      <c r="D2" s="649" t="s">
        <v>299</v>
      </c>
      <c r="E2" s="648"/>
      <c r="F2" s="654" t="s">
        <v>9</v>
      </c>
      <c r="G2" s="653"/>
      <c r="H2" s="1"/>
    </row>
    <row r="3" spans="1:8" ht="15.75" thickBot="1">
      <c r="A3" s="676"/>
      <c r="B3" s="124" t="s">
        <v>7</v>
      </c>
      <c r="C3" s="16" t="s">
        <v>8</v>
      </c>
      <c r="D3" s="16" t="s">
        <v>7</v>
      </c>
      <c r="E3" s="16" t="s">
        <v>8</v>
      </c>
      <c r="F3" s="16" t="s">
        <v>7</v>
      </c>
      <c r="G3" s="15" t="s">
        <v>6</v>
      </c>
      <c r="H3" s="1"/>
    </row>
    <row r="4" spans="1:8" ht="15.75" customHeight="1">
      <c r="A4" s="290" t="s">
        <v>5</v>
      </c>
      <c r="B4" s="305">
        <v>183291.13498070484</v>
      </c>
      <c r="C4" s="306">
        <v>0.71584398356042778</v>
      </c>
      <c r="D4" s="305">
        <v>72757.863390499537</v>
      </c>
      <c r="E4" s="306">
        <v>0.28415601643954819</v>
      </c>
      <c r="F4" s="305">
        <v>256048.9983712105</v>
      </c>
      <c r="G4" s="304">
        <v>1</v>
      </c>
      <c r="H4" s="1"/>
    </row>
    <row r="5" spans="1:8" s="240" customFormat="1" ht="15" customHeight="1">
      <c r="A5" s="283" t="s">
        <v>2</v>
      </c>
      <c r="B5" s="299">
        <v>8767.8349357000479</v>
      </c>
      <c r="C5" s="300">
        <v>0.7203874091459046</v>
      </c>
      <c r="D5" s="299">
        <v>3403.1647575000034</v>
      </c>
      <c r="E5" s="300">
        <v>0.27961259085408824</v>
      </c>
      <c r="F5" s="299">
        <v>12170.999693200138</v>
      </c>
      <c r="G5" s="298">
        <v>4.7533869574272129E-2</v>
      </c>
      <c r="H5" s="294"/>
    </row>
    <row r="6" spans="1:8" s="240" customFormat="1">
      <c r="A6" s="283" t="s">
        <v>1</v>
      </c>
      <c r="B6" s="299">
        <v>59513.767924999942</v>
      </c>
      <c r="C6" s="300">
        <v>0.6789546518591264</v>
      </c>
      <c r="D6" s="299">
        <v>28141.229006000089</v>
      </c>
      <c r="E6" s="300">
        <v>0.32104534814087321</v>
      </c>
      <c r="F6" s="299">
        <v>87654.99693100006</v>
      </c>
      <c r="G6" s="298">
        <v>0.34233680853506421</v>
      </c>
      <c r="H6" s="294"/>
    </row>
    <row r="7" spans="1:8" s="240" customFormat="1" ht="15.75" thickBot="1">
      <c r="A7" s="283" t="s">
        <v>0</v>
      </c>
      <c r="B7" s="299">
        <v>115009.53211999935</v>
      </c>
      <c r="C7" s="300">
        <v>0.73618821065962303</v>
      </c>
      <c r="D7" s="299">
        <v>41213.469627000057</v>
      </c>
      <c r="E7" s="300">
        <v>0.26381178934037097</v>
      </c>
      <c r="F7" s="299">
        <v>156223.00174700032</v>
      </c>
      <c r="G7" s="298">
        <v>0.61012932189062463</v>
      </c>
      <c r="H7" s="294"/>
    </row>
    <row r="8" spans="1:8" s="240" customFormat="1" ht="15" customHeight="1">
      <c r="A8" s="257" t="s">
        <v>296</v>
      </c>
      <c r="B8" s="302">
        <v>141434.13681986704</v>
      </c>
      <c r="C8" s="303">
        <v>0.62964276984795575</v>
      </c>
      <c r="D8" s="302">
        <v>83191.863180132757</v>
      </c>
      <c r="E8" s="303">
        <v>0.37035723015204242</v>
      </c>
      <c r="F8" s="302">
        <v>224626.0000000002</v>
      </c>
      <c r="G8" s="301">
        <v>1</v>
      </c>
      <c r="H8" s="294"/>
    </row>
    <row r="9" spans="1:8" s="240" customFormat="1">
      <c r="A9" s="283" t="s">
        <v>2</v>
      </c>
      <c r="B9" s="299">
        <v>6758.3915610521108</v>
      </c>
      <c r="C9" s="300">
        <v>0.63963577144161721</v>
      </c>
      <c r="D9" s="299">
        <v>3807.6084389478556</v>
      </c>
      <c r="E9" s="300">
        <v>0.36036422855838213</v>
      </c>
      <c r="F9" s="299">
        <v>10565.999999999973</v>
      </c>
      <c r="G9" s="298">
        <v>4.7038187921255616E-2</v>
      </c>
      <c r="H9" s="294"/>
    </row>
    <row r="10" spans="1:8" s="240" customFormat="1">
      <c r="A10" s="283" t="s">
        <v>1</v>
      </c>
      <c r="B10" s="299">
        <v>45873.434071324577</v>
      </c>
      <c r="C10" s="300">
        <v>0.59776956348398713</v>
      </c>
      <c r="D10" s="299">
        <v>30867.565928675398</v>
      </c>
      <c r="E10" s="300">
        <v>0.40223043651601431</v>
      </c>
      <c r="F10" s="299">
        <v>76740.999999999869</v>
      </c>
      <c r="G10" s="298">
        <v>0.34163899103398448</v>
      </c>
      <c r="H10" s="294"/>
    </row>
    <row r="11" spans="1:8" s="240" customFormat="1" ht="15.75" thickBot="1">
      <c r="A11" s="283" t="s">
        <v>0</v>
      </c>
      <c r="B11" s="299">
        <v>88802.311187489802</v>
      </c>
      <c r="C11" s="300">
        <v>0.64668626473751256</v>
      </c>
      <c r="D11" s="299">
        <v>48516.688812509805</v>
      </c>
      <c r="E11" s="300">
        <v>0.35331373526249238</v>
      </c>
      <c r="F11" s="299">
        <v>137318.99999999892</v>
      </c>
      <c r="G11" s="298">
        <v>0.61132282104475355</v>
      </c>
      <c r="H11" s="294"/>
    </row>
    <row r="12" spans="1:8" s="240" customFormat="1" ht="15.75" customHeight="1">
      <c r="A12" s="257" t="s">
        <v>4</v>
      </c>
      <c r="B12" s="302">
        <v>80611.072417784555</v>
      </c>
      <c r="C12" s="303">
        <v>0.54086508019796231</v>
      </c>
      <c r="D12" s="302">
        <v>68429.927582215299</v>
      </c>
      <c r="E12" s="303">
        <v>0.45913491980203608</v>
      </c>
      <c r="F12" s="302">
        <v>149041.00000000009</v>
      </c>
      <c r="G12" s="301">
        <v>1</v>
      </c>
      <c r="H12" s="294"/>
    </row>
    <row r="13" spans="1:8" s="240" customFormat="1">
      <c r="A13" s="283" t="s">
        <v>2</v>
      </c>
      <c r="B13" s="299">
        <v>5074.1987923982279</v>
      </c>
      <c r="C13" s="300">
        <v>0.57805864575055155</v>
      </c>
      <c r="D13" s="299">
        <v>3703.8012076017753</v>
      </c>
      <c r="E13" s="300">
        <v>0.42194135424947121</v>
      </c>
      <c r="F13" s="299">
        <v>8777.9999999998035</v>
      </c>
      <c r="G13" s="298">
        <v>5.8896545245937688E-2</v>
      </c>
      <c r="H13" s="294"/>
    </row>
    <row r="14" spans="1:8" s="240" customFormat="1">
      <c r="A14" s="283" t="s">
        <v>1</v>
      </c>
      <c r="B14" s="299">
        <v>12580.936276397866</v>
      </c>
      <c r="C14" s="300">
        <v>0.54342949662640005</v>
      </c>
      <c r="D14" s="299">
        <v>10570.063723602159</v>
      </c>
      <c r="E14" s="300">
        <v>0.45657050337359478</v>
      </c>
      <c r="F14" s="299">
        <v>23151.000000000146</v>
      </c>
      <c r="G14" s="298">
        <v>0.15533309626210326</v>
      </c>
      <c r="H14" s="294"/>
    </row>
    <row r="15" spans="1:8" s="240" customFormat="1" ht="15.75" thickBot="1">
      <c r="A15" s="280" t="s">
        <v>0</v>
      </c>
      <c r="B15" s="296">
        <v>62955.937348988962</v>
      </c>
      <c r="C15" s="297">
        <v>0.53757033736072246</v>
      </c>
      <c r="D15" s="296">
        <v>54156.062651011656</v>
      </c>
      <c r="E15" s="297">
        <v>0.46242966263928231</v>
      </c>
      <c r="F15" s="296">
        <v>117112.00000000006</v>
      </c>
      <c r="G15" s="295">
        <v>0.78577035849195853</v>
      </c>
      <c r="H15" s="294"/>
    </row>
    <row r="19" spans="1:6" ht="15.75" thickBot="1"/>
    <row r="20" spans="1:6" ht="15" customHeight="1">
      <c r="A20" s="672" t="s">
        <v>276</v>
      </c>
      <c r="B20" s="670" t="s">
        <v>298</v>
      </c>
      <c r="C20" s="671"/>
      <c r="D20" s="671"/>
      <c r="E20" s="626"/>
      <c r="F20" s="1"/>
    </row>
    <row r="21" spans="1:6" ht="37.5" thickBot="1">
      <c r="A21" s="673"/>
      <c r="B21" s="293" t="s">
        <v>95</v>
      </c>
      <c r="C21" s="292" t="s">
        <v>93</v>
      </c>
      <c r="D21" s="292" t="s">
        <v>94</v>
      </c>
      <c r="E21" s="291" t="s">
        <v>297</v>
      </c>
      <c r="F21" s="1"/>
    </row>
    <row r="22" spans="1:6" ht="15.75" customHeight="1">
      <c r="A22" s="290" t="s">
        <v>5</v>
      </c>
      <c r="B22" s="287">
        <v>0.47601858055660845</v>
      </c>
      <c r="C22" s="286">
        <v>0.81249560265818632</v>
      </c>
      <c r="D22" s="285">
        <v>1.6056817769907184E-3</v>
      </c>
      <c r="E22" s="284">
        <v>256048.9983712105</v>
      </c>
      <c r="F22" s="1"/>
    </row>
    <row r="23" spans="1:6">
      <c r="A23" s="283" t="s">
        <v>2</v>
      </c>
      <c r="B23" s="289">
        <v>0.53601356717188098</v>
      </c>
      <c r="C23" s="103">
        <v>0.96426309188598125</v>
      </c>
      <c r="D23" s="288">
        <v>8.7404223380921214E-3</v>
      </c>
      <c r="E23" s="48">
        <v>12170.999693200138</v>
      </c>
      <c r="F23" s="1"/>
    </row>
    <row r="24" spans="1:6">
      <c r="A24" s="283" t="s">
        <v>1</v>
      </c>
      <c r="B24" s="289">
        <v>0.52405116504834959</v>
      </c>
      <c r="C24" s="103">
        <v>0.84360992232438581</v>
      </c>
      <c r="D24" s="288">
        <v>2.8493994735148882E-3</v>
      </c>
      <c r="E24" s="48">
        <v>87654.99693100006</v>
      </c>
      <c r="F24" s="1"/>
    </row>
    <row r="25" spans="1:6" ht="15.75" thickBot="1">
      <c r="A25" s="283" t="s">
        <v>0</v>
      </c>
      <c r="B25" s="289">
        <v>0.44439394811035354</v>
      </c>
      <c r="C25" s="103">
        <v>0.77952801424141693</v>
      </c>
      <c r="D25" s="288">
        <v>1.9722376175944226E-3</v>
      </c>
      <c r="E25" s="48">
        <v>156223.00174700032</v>
      </c>
      <c r="F25" s="1"/>
    </row>
    <row r="26" spans="1:6" ht="15" customHeight="1">
      <c r="A26" s="257" t="s">
        <v>296</v>
      </c>
      <c r="B26" s="287">
        <v>0.54956785622942639</v>
      </c>
      <c r="C26" s="286">
        <v>0.85435506323550348</v>
      </c>
      <c r="D26" s="285">
        <v>1.8026374353160284E-3</v>
      </c>
      <c r="E26" s="284">
        <v>224626.0000000002</v>
      </c>
      <c r="F26" s="1"/>
    </row>
    <row r="27" spans="1:6">
      <c r="A27" s="283" t="s">
        <v>2</v>
      </c>
      <c r="B27" s="282">
        <v>0.55590667616776757</v>
      </c>
      <c r="C27" s="281">
        <v>0.84808645406411287</v>
      </c>
      <c r="D27" s="281">
        <v>8.2505865293030414E-3</v>
      </c>
      <c r="E27" s="55">
        <v>10565.999999999973</v>
      </c>
      <c r="F27" s="1"/>
    </row>
    <row r="28" spans="1:6">
      <c r="A28" s="283" t="s">
        <v>1</v>
      </c>
      <c r="B28" s="282">
        <v>0.62877054246159036</v>
      </c>
      <c r="C28" s="281">
        <v>0.90239367783564373</v>
      </c>
      <c r="D28" s="281">
        <v>3.2574841926707905E-3</v>
      </c>
      <c r="E28" s="55">
        <v>76740.999999999869</v>
      </c>
      <c r="F28" s="1"/>
    </row>
    <row r="29" spans="1:6" ht="15.75" thickBot="1">
      <c r="A29" s="283" t="s">
        <v>0</v>
      </c>
      <c r="B29" s="282">
        <v>0.50481753532983165</v>
      </c>
      <c r="C29" s="281">
        <v>0.82345649786150499</v>
      </c>
      <c r="D29" s="281">
        <v>2.2221600974245909E-3</v>
      </c>
      <c r="E29" s="55">
        <v>137318.99999999892</v>
      </c>
      <c r="F29" s="1"/>
    </row>
    <row r="30" spans="1:6" ht="15.75" customHeight="1">
      <c r="A30" s="257" t="s">
        <v>4</v>
      </c>
      <c r="B30" s="287">
        <v>0.60531201095856391</v>
      </c>
      <c r="C30" s="286">
        <v>0.86265259988326504</v>
      </c>
      <c r="D30" s="285">
        <v>2.2345138848567001E-3</v>
      </c>
      <c r="E30" s="284">
        <v>149041.00000000009</v>
      </c>
      <c r="F30" s="1"/>
    </row>
    <row r="31" spans="1:6">
      <c r="A31" s="283" t="s">
        <v>2</v>
      </c>
      <c r="B31" s="282">
        <v>0.64838572667558358</v>
      </c>
      <c r="C31" s="281">
        <v>0.89153380030730467</v>
      </c>
      <c r="D31" s="281">
        <v>9.5156842928395702E-3</v>
      </c>
      <c r="E31" s="55">
        <v>8777.9999999998035</v>
      </c>
      <c r="F31" s="1"/>
    </row>
    <row r="32" spans="1:6">
      <c r="A32" s="283" t="s">
        <v>1</v>
      </c>
      <c r="B32" s="282">
        <v>0.69197635420001113</v>
      </c>
      <c r="C32" s="281">
        <v>0.90603887260696203</v>
      </c>
      <c r="D32" s="281">
        <v>5.954728342071793E-3</v>
      </c>
      <c r="E32" s="55">
        <v>23151.000000000146</v>
      </c>
      <c r="F32" s="1"/>
    </row>
    <row r="33" spans="1:6" ht="15.75" thickBot="1">
      <c r="A33" s="280" t="s">
        <v>0</v>
      </c>
      <c r="B33" s="279">
        <v>0.58495143913888059</v>
      </c>
      <c r="C33" s="278">
        <v>0.85039862921404619</v>
      </c>
      <c r="D33" s="278">
        <v>2.4849740197625419E-3</v>
      </c>
      <c r="E33" s="76">
        <v>117112.00000000006</v>
      </c>
      <c r="F33" s="1"/>
    </row>
    <row r="37" spans="1:6" ht="27.75" customHeight="1" thickBot="1">
      <c r="A37" s="677" t="s">
        <v>295</v>
      </c>
      <c r="B37" s="677"/>
      <c r="C37" s="677"/>
      <c r="D37" s="677"/>
      <c r="E37" s="677"/>
      <c r="F37" s="677"/>
    </row>
    <row r="38" spans="1:6" ht="14.25" customHeight="1" thickBot="1">
      <c r="A38" s="678" t="s">
        <v>294</v>
      </c>
      <c r="B38" s="679"/>
      <c r="C38" s="582" t="s">
        <v>261</v>
      </c>
      <c r="D38" s="688"/>
      <c r="E38" s="689"/>
      <c r="F38" s="692" t="s">
        <v>260</v>
      </c>
    </row>
    <row r="39" spans="1:6" ht="14.25" customHeight="1" thickBot="1">
      <c r="A39" s="680"/>
      <c r="B39" s="681"/>
      <c r="C39" s="277" t="s">
        <v>259</v>
      </c>
      <c r="D39" s="276" t="s">
        <v>258</v>
      </c>
      <c r="E39" s="276" t="s">
        <v>257</v>
      </c>
      <c r="F39" s="693"/>
    </row>
    <row r="40" spans="1:6" ht="14.25" customHeight="1">
      <c r="A40" s="682" t="s">
        <v>293</v>
      </c>
      <c r="B40" s="275" t="s">
        <v>7</v>
      </c>
      <c r="C40" s="274">
        <v>982.91532922973192</v>
      </c>
      <c r="D40" s="273">
        <v>571.75924423239348</v>
      </c>
      <c r="E40" s="273">
        <v>439.952744788617</v>
      </c>
      <c r="F40" s="272">
        <v>1994.6273182507425</v>
      </c>
    </row>
    <row r="41" spans="1:6" ht="22.5" customHeight="1">
      <c r="A41" s="683"/>
      <c r="B41" s="271" t="s">
        <v>284</v>
      </c>
      <c r="C41" s="270">
        <v>0.49278144354893</v>
      </c>
      <c r="D41" s="8">
        <v>0.28664966081674725</v>
      </c>
      <c r="E41" s="8">
        <v>0.22056889563432272</v>
      </c>
      <c r="F41" s="269"/>
    </row>
    <row r="42" spans="1:6" ht="14.25" customHeight="1" thickBot="1">
      <c r="A42" s="684"/>
      <c r="B42" s="268" t="s">
        <v>246</v>
      </c>
      <c r="C42" s="267">
        <v>1.5608867000833848E-3</v>
      </c>
      <c r="D42" s="4">
        <v>9.0796366017757203E-4</v>
      </c>
      <c r="E42" s="4">
        <v>6.9865263831410754E-4</v>
      </c>
      <c r="F42" s="86">
        <v>3.1675029985750646E-3</v>
      </c>
    </row>
    <row r="43" spans="1:6" ht="14.25" customHeight="1">
      <c r="A43" s="682" t="s">
        <v>292</v>
      </c>
      <c r="B43" s="275" t="s">
        <v>7</v>
      </c>
      <c r="C43" s="274">
        <v>227.74757647717331</v>
      </c>
      <c r="D43" s="273">
        <v>74.828282828282823</v>
      </c>
      <c r="E43" s="273">
        <v>49.705424855584596</v>
      </c>
      <c r="F43" s="272">
        <v>352.28128416104073</v>
      </c>
    </row>
    <row r="44" spans="1:6" ht="19.5" customHeight="1">
      <c r="A44" s="683"/>
      <c r="B44" s="271" t="s">
        <v>284</v>
      </c>
      <c r="C44" s="270">
        <v>0.64649354568907924</v>
      </c>
      <c r="D44" s="8">
        <v>0.21241061104476974</v>
      </c>
      <c r="E44" s="8">
        <v>0.14109584326615099</v>
      </c>
      <c r="F44" s="269"/>
    </row>
    <row r="45" spans="1:6" ht="14.25" customHeight="1" thickBot="1">
      <c r="A45" s="684"/>
      <c r="B45" s="268" t="s">
        <v>246</v>
      </c>
      <c r="C45" s="267">
        <v>3.6166712689080145E-4</v>
      </c>
      <c r="D45" s="4">
        <v>1.1882861929549361E-4</v>
      </c>
      <c r="E45" s="4">
        <v>7.8933082303107144E-5</v>
      </c>
      <c r="F45" s="2">
        <v>5.5942882848940224E-4</v>
      </c>
    </row>
    <row r="46" spans="1:6" ht="14.25" customHeight="1">
      <c r="A46" s="682" t="s">
        <v>291</v>
      </c>
      <c r="B46" s="275" t="s">
        <v>7</v>
      </c>
      <c r="C46" s="274">
        <v>394.03657879802597</v>
      </c>
      <c r="D46" s="273">
        <v>6.4135593220338984</v>
      </c>
      <c r="E46" s="273">
        <v>88.527138494018075</v>
      </c>
      <c r="F46" s="272">
        <v>488.97727661407794</v>
      </c>
    </row>
    <row r="47" spans="1:6" ht="22.5" customHeight="1">
      <c r="A47" s="683"/>
      <c r="B47" s="271" t="s">
        <v>284</v>
      </c>
      <c r="C47" s="270">
        <v>0.80583822120841975</v>
      </c>
      <c r="D47" s="8">
        <v>1.311627273652587E-2</v>
      </c>
      <c r="E47" s="8">
        <v>0.18104550605505446</v>
      </c>
      <c r="F47" s="269"/>
    </row>
    <row r="48" spans="1:6" s="266" customFormat="1" ht="14.25" customHeight="1" thickBot="1">
      <c r="A48" s="684"/>
      <c r="B48" s="268" t="s">
        <v>246</v>
      </c>
      <c r="C48" s="267">
        <v>6.2573696523197215E-4</v>
      </c>
      <c r="D48" s="4">
        <v>1.0184844155196543E-5</v>
      </c>
      <c r="E48" s="4">
        <v>1.4058264121288958E-4</v>
      </c>
      <c r="F48" s="2">
        <v>7.7650445060005837E-4</v>
      </c>
    </row>
    <row r="49" spans="1:6" s="266" customFormat="1" ht="14.25" customHeight="1">
      <c r="A49" s="682" t="s">
        <v>290</v>
      </c>
      <c r="B49" s="275" t="s">
        <v>7</v>
      </c>
      <c r="C49" s="274">
        <v>184.2931354522207</v>
      </c>
      <c r="D49" s="273">
        <v>55.011699507389167</v>
      </c>
      <c r="E49" s="273">
        <v>11.057884231536926</v>
      </c>
      <c r="F49" s="272">
        <v>250.36271919114679</v>
      </c>
    </row>
    <row r="50" spans="1:6" s="266" customFormat="1" ht="19.5" customHeight="1">
      <c r="A50" s="683"/>
      <c r="B50" s="271" t="s">
        <v>284</v>
      </c>
      <c r="C50" s="270">
        <v>0.73610454482848409</v>
      </c>
      <c r="D50" s="8">
        <v>0.21972799978014645</v>
      </c>
      <c r="E50" s="8">
        <v>4.4167455391369431E-2</v>
      </c>
      <c r="F50" s="269"/>
    </row>
    <row r="51" spans="1:6" s="266" customFormat="1" ht="15.75" customHeight="1" thickBot="1">
      <c r="A51" s="684"/>
      <c r="B51" s="268" t="s">
        <v>246</v>
      </c>
      <c r="C51" s="267">
        <v>2.926607160247101E-4</v>
      </c>
      <c r="D51" s="4">
        <v>8.7359539073785436E-5</v>
      </c>
      <c r="E51" s="4">
        <v>1.7560113180444303E-5</v>
      </c>
      <c r="F51" s="2">
        <v>3.9758036827893981E-4</v>
      </c>
    </row>
    <row r="52" spans="1:6" s="266" customFormat="1" ht="15.75" customHeight="1">
      <c r="A52" s="682" t="s">
        <v>289</v>
      </c>
      <c r="B52" s="275" t="s">
        <v>7</v>
      </c>
      <c r="C52" s="274">
        <v>0</v>
      </c>
      <c r="D52" s="273">
        <v>71.606557377049185</v>
      </c>
      <c r="E52" s="273">
        <v>0</v>
      </c>
      <c r="F52" s="272">
        <v>71.606557377049185</v>
      </c>
    </row>
    <row r="53" spans="1:6" s="266" customFormat="1" ht="20.25" customHeight="1">
      <c r="A53" s="683"/>
      <c r="B53" s="271" t="s">
        <v>284</v>
      </c>
      <c r="C53" s="270">
        <v>0</v>
      </c>
      <c r="D53" s="8">
        <v>1</v>
      </c>
      <c r="E53" s="8">
        <v>0</v>
      </c>
      <c r="F53" s="269"/>
    </row>
    <row r="54" spans="1:6" s="266" customFormat="1" ht="15" customHeight="1" thickBot="1">
      <c r="A54" s="684"/>
      <c r="B54" s="268" t="s">
        <v>246</v>
      </c>
      <c r="C54" s="267">
        <v>0</v>
      </c>
      <c r="D54" s="4">
        <v>1.1371246304214518E-4</v>
      </c>
      <c r="E54" s="4">
        <v>0</v>
      </c>
      <c r="F54" s="2">
        <v>1.1371246304214518E-4</v>
      </c>
    </row>
    <row r="55" spans="1:6" s="266" customFormat="1" ht="15.75" customHeight="1">
      <c r="A55" s="682" t="s">
        <v>288</v>
      </c>
      <c r="B55" s="275" t="s">
        <v>7</v>
      </c>
      <c r="C55" s="274">
        <v>10.881852497096398</v>
      </c>
      <c r="D55" s="273">
        <v>6.3125</v>
      </c>
      <c r="E55" s="273">
        <v>33.586323543460033</v>
      </c>
      <c r="F55" s="272">
        <v>50.780676040556429</v>
      </c>
    </row>
    <row r="56" spans="1:6" s="266" customFormat="1" ht="20.25" customHeight="1">
      <c r="A56" s="683"/>
      <c r="B56" s="271" t="s">
        <v>284</v>
      </c>
      <c r="C56" s="270">
        <v>0.21429120967994816</v>
      </c>
      <c r="D56" s="8">
        <v>0.12430909732195111</v>
      </c>
      <c r="E56" s="8">
        <v>0.66139969299810075</v>
      </c>
      <c r="F56" s="269"/>
    </row>
    <row r="57" spans="1:6" s="266" customFormat="1" ht="15.75" customHeight="1" thickBot="1">
      <c r="A57" s="684"/>
      <c r="B57" s="268" t="s">
        <v>246</v>
      </c>
      <c r="C57" s="267">
        <v>1.7280571713432943E-5</v>
      </c>
      <c r="D57" s="4">
        <v>1.0024360187766946E-5</v>
      </c>
      <c r="E57" s="4">
        <v>5.3335668052676509E-5</v>
      </c>
      <c r="F57" s="2">
        <v>8.0640599953876388E-5</v>
      </c>
    </row>
    <row r="58" spans="1:6" s="266" customFormat="1" ht="15" customHeight="1">
      <c r="A58" s="682" t="s">
        <v>287</v>
      </c>
      <c r="B58" s="275" t="s">
        <v>7</v>
      </c>
      <c r="C58" s="274">
        <v>638.76409545931858</v>
      </c>
      <c r="D58" s="273">
        <v>752.76703862149702</v>
      </c>
      <c r="E58" s="273">
        <v>442.87806103027771</v>
      </c>
      <c r="F58" s="272">
        <v>1834.4091951110934</v>
      </c>
    </row>
    <row r="59" spans="1:6" s="266" customFormat="1" ht="21" customHeight="1">
      <c r="A59" s="683"/>
      <c r="B59" s="271" t="s">
        <v>284</v>
      </c>
      <c r="C59" s="270">
        <v>0.34821243654997841</v>
      </c>
      <c r="D59" s="8">
        <v>0.4103593901664393</v>
      </c>
      <c r="E59" s="8">
        <v>0.24142817328358226</v>
      </c>
      <c r="F59" s="269"/>
    </row>
    <row r="60" spans="1:6" s="266" customFormat="1" ht="15" customHeight="1" thickBot="1">
      <c r="A60" s="684"/>
      <c r="B60" s="268" t="s">
        <v>246</v>
      </c>
      <c r="C60" s="267">
        <v>1.0143685335282943E-3</v>
      </c>
      <c r="D60" s="4">
        <v>1.1954071972468212E-3</v>
      </c>
      <c r="E60" s="4">
        <v>7.0329809156868687E-4</v>
      </c>
      <c r="F60" s="86">
        <v>2.9130738223438024E-3</v>
      </c>
    </row>
    <row r="61" spans="1:6" s="266" customFormat="1" ht="15.75" customHeight="1">
      <c r="A61" s="682" t="s">
        <v>286</v>
      </c>
      <c r="B61" s="275" t="s">
        <v>7</v>
      </c>
      <c r="C61" s="274">
        <v>302.06500022115199</v>
      </c>
      <c r="D61" s="273">
        <v>56.489014887359389</v>
      </c>
      <c r="E61" s="273">
        <v>137.31919168580109</v>
      </c>
      <c r="F61" s="272">
        <v>495.87320679431247</v>
      </c>
    </row>
    <row r="62" spans="1:6" s="266" customFormat="1" ht="19.5" customHeight="1">
      <c r="A62" s="683"/>
      <c r="B62" s="271" t="s">
        <v>284</v>
      </c>
      <c r="C62" s="270">
        <v>0.60915773645832039</v>
      </c>
      <c r="D62" s="8">
        <v>0.11391826401056381</v>
      </c>
      <c r="E62" s="8">
        <v>0.27692399953111585</v>
      </c>
      <c r="F62" s="269"/>
    </row>
    <row r="63" spans="1:6" s="266" customFormat="1" ht="15.75" customHeight="1" thickBot="1">
      <c r="A63" s="684"/>
      <c r="B63" s="268" t="s">
        <v>246</v>
      </c>
      <c r="C63" s="267">
        <v>4.796844930431255E-4</v>
      </c>
      <c r="D63" s="4">
        <v>8.9705541684438796E-5</v>
      </c>
      <c r="E63" s="4">
        <v>2.1806527337053187E-4</v>
      </c>
      <c r="F63" s="2">
        <v>7.8745530809809614E-4</v>
      </c>
    </row>
    <row r="64" spans="1:6" s="266" customFormat="1" ht="15.75" customHeight="1">
      <c r="A64" s="682" t="s">
        <v>285</v>
      </c>
      <c r="B64" s="275" t="s">
        <v>7</v>
      </c>
      <c r="C64" s="274">
        <v>253308.29643188027</v>
      </c>
      <c r="D64" s="273">
        <v>223030.81210322407</v>
      </c>
      <c r="E64" s="273">
        <v>147837.97323137059</v>
      </c>
      <c r="F64" s="272">
        <v>624177.08176647499</v>
      </c>
    </row>
    <row r="65" spans="1:33" s="266" customFormat="1" ht="20.25" customHeight="1">
      <c r="A65" s="683"/>
      <c r="B65" s="271" t="s">
        <v>284</v>
      </c>
      <c r="C65" s="270">
        <v>0.40582761500149273</v>
      </c>
      <c r="D65" s="8">
        <v>0.35731977129315234</v>
      </c>
      <c r="E65" s="8">
        <v>0.23685261370535485</v>
      </c>
      <c r="F65" s="269"/>
    </row>
    <row r="66" spans="1:33" s="266" customFormat="1" ht="15" customHeight="1" thickBot="1">
      <c r="A66" s="684"/>
      <c r="B66" s="268" t="s">
        <v>246</v>
      </c>
      <c r="C66" s="267">
        <v>0.40225799635371223</v>
      </c>
      <c r="D66" s="4">
        <v>0.35417682273154688</v>
      </c>
      <c r="E66" s="4">
        <v>0.23476928207535952</v>
      </c>
      <c r="F66" s="2">
        <v>0.99120410116061874</v>
      </c>
    </row>
    <row r="67" spans="1:33" ht="15.75" thickBot="1">
      <c r="A67" s="265" t="s">
        <v>9</v>
      </c>
      <c r="B67" s="264" t="s">
        <v>7</v>
      </c>
      <c r="C67" s="263">
        <v>256049.00000001499</v>
      </c>
      <c r="D67" s="262">
        <v>224626.00000000009</v>
      </c>
      <c r="E67" s="262">
        <v>149040.99999999988</v>
      </c>
      <c r="F67" s="261">
        <v>629716.0000000149</v>
      </c>
    </row>
    <row r="69" spans="1:33" ht="15.75" thickBot="1"/>
    <row r="70" spans="1:33" ht="15.75" customHeight="1">
      <c r="A70" s="685" t="s">
        <v>13</v>
      </c>
      <c r="B70" s="588" t="s">
        <v>283</v>
      </c>
      <c r="C70" s="589"/>
      <c r="D70" s="589"/>
      <c r="E70" s="589"/>
      <c r="F70" s="589"/>
      <c r="G70" s="589"/>
      <c r="H70" s="589"/>
      <c r="I70" s="589"/>
      <c r="J70" s="589"/>
      <c r="K70" s="589"/>
      <c r="L70" s="589"/>
      <c r="M70" s="589"/>
      <c r="N70" s="589"/>
      <c r="O70" s="589"/>
      <c r="P70" s="589"/>
      <c r="Q70" s="589"/>
      <c r="R70" s="589"/>
      <c r="S70" s="589"/>
      <c r="T70" s="589"/>
      <c r="U70" s="589"/>
      <c r="V70" s="589"/>
      <c r="W70" s="589"/>
      <c r="X70" s="589"/>
      <c r="Y70" s="589"/>
      <c r="Z70" s="589"/>
      <c r="AA70" s="589"/>
      <c r="AB70" s="589"/>
      <c r="AC70" s="590"/>
      <c r="AD70" s="1"/>
    </row>
    <row r="71" spans="1:33" ht="15" customHeight="1">
      <c r="A71" s="686"/>
      <c r="B71" s="661" t="s">
        <v>275</v>
      </c>
      <c r="C71" s="592"/>
      <c r="D71" s="661" t="s">
        <v>274</v>
      </c>
      <c r="E71" s="592"/>
      <c r="F71" s="661" t="s">
        <v>273</v>
      </c>
      <c r="G71" s="592"/>
      <c r="H71" s="661" t="s">
        <v>272</v>
      </c>
      <c r="I71" s="592"/>
      <c r="J71" s="661" t="s">
        <v>271</v>
      </c>
      <c r="K71" s="592"/>
      <c r="L71" s="661" t="s">
        <v>270</v>
      </c>
      <c r="M71" s="592"/>
      <c r="N71" s="661" t="s">
        <v>269</v>
      </c>
      <c r="O71" s="592"/>
      <c r="P71" s="661" t="s">
        <v>268</v>
      </c>
      <c r="Q71" s="592"/>
      <c r="R71" s="661" t="s">
        <v>267</v>
      </c>
      <c r="S71" s="592"/>
      <c r="T71" s="661" t="s">
        <v>266</v>
      </c>
      <c r="U71" s="592"/>
      <c r="V71" s="661" t="s">
        <v>265</v>
      </c>
      <c r="W71" s="592"/>
      <c r="X71" s="661" t="s">
        <v>264</v>
      </c>
      <c r="Y71" s="592"/>
      <c r="Z71" s="591" t="s">
        <v>281</v>
      </c>
      <c r="AA71" s="592"/>
      <c r="AB71" s="662" t="s">
        <v>9</v>
      </c>
      <c r="AC71" s="663"/>
      <c r="AD71" s="1"/>
    </row>
    <row r="72" spans="1:33" ht="24.75" thickBot="1">
      <c r="A72" s="687"/>
      <c r="B72" s="260" t="s">
        <v>7</v>
      </c>
      <c r="C72" s="260" t="s">
        <v>8</v>
      </c>
      <c r="D72" s="260" t="s">
        <v>7</v>
      </c>
      <c r="E72" s="260" t="s">
        <v>8</v>
      </c>
      <c r="F72" s="260" t="s">
        <v>7</v>
      </c>
      <c r="G72" s="260" t="s">
        <v>8</v>
      </c>
      <c r="H72" s="260" t="s">
        <v>7</v>
      </c>
      <c r="I72" s="260" t="s">
        <v>8</v>
      </c>
      <c r="J72" s="260" t="s">
        <v>7</v>
      </c>
      <c r="K72" s="260" t="s">
        <v>8</v>
      </c>
      <c r="L72" s="260" t="s">
        <v>7</v>
      </c>
      <c r="M72" s="260" t="s">
        <v>8</v>
      </c>
      <c r="N72" s="260" t="s">
        <v>7</v>
      </c>
      <c r="O72" s="260" t="s">
        <v>8</v>
      </c>
      <c r="P72" s="260" t="s">
        <v>7</v>
      </c>
      <c r="Q72" s="260" t="s">
        <v>8</v>
      </c>
      <c r="R72" s="260" t="s">
        <v>7</v>
      </c>
      <c r="S72" s="260" t="s">
        <v>8</v>
      </c>
      <c r="T72" s="260" t="s">
        <v>7</v>
      </c>
      <c r="U72" s="260" t="s">
        <v>8</v>
      </c>
      <c r="V72" s="260" t="s">
        <v>7</v>
      </c>
      <c r="W72" s="260" t="s">
        <v>8</v>
      </c>
      <c r="X72" s="260" t="s">
        <v>7</v>
      </c>
      <c r="Y72" s="260" t="s">
        <v>8</v>
      </c>
      <c r="Z72" s="260" t="s">
        <v>7</v>
      </c>
      <c r="AA72" s="260" t="s">
        <v>8</v>
      </c>
      <c r="AB72" s="260" t="s">
        <v>7</v>
      </c>
      <c r="AC72" s="259" t="s">
        <v>8</v>
      </c>
      <c r="AD72" s="1" t="s">
        <v>282</v>
      </c>
      <c r="AE72" s="258" t="s">
        <v>281</v>
      </c>
      <c r="AF72" s="258" t="s">
        <v>280</v>
      </c>
    </row>
    <row r="73" spans="1:33">
      <c r="A73" s="257" t="s">
        <v>5</v>
      </c>
      <c r="B73" s="116">
        <v>265.15884314682165</v>
      </c>
      <c r="C73" s="12">
        <v>1.0355785148421037E-3</v>
      </c>
      <c r="D73" s="116">
        <v>6.1083333333333325</v>
      </c>
      <c r="E73" s="12">
        <v>2.3856110874609813E-5</v>
      </c>
      <c r="F73" s="116">
        <v>87.261306532663312</v>
      </c>
      <c r="G73" s="12">
        <v>3.4079924753722181E-4</v>
      </c>
      <c r="H73" s="116">
        <v>1420.8612419917322</v>
      </c>
      <c r="I73" s="12">
        <v>5.549177079354527E-3</v>
      </c>
      <c r="J73" s="116">
        <v>17.507220216606498</v>
      </c>
      <c r="K73" s="12">
        <v>6.8374491666069599E-5</v>
      </c>
      <c r="L73" s="116">
        <v>147200.55501773662</v>
      </c>
      <c r="M73" s="12">
        <v>0.57489213009122409</v>
      </c>
      <c r="N73" s="116">
        <v>160.40463132169842</v>
      </c>
      <c r="O73" s="12">
        <v>6.2646068261031616E-4</v>
      </c>
      <c r="P73" s="116">
        <v>907.78649624582647</v>
      </c>
      <c r="Q73" s="12">
        <v>3.5453623964388547E-3</v>
      </c>
      <c r="R73" s="116">
        <v>6.905263157894737</v>
      </c>
      <c r="S73" s="12">
        <v>2.6968522266809576E-5</v>
      </c>
      <c r="T73" s="116">
        <v>89.726027397260268</v>
      </c>
      <c r="U73" s="12">
        <v>3.5042522094308091E-4</v>
      </c>
      <c r="V73" s="116">
        <v>1606.5094693722378</v>
      </c>
      <c r="W73" s="12">
        <v>6.2742266885328279E-3</v>
      </c>
      <c r="X73" s="116">
        <v>0</v>
      </c>
      <c r="Y73" s="12">
        <v>0</v>
      </c>
      <c r="Z73" s="116">
        <v>104280.21614954839</v>
      </c>
      <c r="AA73" s="12">
        <v>0.40726664095365406</v>
      </c>
      <c r="AB73" s="116">
        <v>256049.00000001528</v>
      </c>
      <c r="AC73" s="10">
        <v>1</v>
      </c>
      <c r="AD73" s="252">
        <f t="shared" ref="AD73:AD84" si="0">SUM(B73,D73,F73,H73,J73,L73,N73,P73,R73,T73,V73,X73)</f>
        <v>151768.78385045269</v>
      </c>
      <c r="AE73" s="251">
        <f t="shared" ref="AE73:AE84" si="1">+Z73</f>
        <v>104280.21614954839</v>
      </c>
      <c r="AF73" s="250">
        <f t="shared" ref="AF73:AF84" si="2">+AD73+AE73</f>
        <v>256049.00000000108</v>
      </c>
      <c r="AG73" s="256">
        <f>+AD73/AF73</f>
        <v>0.5927333590463234</v>
      </c>
    </row>
    <row r="74" spans="1:33">
      <c r="A74" s="255" t="s">
        <v>2</v>
      </c>
      <c r="B74" s="118">
        <v>28.783312837330051</v>
      </c>
      <c r="C74" s="8">
        <v>2.3649094435403495E-3</v>
      </c>
      <c r="D74" s="118">
        <v>6.1083333333333325</v>
      </c>
      <c r="E74" s="8">
        <v>5.0187604414865137E-4</v>
      </c>
      <c r="F74" s="118">
        <v>0</v>
      </c>
      <c r="G74" s="8">
        <v>0</v>
      </c>
      <c r="H74" s="118">
        <v>88.007968626046903</v>
      </c>
      <c r="I74" s="8">
        <v>7.2309562588156696E-3</v>
      </c>
      <c r="J74" s="118">
        <v>0</v>
      </c>
      <c r="K74" s="8">
        <v>0</v>
      </c>
      <c r="L74" s="118">
        <v>6010.7503477456912</v>
      </c>
      <c r="M74" s="8">
        <v>0.49385838039155339</v>
      </c>
      <c r="N74" s="118">
        <v>14.981349206349206</v>
      </c>
      <c r="O74" s="8">
        <v>1.2309053657340375E-3</v>
      </c>
      <c r="P74" s="118">
        <v>29.234104206509304</v>
      </c>
      <c r="Q74" s="8">
        <v>2.401947597281147E-3</v>
      </c>
      <c r="R74" s="118">
        <v>6.905263157894737</v>
      </c>
      <c r="S74" s="8">
        <v>5.6735380477320092E-4</v>
      </c>
      <c r="T74" s="118">
        <v>0</v>
      </c>
      <c r="U74" s="8">
        <v>0</v>
      </c>
      <c r="V74" s="118">
        <v>101.02816328568781</v>
      </c>
      <c r="W74" s="8">
        <v>8.3007282298649416E-3</v>
      </c>
      <c r="X74" s="118">
        <v>0</v>
      </c>
      <c r="Y74" s="8">
        <v>0</v>
      </c>
      <c r="Z74" s="118">
        <v>5885.2011576011246</v>
      </c>
      <c r="AA74" s="8">
        <v>0.48354294286427013</v>
      </c>
      <c r="AB74" s="118">
        <v>12171.000000000193</v>
      </c>
      <c r="AC74" s="6">
        <v>4.7533870470103247E-2</v>
      </c>
      <c r="AD74" s="252">
        <f t="shared" si="0"/>
        <v>6285.7988423988418</v>
      </c>
      <c r="AE74" s="251">
        <f t="shared" si="1"/>
        <v>5885.2011576011246</v>
      </c>
      <c r="AF74" s="250">
        <f t="shared" si="2"/>
        <v>12170.999999999967</v>
      </c>
      <c r="AG74" s="249">
        <f>+AD74/$AD$73</f>
        <v>4.141694150091256E-2</v>
      </c>
    </row>
    <row r="75" spans="1:33">
      <c r="A75" s="255" t="s">
        <v>1</v>
      </c>
      <c r="B75" s="118">
        <v>80.793733681462143</v>
      </c>
      <c r="C75" s="8">
        <v>9.2172418779833457E-4</v>
      </c>
      <c r="D75" s="118">
        <v>0</v>
      </c>
      <c r="E75" s="8">
        <v>0</v>
      </c>
      <c r="F75" s="118">
        <v>0</v>
      </c>
      <c r="G75" s="8">
        <v>0</v>
      </c>
      <c r="H75" s="118">
        <v>152.7393100624522</v>
      </c>
      <c r="I75" s="8">
        <v>1.742505391163697E-3</v>
      </c>
      <c r="J75" s="118">
        <v>17.507220216606498</v>
      </c>
      <c r="K75" s="8">
        <v>1.9972871161493E-4</v>
      </c>
      <c r="L75" s="118">
        <v>41605.879708562636</v>
      </c>
      <c r="M75" s="8">
        <v>0.4746549507565237</v>
      </c>
      <c r="N75" s="118">
        <v>58.161975582685912</v>
      </c>
      <c r="O75" s="8">
        <v>6.6353289125191427E-4</v>
      </c>
      <c r="P75" s="118">
        <v>156.46292948075455</v>
      </c>
      <c r="Q75" s="8">
        <v>1.7849857906651787E-3</v>
      </c>
      <c r="R75" s="118">
        <v>0</v>
      </c>
      <c r="S75" s="8">
        <v>0</v>
      </c>
      <c r="T75" s="118">
        <v>0</v>
      </c>
      <c r="U75" s="8">
        <v>0</v>
      </c>
      <c r="V75" s="118">
        <v>268.70191963681407</v>
      </c>
      <c r="W75" s="8">
        <v>3.065448857872534E-3</v>
      </c>
      <c r="X75" s="118">
        <v>0</v>
      </c>
      <c r="Y75" s="8">
        <v>0</v>
      </c>
      <c r="Z75" s="118">
        <v>45314.753202775712</v>
      </c>
      <c r="AA75" s="8">
        <v>0.51696712341311046</v>
      </c>
      <c r="AB75" s="118">
        <v>87654.999999999054</v>
      </c>
      <c r="AC75" s="6">
        <v>0.34233681834333984</v>
      </c>
      <c r="AD75" s="252">
        <f t="shared" si="0"/>
        <v>42340.246797223408</v>
      </c>
      <c r="AE75" s="251">
        <f t="shared" si="1"/>
        <v>45314.753202775712</v>
      </c>
      <c r="AF75" s="250">
        <f t="shared" si="2"/>
        <v>87654.999999999127</v>
      </c>
      <c r="AG75" s="249">
        <f>+AD75/$AD$73</f>
        <v>0.27897862605886009</v>
      </c>
    </row>
    <row r="76" spans="1:33" ht="15.75" thickBot="1">
      <c r="A76" s="255" t="s">
        <v>0</v>
      </c>
      <c r="B76" s="118">
        <v>155.58179662802951</v>
      </c>
      <c r="C76" s="8">
        <v>9.958955891772002E-4</v>
      </c>
      <c r="D76" s="118">
        <v>0</v>
      </c>
      <c r="E76" s="8">
        <v>0</v>
      </c>
      <c r="F76" s="118">
        <v>87.261306532663312</v>
      </c>
      <c r="G76" s="8">
        <v>5.5856888251194401E-4</v>
      </c>
      <c r="H76" s="118">
        <v>1180.1139633032333</v>
      </c>
      <c r="I76" s="8">
        <v>7.5540347023372676E-3</v>
      </c>
      <c r="J76" s="118">
        <v>0</v>
      </c>
      <c r="K76" s="8">
        <v>0</v>
      </c>
      <c r="L76" s="118">
        <v>99583.924961425422</v>
      </c>
      <c r="M76" s="8">
        <v>0.63744727064149054</v>
      </c>
      <c r="N76" s="118">
        <v>87.261306532663312</v>
      </c>
      <c r="O76" s="8">
        <v>5.5856888251194401E-4</v>
      </c>
      <c r="P76" s="118">
        <v>722.08946255856267</v>
      </c>
      <c r="Q76" s="8">
        <v>4.6221712715705356E-3</v>
      </c>
      <c r="R76" s="118">
        <v>0</v>
      </c>
      <c r="S76" s="8">
        <v>0</v>
      </c>
      <c r="T76" s="118">
        <v>89.726027397260268</v>
      </c>
      <c r="U76" s="8">
        <v>5.7434582230056009E-4</v>
      </c>
      <c r="V76" s="118">
        <v>1236.779386449736</v>
      </c>
      <c r="W76" s="8">
        <v>7.916756088730454E-3</v>
      </c>
      <c r="X76" s="118">
        <v>0</v>
      </c>
      <c r="Y76" s="8">
        <v>0</v>
      </c>
      <c r="Z76" s="118">
        <v>53080.2617891716</v>
      </c>
      <c r="AA76" s="8">
        <v>0.33977238811936578</v>
      </c>
      <c r="AB76" s="118">
        <v>156222.99999999977</v>
      </c>
      <c r="AC76" s="6">
        <v>0.61012931118649338</v>
      </c>
      <c r="AD76" s="252">
        <f t="shared" si="0"/>
        <v>103142.73821082758</v>
      </c>
      <c r="AE76" s="251">
        <f t="shared" si="1"/>
        <v>53080.2617891716</v>
      </c>
      <c r="AF76" s="250">
        <f t="shared" si="2"/>
        <v>156222.99999999919</v>
      </c>
      <c r="AG76" s="249">
        <f>+AD76/$AD$73</f>
        <v>0.67960443244020852</v>
      </c>
    </row>
    <row r="77" spans="1:33">
      <c r="A77" s="257" t="s">
        <v>4</v>
      </c>
      <c r="B77" s="116">
        <v>221.80430796055796</v>
      </c>
      <c r="C77" s="12">
        <v>9.8743826609812659E-4</v>
      </c>
      <c r="D77" s="116">
        <v>0</v>
      </c>
      <c r="E77" s="12">
        <v>0</v>
      </c>
      <c r="F77" s="116">
        <v>0</v>
      </c>
      <c r="G77" s="12">
        <v>0</v>
      </c>
      <c r="H77" s="116">
        <v>1468.8099929781163</v>
      </c>
      <c r="I77" s="12">
        <v>6.5389135406324949E-3</v>
      </c>
      <c r="J77" s="116">
        <v>0</v>
      </c>
      <c r="K77" s="12">
        <v>0</v>
      </c>
      <c r="L77" s="116">
        <v>133316.00579747197</v>
      </c>
      <c r="M77" s="12">
        <v>0.59350211372446571</v>
      </c>
      <c r="N77" s="116">
        <v>137.10475259936777</v>
      </c>
      <c r="O77" s="12">
        <v>6.103690249542246E-4</v>
      </c>
      <c r="P77" s="116">
        <v>534.31041965121779</v>
      </c>
      <c r="Q77" s="12">
        <v>2.3786668491235087E-3</v>
      </c>
      <c r="R77" s="116">
        <v>5.3796992481203008</v>
      </c>
      <c r="S77" s="12">
        <v>2.3949583966772752E-5</v>
      </c>
      <c r="T77" s="116">
        <v>0</v>
      </c>
      <c r="U77" s="12">
        <v>0</v>
      </c>
      <c r="V77" s="116">
        <v>2308.2551554119318</v>
      </c>
      <c r="W77" s="12">
        <v>1.0275992785394077E-2</v>
      </c>
      <c r="X77" s="116">
        <v>0</v>
      </c>
      <c r="Y77" s="12">
        <v>0</v>
      </c>
      <c r="Z77" s="116">
        <v>86634.329874678748</v>
      </c>
      <c r="AA77" s="12">
        <v>0.38568255622536429</v>
      </c>
      <c r="AB77" s="116">
        <v>224626.0000000002</v>
      </c>
      <c r="AC77" s="10">
        <v>1</v>
      </c>
      <c r="AD77" s="252">
        <f t="shared" si="0"/>
        <v>137991.67012532128</v>
      </c>
      <c r="AE77" s="251">
        <f t="shared" si="1"/>
        <v>86634.329874678748</v>
      </c>
      <c r="AF77" s="250">
        <f t="shared" si="2"/>
        <v>224626.00000000003</v>
      </c>
      <c r="AG77" s="256">
        <f>+AD77/AF77</f>
        <v>0.61431744377463549</v>
      </c>
    </row>
    <row r="78" spans="1:33">
      <c r="A78" s="255" t="s">
        <v>2</v>
      </c>
      <c r="B78" s="118">
        <v>10.361111111111111</v>
      </c>
      <c r="C78" s="8">
        <v>9.8060866090395027E-4</v>
      </c>
      <c r="D78" s="118">
        <v>0</v>
      </c>
      <c r="E78" s="8">
        <v>0</v>
      </c>
      <c r="F78" s="118">
        <v>0</v>
      </c>
      <c r="G78" s="8">
        <v>0</v>
      </c>
      <c r="H78" s="118">
        <v>69.808366125895134</v>
      </c>
      <c r="I78" s="8">
        <v>6.6068868186537301E-3</v>
      </c>
      <c r="J78" s="118">
        <v>0</v>
      </c>
      <c r="K78" s="8">
        <v>0</v>
      </c>
      <c r="L78" s="118">
        <v>5071.9087743394739</v>
      </c>
      <c r="M78" s="8">
        <v>0.48002165193445834</v>
      </c>
      <c r="N78" s="118">
        <v>0</v>
      </c>
      <c r="O78" s="8">
        <v>0</v>
      </c>
      <c r="P78" s="118">
        <v>11.793258570154199</v>
      </c>
      <c r="Q78" s="8">
        <v>1.1161516723598552E-3</v>
      </c>
      <c r="R78" s="118">
        <v>5.3796992481203008</v>
      </c>
      <c r="S78" s="8">
        <v>5.09151925811122E-4</v>
      </c>
      <c r="T78" s="118">
        <v>0</v>
      </c>
      <c r="U78" s="8">
        <v>0</v>
      </c>
      <c r="V78" s="118">
        <v>62.836467629654521</v>
      </c>
      <c r="W78" s="8">
        <v>5.9470440686782778E-3</v>
      </c>
      <c r="X78" s="118">
        <v>0</v>
      </c>
      <c r="Y78" s="8">
        <v>0</v>
      </c>
      <c r="Z78" s="118">
        <v>5333.9123229755678</v>
      </c>
      <c r="AA78" s="8">
        <v>0.50481850491913516</v>
      </c>
      <c r="AB78" s="118">
        <v>10565.999999999973</v>
      </c>
      <c r="AC78" s="6">
        <v>4.7038187921255616E-2</v>
      </c>
      <c r="AD78" s="252">
        <f t="shared" si="0"/>
        <v>5232.0876770244095</v>
      </c>
      <c r="AE78" s="251">
        <f t="shared" si="1"/>
        <v>5333.9123229755678</v>
      </c>
      <c r="AF78" s="250">
        <f t="shared" si="2"/>
        <v>10565.999999999978</v>
      </c>
      <c r="AG78" s="249">
        <f>+AD78/$AD$77</f>
        <v>3.7915967480303209E-2</v>
      </c>
    </row>
    <row r="79" spans="1:33">
      <c r="A79" s="255" t="s">
        <v>1</v>
      </c>
      <c r="B79" s="118">
        <v>0</v>
      </c>
      <c r="C79" s="8">
        <v>0</v>
      </c>
      <c r="D79" s="118">
        <v>0</v>
      </c>
      <c r="E79" s="8">
        <v>0</v>
      </c>
      <c r="F79" s="118">
        <v>0</v>
      </c>
      <c r="G79" s="8">
        <v>0</v>
      </c>
      <c r="H79" s="118">
        <v>376.46539609825987</v>
      </c>
      <c r="I79" s="8">
        <v>4.9056618508784159E-3</v>
      </c>
      <c r="J79" s="118">
        <v>0</v>
      </c>
      <c r="K79" s="8">
        <v>0</v>
      </c>
      <c r="L79" s="118">
        <v>38678.285524570238</v>
      </c>
      <c r="M79" s="8">
        <v>0.5040107051585242</v>
      </c>
      <c r="N79" s="118">
        <v>15.172413793103448</v>
      </c>
      <c r="O79" s="8">
        <v>1.9770935735921442E-4</v>
      </c>
      <c r="P79" s="118">
        <v>81.99212598425197</v>
      </c>
      <c r="Q79" s="8">
        <v>1.0684266035659179E-3</v>
      </c>
      <c r="R79" s="118">
        <v>0</v>
      </c>
      <c r="S79" s="8">
        <v>0</v>
      </c>
      <c r="T79" s="118">
        <v>0</v>
      </c>
      <c r="U79" s="8">
        <v>0</v>
      </c>
      <c r="V79" s="118">
        <v>544.47537935248397</v>
      </c>
      <c r="W79" s="8">
        <v>7.0949737344116557E-3</v>
      </c>
      <c r="X79" s="118">
        <v>0</v>
      </c>
      <c r="Y79" s="8">
        <v>0</v>
      </c>
      <c r="Z79" s="118">
        <v>37044.609160201675</v>
      </c>
      <c r="AA79" s="8">
        <v>0.48272252329526244</v>
      </c>
      <c r="AB79" s="118">
        <v>76740.999999999869</v>
      </c>
      <c r="AC79" s="6">
        <v>0.34163899103398448</v>
      </c>
      <c r="AD79" s="252">
        <f t="shared" si="0"/>
        <v>39696.39083979834</v>
      </c>
      <c r="AE79" s="251">
        <f t="shared" si="1"/>
        <v>37044.609160201675</v>
      </c>
      <c r="AF79" s="250">
        <f t="shared" si="2"/>
        <v>76741.000000000015</v>
      </c>
      <c r="AG79" s="249">
        <f>+AD79/$AD$77</f>
        <v>0.28767237039559612</v>
      </c>
    </row>
    <row r="80" spans="1:33" ht="15.75" thickBot="1">
      <c r="A80" s="255" t="s">
        <v>0</v>
      </c>
      <c r="B80" s="118">
        <v>211.44319684944685</v>
      </c>
      <c r="C80" s="8">
        <v>1.5397956353414206E-3</v>
      </c>
      <c r="D80" s="118">
        <v>0</v>
      </c>
      <c r="E80" s="8">
        <v>0</v>
      </c>
      <c r="F80" s="118">
        <v>0</v>
      </c>
      <c r="G80" s="8">
        <v>0</v>
      </c>
      <c r="H80" s="118">
        <v>1022.5362307539615</v>
      </c>
      <c r="I80" s="8">
        <v>7.446429341562125E-3</v>
      </c>
      <c r="J80" s="118">
        <v>0</v>
      </c>
      <c r="K80" s="8">
        <v>0</v>
      </c>
      <c r="L80" s="118">
        <v>89565.811498561801</v>
      </c>
      <c r="M80" s="8">
        <v>0.65224631331835004</v>
      </c>
      <c r="N80" s="118">
        <v>121.93233880626431</v>
      </c>
      <c r="O80" s="8">
        <v>8.8794951031004635E-4</v>
      </c>
      <c r="P80" s="118">
        <v>440.52503509681162</v>
      </c>
      <c r="Q80" s="8">
        <v>3.2080413860923473E-3</v>
      </c>
      <c r="R80" s="118">
        <v>0</v>
      </c>
      <c r="S80" s="8">
        <v>0</v>
      </c>
      <c r="T80" s="118">
        <v>0</v>
      </c>
      <c r="U80" s="8">
        <v>0</v>
      </c>
      <c r="V80" s="118">
        <v>1700.943308429793</v>
      </c>
      <c r="W80" s="8">
        <v>1.2386802324731511E-2</v>
      </c>
      <c r="X80" s="118">
        <v>0</v>
      </c>
      <c r="Y80" s="8">
        <v>0</v>
      </c>
      <c r="Z80" s="118">
        <v>44255.808391501552</v>
      </c>
      <c r="AA80" s="8">
        <v>0.3222846684836177</v>
      </c>
      <c r="AB80" s="118">
        <v>137318.99999999892</v>
      </c>
      <c r="AC80" s="6">
        <v>0.61132282104475355</v>
      </c>
      <c r="AD80" s="252">
        <f t="shared" si="0"/>
        <v>93063.191608498077</v>
      </c>
      <c r="AE80" s="251">
        <f t="shared" si="1"/>
        <v>44255.808391501552</v>
      </c>
      <c r="AF80" s="250">
        <f t="shared" si="2"/>
        <v>137318.99999999962</v>
      </c>
      <c r="AG80" s="249">
        <f>+AD80/$AD$77</f>
        <v>0.67441166212409742</v>
      </c>
    </row>
    <row r="81" spans="1:85">
      <c r="A81" s="257" t="s">
        <v>3</v>
      </c>
      <c r="B81" s="116">
        <v>255.5191922696157</v>
      </c>
      <c r="C81" s="12">
        <v>1.7144221541026666E-3</v>
      </c>
      <c r="D81" s="116">
        <v>0</v>
      </c>
      <c r="E81" s="12">
        <v>0</v>
      </c>
      <c r="F81" s="116">
        <v>0</v>
      </c>
      <c r="G81" s="12">
        <v>0</v>
      </c>
      <c r="H81" s="116">
        <v>1129.6774378026578</v>
      </c>
      <c r="I81" s="12">
        <v>7.5796420971588827E-3</v>
      </c>
      <c r="J81" s="116">
        <v>0</v>
      </c>
      <c r="K81" s="12">
        <v>0</v>
      </c>
      <c r="L81" s="116">
        <v>89683.307841057846</v>
      </c>
      <c r="M81" s="12">
        <v>0.60173581659447928</v>
      </c>
      <c r="N81" s="116">
        <v>0</v>
      </c>
      <c r="O81" s="12">
        <v>0</v>
      </c>
      <c r="P81" s="116">
        <v>563.37625499353896</v>
      </c>
      <c r="Q81" s="12">
        <v>3.7800085546496509E-3</v>
      </c>
      <c r="R81" s="116">
        <v>0</v>
      </c>
      <c r="S81" s="12">
        <v>0</v>
      </c>
      <c r="T81" s="116">
        <v>0</v>
      </c>
      <c r="U81" s="12">
        <v>0</v>
      </c>
      <c r="V81" s="116">
        <v>1473.9359558528706</v>
      </c>
      <c r="W81" s="12">
        <v>9.8894663606180159E-3</v>
      </c>
      <c r="X81" s="116">
        <v>72.462962962962962</v>
      </c>
      <c r="Y81" s="12">
        <v>4.8619482533640351E-4</v>
      </c>
      <c r="Z81" s="116">
        <v>55862.72035506025</v>
      </c>
      <c r="AA81" s="12">
        <v>0.37481444941365277</v>
      </c>
      <c r="AB81" s="116">
        <v>149040.99999999974</v>
      </c>
      <c r="AC81" s="10">
        <v>1</v>
      </c>
      <c r="AD81" s="252">
        <f t="shared" si="0"/>
        <v>93178.279644939481</v>
      </c>
      <c r="AE81" s="251">
        <f t="shared" si="1"/>
        <v>55862.72035506025</v>
      </c>
      <c r="AF81" s="250">
        <f t="shared" si="2"/>
        <v>149040.99999999974</v>
      </c>
      <c r="AG81" s="256">
        <f>+AD81/AF81</f>
        <v>0.62518555058634628</v>
      </c>
    </row>
    <row r="82" spans="1:85">
      <c r="A82" s="255" t="s">
        <v>2</v>
      </c>
      <c r="B82" s="118">
        <v>13.038758188917933</v>
      </c>
      <c r="C82" s="8">
        <v>1.4853905432807273E-3</v>
      </c>
      <c r="D82" s="118">
        <v>0</v>
      </c>
      <c r="E82" s="8">
        <v>0</v>
      </c>
      <c r="F82" s="118">
        <v>0</v>
      </c>
      <c r="G82" s="8">
        <v>0</v>
      </c>
      <c r="H82" s="118">
        <v>45.437697132753456</v>
      </c>
      <c r="I82" s="8">
        <v>5.1763154628337296E-3</v>
      </c>
      <c r="J82" s="118">
        <v>0</v>
      </c>
      <c r="K82" s="8">
        <v>0</v>
      </c>
      <c r="L82" s="118">
        <v>4139.7818599905431</v>
      </c>
      <c r="M82" s="8">
        <v>0.47160877876402779</v>
      </c>
      <c r="N82" s="118">
        <v>0</v>
      </c>
      <c r="O82" s="8">
        <v>0</v>
      </c>
      <c r="P82" s="118">
        <v>4.6022408963585431</v>
      </c>
      <c r="Q82" s="8">
        <v>5.2429265166993003E-4</v>
      </c>
      <c r="R82" s="118">
        <v>0</v>
      </c>
      <c r="S82" s="8">
        <v>0</v>
      </c>
      <c r="T82" s="118">
        <v>0</v>
      </c>
      <c r="U82" s="8">
        <v>0</v>
      </c>
      <c r="V82" s="118">
        <v>45.761433214506553</v>
      </c>
      <c r="W82" s="8">
        <v>5.2131958549222583E-3</v>
      </c>
      <c r="X82" s="118">
        <v>0</v>
      </c>
      <c r="Y82" s="8">
        <v>0</v>
      </c>
      <c r="Z82" s="118">
        <v>4529.3780105769511</v>
      </c>
      <c r="AA82" s="8">
        <v>0.51599202672329147</v>
      </c>
      <c r="AB82" s="118">
        <v>8778.0000000000291</v>
      </c>
      <c r="AC82" s="6">
        <f>+AB82/$AB$81</f>
        <v>5.8896545245939333E-2</v>
      </c>
      <c r="AD82" s="252">
        <f t="shared" si="0"/>
        <v>4248.621989423079</v>
      </c>
      <c r="AE82" s="251">
        <f t="shared" si="1"/>
        <v>4529.3780105769511</v>
      </c>
      <c r="AF82" s="250">
        <f t="shared" si="2"/>
        <v>8778.0000000000291</v>
      </c>
      <c r="AG82" s="249">
        <f>+AD82/$AD$81</f>
        <v>4.5596699205143802E-2</v>
      </c>
    </row>
    <row r="83" spans="1:85">
      <c r="A83" s="255" t="s">
        <v>1</v>
      </c>
      <c r="B83" s="118">
        <v>22.115768463073852</v>
      </c>
      <c r="C83" s="8">
        <v>9.5528350667676187E-4</v>
      </c>
      <c r="D83" s="118">
        <v>0</v>
      </c>
      <c r="E83" s="8">
        <v>0</v>
      </c>
      <c r="F83" s="118">
        <v>0</v>
      </c>
      <c r="G83" s="8">
        <v>0</v>
      </c>
      <c r="H83" s="118">
        <v>104.03859578110468</v>
      </c>
      <c r="I83" s="8">
        <v>4.4939136875773843E-3</v>
      </c>
      <c r="J83" s="118">
        <v>0</v>
      </c>
      <c r="K83" s="8">
        <v>0</v>
      </c>
      <c r="L83" s="118">
        <v>11315.627056813608</v>
      </c>
      <c r="M83" s="8">
        <v>0.48877487179014023</v>
      </c>
      <c r="N83" s="118">
        <v>0</v>
      </c>
      <c r="O83" s="8">
        <v>0</v>
      </c>
      <c r="P83" s="118">
        <v>110.31877698010922</v>
      </c>
      <c r="Q83" s="8">
        <v>4.7651840948602017E-3</v>
      </c>
      <c r="R83" s="118">
        <v>0</v>
      </c>
      <c r="S83" s="8">
        <v>0</v>
      </c>
      <c r="T83" s="118">
        <v>0</v>
      </c>
      <c r="U83" s="8">
        <v>0</v>
      </c>
      <c r="V83" s="118">
        <v>79.925878591893095</v>
      </c>
      <c r="W83" s="8">
        <v>3.4523726228626235E-3</v>
      </c>
      <c r="X83" s="118">
        <v>0</v>
      </c>
      <c r="Y83" s="8">
        <v>0</v>
      </c>
      <c r="Z83" s="118">
        <v>11518.97392337024</v>
      </c>
      <c r="AA83" s="8">
        <v>0.49755837429787775</v>
      </c>
      <c r="AB83" s="118">
        <v>23151.000000000029</v>
      </c>
      <c r="AC83" s="6">
        <f>+AB83/$AB$81</f>
        <v>0.15533309626210284</v>
      </c>
      <c r="AD83" s="252">
        <f t="shared" si="0"/>
        <v>11632.026076629791</v>
      </c>
      <c r="AE83" s="251">
        <f t="shared" si="1"/>
        <v>11518.97392337024</v>
      </c>
      <c r="AF83" s="250">
        <f t="shared" si="2"/>
        <v>23151.000000000029</v>
      </c>
      <c r="AG83" s="249">
        <f>+AD83/$AD$81</f>
        <v>0.12483623995800536</v>
      </c>
    </row>
    <row r="84" spans="1:85" ht="15.75" thickBot="1">
      <c r="A84" s="254" t="s">
        <v>0</v>
      </c>
      <c r="B84" s="253">
        <v>220.36466561762393</v>
      </c>
      <c r="C84" s="4">
        <v>1.8816574357676738E-3</v>
      </c>
      <c r="D84" s="253">
        <v>0</v>
      </c>
      <c r="E84" s="4">
        <v>0</v>
      </c>
      <c r="F84" s="253">
        <v>0</v>
      </c>
      <c r="G84" s="4">
        <v>0</v>
      </c>
      <c r="H84" s="253">
        <v>980.2011448887996</v>
      </c>
      <c r="I84" s="4">
        <v>8.3697754703941449E-3</v>
      </c>
      <c r="J84" s="253">
        <v>0</v>
      </c>
      <c r="K84" s="4">
        <v>0</v>
      </c>
      <c r="L84" s="253">
        <v>74227.898924254303</v>
      </c>
      <c r="M84" s="4">
        <v>0.63381975309322924</v>
      </c>
      <c r="N84" s="253">
        <v>0</v>
      </c>
      <c r="O84" s="4">
        <v>0</v>
      </c>
      <c r="P84" s="253">
        <v>448.45523711707119</v>
      </c>
      <c r="Q84" s="4">
        <v>3.8292851041487721E-3</v>
      </c>
      <c r="R84" s="253">
        <v>0</v>
      </c>
      <c r="S84" s="4">
        <v>0</v>
      </c>
      <c r="T84" s="253">
        <v>0</v>
      </c>
      <c r="U84" s="4">
        <v>0</v>
      </c>
      <c r="V84" s="253">
        <v>72.462962962962962</v>
      </c>
      <c r="W84" s="4">
        <v>6.1874925680513459E-4</v>
      </c>
      <c r="X84" s="253">
        <v>72.462962962962962</v>
      </c>
      <c r="Y84" s="4">
        <v>6.1874925680513459E-4</v>
      </c>
      <c r="Z84" s="253">
        <v>39814.368421113148</v>
      </c>
      <c r="AA84" s="4">
        <v>0.78577035849195853</v>
      </c>
      <c r="AB84" s="253">
        <v>115836.21431891687</v>
      </c>
      <c r="AC84" s="2">
        <f>+AB84/$AB$81</f>
        <v>0.77721039391118596</v>
      </c>
      <c r="AD84" s="252">
        <f t="shared" si="0"/>
        <v>76021.845897803723</v>
      </c>
      <c r="AE84" s="251">
        <f t="shared" si="1"/>
        <v>39814.368421113148</v>
      </c>
      <c r="AF84" s="250">
        <f t="shared" si="2"/>
        <v>115836.21431891687</v>
      </c>
      <c r="AG84" s="249">
        <f>+AD84/$AD$81</f>
        <v>0.81587518236534085</v>
      </c>
    </row>
    <row r="85" spans="1:85">
      <c r="A85" s="43"/>
      <c r="B85" s="248"/>
      <c r="C85" s="248"/>
      <c r="D85" s="248"/>
      <c r="E85" s="248"/>
      <c r="F85" s="248"/>
      <c r="G85" s="248"/>
      <c r="H85" s="248"/>
      <c r="I85" s="248"/>
      <c r="J85" s="248"/>
      <c r="K85" s="248"/>
      <c r="L85" s="248"/>
      <c r="M85" s="248"/>
      <c r="N85" s="248"/>
      <c r="O85" s="248"/>
      <c r="P85" s="248"/>
      <c r="Q85" s="248"/>
      <c r="R85" s="248"/>
      <c r="S85" s="248"/>
      <c r="T85" s="248"/>
      <c r="U85" s="248"/>
      <c r="V85" s="248"/>
      <c r="W85" s="248"/>
      <c r="X85" s="248"/>
      <c r="Y85" s="248"/>
      <c r="Z85" s="248"/>
      <c r="AA85" s="248"/>
      <c r="AB85" s="248"/>
      <c r="AC85" s="248"/>
      <c r="AD85" s="182">
        <f>SUM(AD73,AD77,AD81)</f>
        <v>382938.73362071346</v>
      </c>
      <c r="AE85" s="182">
        <f>SUM(AE73,AE77,AE81)</f>
        <v>246777.26637928738</v>
      </c>
      <c r="AF85" s="182">
        <f>SUM(AF73,AF77,AF81)</f>
        <v>629716.00000000081</v>
      </c>
    </row>
    <row r="86" spans="1:85">
      <c r="A86" s="43"/>
      <c r="B86" s="248"/>
      <c r="C86" s="248"/>
      <c r="D86" s="248"/>
      <c r="E86" s="248"/>
      <c r="F86" s="248"/>
      <c r="G86" s="248"/>
      <c r="H86" s="248"/>
      <c r="I86" s="248"/>
      <c r="J86" s="248"/>
      <c r="K86" s="248"/>
      <c r="L86" s="248"/>
      <c r="M86" s="248"/>
      <c r="N86" s="248"/>
      <c r="O86" s="248"/>
      <c r="P86" s="248"/>
      <c r="Q86" s="248"/>
      <c r="R86" s="248"/>
      <c r="S86" s="248"/>
      <c r="T86" s="248"/>
      <c r="U86" s="248"/>
      <c r="V86" s="248"/>
      <c r="W86" s="248"/>
      <c r="X86" s="248"/>
      <c r="Y86" s="248"/>
      <c r="Z86" s="248"/>
      <c r="AA86" s="248"/>
      <c r="AB86" s="248"/>
      <c r="AC86" s="248"/>
      <c r="AD86" s="248"/>
      <c r="AE86" s="248"/>
      <c r="AF86" s="1"/>
    </row>
    <row r="88" spans="1:85" ht="15.75" thickBot="1"/>
    <row r="89" spans="1:85" s="205" customFormat="1" ht="14.25" customHeight="1">
      <c r="A89" s="737" t="s">
        <v>276</v>
      </c>
      <c r="B89" s="691" t="s">
        <v>275</v>
      </c>
      <c r="C89" s="669"/>
      <c r="D89" s="669"/>
      <c r="E89" s="669"/>
      <c r="F89" s="669"/>
      <c r="G89" s="669"/>
      <c r="H89" s="669" t="s">
        <v>274</v>
      </c>
      <c r="I89" s="669"/>
      <c r="J89" s="669"/>
      <c r="K89" s="669"/>
      <c r="L89" s="669"/>
      <c r="M89" s="669"/>
      <c r="N89" s="669" t="s">
        <v>273</v>
      </c>
      <c r="O89" s="669"/>
      <c r="P89" s="669"/>
      <c r="Q89" s="669"/>
      <c r="R89" s="669"/>
      <c r="S89" s="669"/>
      <c r="T89" s="669" t="s">
        <v>272</v>
      </c>
      <c r="U89" s="669"/>
      <c r="V89" s="669"/>
      <c r="W89" s="669"/>
      <c r="X89" s="669"/>
      <c r="Y89" s="669"/>
      <c r="Z89" s="669" t="s">
        <v>271</v>
      </c>
      <c r="AA89" s="669"/>
      <c r="AB89" s="669"/>
      <c r="AC89" s="669"/>
      <c r="AD89" s="669"/>
      <c r="AE89" s="669"/>
      <c r="AF89" s="669" t="s">
        <v>270</v>
      </c>
      <c r="AG89" s="669"/>
      <c r="AH89" s="669"/>
      <c r="AI89" s="669"/>
      <c r="AJ89" s="669"/>
      <c r="AK89" s="669"/>
      <c r="AL89" s="669" t="s">
        <v>269</v>
      </c>
      <c r="AM89" s="669"/>
      <c r="AN89" s="669"/>
      <c r="AO89" s="669"/>
      <c r="AP89" s="669"/>
      <c r="AQ89" s="669"/>
      <c r="AR89" s="669" t="s">
        <v>268</v>
      </c>
      <c r="AS89" s="669"/>
      <c r="AT89" s="669"/>
      <c r="AU89" s="669"/>
      <c r="AV89" s="669"/>
      <c r="AW89" s="669"/>
      <c r="AX89" s="669" t="s">
        <v>267</v>
      </c>
      <c r="AY89" s="669"/>
      <c r="AZ89" s="669"/>
      <c r="BA89" s="669"/>
      <c r="BB89" s="669"/>
      <c r="BC89" s="669"/>
      <c r="BD89" s="669" t="s">
        <v>266</v>
      </c>
      <c r="BE89" s="669"/>
      <c r="BF89" s="669"/>
      <c r="BG89" s="669"/>
      <c r="BH89" s="669"/>
      <c r="BI89" s="669"/>
      <c r="BJ89" s="669" t="s">
        <v>265</v>
      </c>
      <c r="BK89" s="669"/>
      <c r="BL89" s="669"/>
      <c r="BM89" s="669"/>
      <c r="BN89" s="669"/>
      <c r="BO89" s="669"/>
      <c r="BP89" s="669" t="s">
        <v>264</v>
      </c>
      <c r="BQ89" s="669"/>
      <c r="BR89" s="669"/>
      <c r="BS89" s="669"/>
      <c r="BT89" s="669"/>
      <c r="BU89" s="694"/>
      <c r="BV89" s="247"/>
      <c r="BW89" s="247"/>
      <c r="BX89" s="247"/>
      <c r="BY89" s="247"/>
      <c r="BZ89" s="247"/>
      <c r="CA89" s="247"/>
    </row>
    <row r="90" spans="1:85" s="205" customFormat="1" ht="31.5" customHeight="1">
      <c r="A90" s="738"/>
      <c r="B90" s="667" t="s">
        <v>279</v>
      </c>
      <c r="C90" s="668"/>
      <c r="D90" s="668"/>
      <c r="E90" s="668"/>
      <c r="F90" s="668"/>
      <c r="G90" s="668"/>
      <c r="H90" s="667" t="s">
        <v>279</v>
      </c>
      <c r="I90" s="668"/>
      <c r="J90" s="668"/>
      <c r="K90" s="668"/>
      <c r="L90" s="668"/>
      <c r="M90" s="668"/>
      <c r="N90" s="667" t="s">
        <v>279</v>
      </c>
      <c r="O90" s="668"/>
      <c r="P90" s="668"/>
      <c r="Q90" s="668"/>
      <c r="R90" s="668"/>
      <c r="S90" s="668"/>
      <c r="T90" s="667" t="s">
        <v>279</v>
      </c>
      <c r="U90" s="668"/>
      <c r="V90" s="668"/>
      <c r="W90" s="668"/>
      <c r="X90" s="668"/>
      <c r="Y90" s="668"/>
      <c r="Z90" s="667" t="s">
        <v>279</v>
      </c>
      <c r="AA90" s="668"/>
      <c r="AB90" s="668"/>
      <c r="AC90" s="668"/>
      <c r="AD90" s="668"/>
      <c r="AE90" s="668"/>
      <c r="AF90" s="667" t="s">
        <v>279</v>
      </c>
      <c r="AG90" s="668"/>
      <c r="AH90" s="668"/>
      <c r="AI90" s="668"/>
      <c r="AJ90" s="668"/>
      <c r="AK90" s="668"/>
      <c r="AL90" s="667" t="s">
        <v>279</v>
      </c>
      <c r="AM90" s="668"/>
      <c r="AN90" s="668"/>
      <c r="AO90" s="668"/>
      <c r="AP90" s="668"/>
      <c r="AQ90" s="668"/>
      <c r="AR90" s="667" t="s">
        <v>279</v>
      </c>
      <c r="AS90" s="668"/>
      <c r="AT90" s="668"/>
      <c r="AU90" s="668"/>
      <c r="AV90" s="668"/>
      <c r="AW90" s="668"/>
      <c r="AX90" s="667" t="s">
        <v>279</v>
      </c>
      <c r="AY90" s="668"/>
      <c r="AZ90" s="668"/>
      <c r="BA90" s="668"/>
      <c r="BB90" s="668"/>
      <c r="BC90" s="668"/>
      <c r="BD90" s="667" t="s">
        <v>279</v>
      </c>
      <c r="BE90" s="668"/>
      <c r="BF90" s="668"/>
      <c r="BG90" s="668"/>
      <c r="BH90" s="668"/>
      <c r="BI90" s="668"/>
      <c r="BJ90" s="667" t="s">
        <v>279</v>
      </c>
      <c r="BK90" s="668"/>
      <c r="BL90" s="668"/>
      <c r="BM90" s="668"/>
      <c r="BN90" s="668"/>
      <c r="BO90" s="668"/>
      <c r="BP90" s="667" t="s">
        <v>279</v>
      </c>
      <c r="BQ90" s="668"/>
      <c r="BR90" s="668"/>
      <c r="BS90" s="668"/>
      <c r="BT90" s="668"/>
      <c r="BU90" s="690"/>
      <c r="BV90" s="221"/>
      <c r="BW90" s="221"/>
      <c r="BX90" s="221"/>
      <c r="BY90" s="221"/>
      <c r="BZ90" s="221"/>
      <c r="CA90" s="221"/>
    </row>
    <row r="91" spans="1:85" s="222" customFormat="1" ht="14.25" customHeight="1">
      <c r="A91" s="738"/>
      <c r="B91" s="742" t="s">
        <v>30</v>
      </c>
      <c r="C91" s="743"/>
      <c r="D91" s="743" t="s">
        <v>29</v>
      </c>
      <c r="E91" s="743"/>
      <c r="F91" s="743" t="s">
        <v>28</v>
      </c>
      <c r="G91" s="743"/>
      <c r="H91" s="743" t="s">
        <v>30</v>
      </c>
      <c r="I91" s="743"/>
      <c r="J91" s="743" t="s">
        <v>29</v>
      </c>
      <c r="K91" s="743"/>
      <c r="L91" s="743" t="s">
        <v>28</v>
      </c>
      <c r="M91" s="743"/>
      <c r="N91" s="569" t="s">
        <v>30</v>
      </c>
      <c r="O91" s="569"/>
      <c r="P91" s="569" t="s">
        <v>29</v>
      </c>
      <c r="Q91" s="569"/>
      <c r="R91" s="569" t="s">
        <v>28</v>
      </c>
      <c r="S91" s="569"/>
      <c r="T91" s="569" t="s">
        <v>30</v>
      </c>
      <c r="U91" s="569"/>
      <c r="V91" s="569" t="s">
        <v>29</v>
      </c>
      <c r="W91" s="569"/>
      <c r="X91" s="569" t="s">
        <v>28</v>
      </c>
      <c r="Y91" s="569"/>
      <c r="Z91" s="569" t="s">
        <v>30</v>
      </c>
      <c r="AA91" s="569"/>
      <c r="AB91" s="569" t="s">
        <v>29</v>
      </c>
      <c r="AC91" s="569"/>
      <c r="AD91" s="569" t="s">
        <v>28</v>
      </c>
      <c r="AE91" s="569"/>
      <c r="AF91" s="569" t="s">
        <v>30</v>
      </c>
      <c r="AG91" s="569"/>
      <c r="AH91" s="569" t="s">
        <v>29</v>
      </c>
      <c r="AI91" s="569"/>
      <c r="AJ91" s="569" t="s">
        <v>28</v>
      </c>
      <c r="AK91" s="569"/>
      <c r="AL91" s="569" t="s">
        <v>30</v>
      </c>
      <c r="AM91" s="569"/>
      <c r="AN91" s="569" t="s">
        <v>29</v>
      </c>
      <c r="AO91" s="569"/>
      <c r="AP91" s="569" t="s">
        <v>28</v>
      </c>
      <c r="AQ91" s="569"/>
      <c r="AR91" s="569" t="s">
        <v>30</v>
      </c>
      <c r="AS91" s="569"/>
      <c r="AT91" s="569" t="s">
        <v>29</v>
      </c>
      <c r="AU91" s="569"/>
      <c r="AV91" s="569" t="s">
        <v>28</v>
      </c>
      <c r="AW91" s="569"/>
      <c r="AX91" s="569" t="s">
        <v>30</v>
      </c>
      <c r="AY91" s="569"/>
      <c r="AZ91" s="569" t="s">
        <v>29</v>
      </c>
      <c r="BA91" s="569"/>
      <c r="BB91" s="569" t="s">
        <v>28</v>
      </c>
      <c r="BC91" s="569"/>
      <c r="BD91" s="569" t="s">
        <v>30</v>
      </c>
      <c r="BE91" s="569"/>
      <c r="BF91" s="569" t="s">
        <v>29</v>
      </c>
      <c r="BG91" s="569"/>
      <c r="BH91" s="569" t="s">
        <v>28</v>
      </c>
      <c r="BI91" s="569"/>
      <c r="BJ91" s="569" t="s">
        <v>30</v>
      </c>
      <c r="BK91" s="569"/>
      <c r="BL91" s="569" t="s">
        <v>29</v>
      </c>
      <c r="BM91" s="569"/>
      <c r="BN91" s="569" t="s">
        <v>28</v>
      </c>
      <c r="BO91" s="569"/>
      <c r="BP91" s="569" t="s">
        <v>30</v>
      </c>
      <c r="BQ91" s="569"/>
      <c r="BR91" s="569" t="s">
        <v>29</v>
      </c>
      <c r="BS91" s="569"/>
      <c r="BT91" s="569" t="s">
        <v>28</v>
      </c>
      <c r="BU91" s="593"/>
    </row>
    <row r="92" spans="1:85" s="205" customFormat="1" ht="14.25" customHeight="1" thickBot="1">
      <c r="A92" s="739"/>
      <c r="B92" s="246" t="s">
        <v>7</v>
      </c>
      <c r="C92" s="179" t="s">
        <v>8</v>
      </c>
      <c r="D92" s="179" t="s">
        <v>7</v>
      </c>
      <c r="E92" s="179" t="s">
        <v>8</v>
      </c>
      <c r="F92" s="179" t="s">
        <v>7</v>
      </c>
      <c r="G92" s="179" t="s">
        <v>8</v>
      </c>
      <c r="H92" s="179" t="s">
        <v>7</v>
      </c>
      <c r="I92" s="179" t="s">
        <v>8</v>
      </c>
      <c r="J92" s="179" t="s">
        <v>7</v>
      </c>
      <c r="K92" s="179" t="s">
        <v>8</v>
      </c>
      <c r="L92" s="179" t="s">
        <v>7</v>
      </c>
      <c r="M92" s="179" t="s">
        <v>8</v>
      </c>
      <c r="N92" s="179" t="s">
        <v>7</v>
      </c>
      <c r="O92" s="179" t="s">
        <v>8</v>
      </c>
      <c r="P92" s="179" t="s">
        <v>7</v>
      </c>
      <c r="Q92" s="179" t="s">
        <v>8</v>
      </c>
      <c r="R92" s="179" t="s">
        <v>7</v>
      </c>
      <c r="S92" s="179" t="s">
        <v>8</v>
      </c>
      <c r="T92" s="179" t="s">
        <v>7</v>
      </c>
      <c r="U92" s="179" t="s">
        <v>8</v>
      </c>
      <c r="V92" s="179" t="s">
        <v>7</v>
      </c>
      <c r="W92" s="179" t="s">
        <v>8</v>
      </c>
      <c r="X92" s="179" t="s">
        <v>7</v>
      </c>
      <c r="Y92" s="179" t="s">
        <v>8</v>
      </c>
      <c r="Z92" s="179" t="s">
        <v>7</v>
      </c>
      <c r="AA92" s="179" t="s">
        <v>8</v>
      </c>
      <c r="AB92" s="179" t="s">
        <v>7</v>
      </c>
      <c r="AC92" s="179" t="s">
        <v>8</v>
      </c>
      <c r="AD92" s="179" t="s">
        <v>7</v>
      </c>
      <c r="AE92" s="179" t="s">
        <v>8</v>
      </c>
      <c r="AF92" s="179" t="s">
        <v>7</v>
      </c>
      <c r="AG92" s="179" t="s">
        <v>8</v>
      </c>
      <c r="AH92" s="179" t="s">
        <v>7</v>
      </c>
      <c r="AI92" s="179" t="s">
        <v>8</v>
      </c>
      <c r="AJ92" s="179" t="s">
        <v>7</v>
      </c>
      <c r="AK92" s="179" t="s">
        <v>8</v>
      </c>
      <c r="AL92" s="179" t="s">
        <v>7</v>
      </c>
      <c r="AM92" s="179" t="s">
        <v>8</v>
      </c>
      <c r="AN92" s="179" t="s">
        <v>7</v>
      </c>
      <c r="AO92" s="179" t="s">
        <v>8</v>
      </c>
      <c r="AP92" s="179" t="s">
        <v>7</v>
      </c>
      <c r="AQ92" s="179" t="s">
        <v>8</v>
      </c>
      <c r="AR92" s="179" t="s">
        <v>7</v>
      </c>
      <c r="AS92" s="179" t="s">
        <v>8</v>
      </c>
      <c r="AT92" s="179" t="s">
        <v>7</v>
      </c>
      <c r="AU92" s="179" t="s">
        <v>8</v>
      </c>
      <c r="AV92" s="179" t="s">
        <v>7</v>
      </c>
      <c r="AW92" s="179" t="s">
        <v>8</v>
      </c>
      <c r="AX92" s="179" t="s">
        <v>7</v>
      </c>
      <c r="AY92" s="179" t="s">
        <v>8</v>
      </c>
      <c r="AZ92" s="179" t="s">
        <v>7</v>
      </c>
      <c r="BA92" s="179" t="s">
        <v>8</v>
      </c>
      <c r="BB92" s="179" t="s">
        <v>7</v>
      </c>
      <c r="BC92" s="179" t="s">
        <v>8</v>
      </c>
      <c r="BD92" s="179" t="s">
        <v>7</v>
      </c>
      <c r="BE92" s="179" t="s">
        <v>8</v>
      </c>
      <c r="BF92" s="179" t="s">
        <v>7</v>
      </c>
      <c r="BG92" s="179" t="s">
        <v>8</v>
      </c>
      <c r="BH92" s="179" t="s">
        <v>7</v>
      </c>
      <c r="BI92" s="179" t="s">
        <v>8</v>
      </c>
      <c r="BJ92" s="179" t="s">
        <v>7</v>
      </c>
      <c r="BK92" s="179" t="s">
        <v>8</v>
      </c>
      <c r="BL92" s="179" t="s">
        <v>7</v>
      </c>
      <c r="BM92" s="179" t="s">
        <v>8</v>
      </c>
      <c r="BN92" s="179" t="s">
        <v>7</v>
      </c>
      <c r="BO92" s="179" t="s">
        <v>8</v>
      </c>
      <c r="BP92" s="179" t="s">
        <v>7</v>
      </c>
      <c r="BQ92" s="179" t="s">
        <v>8</v>
      </c>
      <c r="BR92" s="179" t="s">
        <v>7</v>
      </c>
      <c r="BS92" s="179" t="s">
        <v>8</v>
      </c>
      <c r="BT92" s="179" t="s">
        <v>7</v>
      </c>
      <c r="BU92" s="245" t="s">
        <v>8</v>
      </c>
      <c r="BV92" s="221"/>
      <c r="BW92" s="221"/>
      <c r="BX92" s="221"/>
      <c r="BY92" s="221"/>
      <c r="BZ92" s="221"/>
      <c r="CA92" s="221"/>
    </row>
    <row r="93" spans="1:85" s="205" customFormat="1" ht="14.25" customHeight="1">
      <c r="A93" s="244" t="s">
        <v>5</v>
      </c>
      <c r="B93" s="236">
        <v>79</v>
      </c>
      <c r="C93" s="237">
        <v>0.29799999999999999</v>
      </c>
      <c r="D93" s="236">
        <v>92</v>
      </c>
      <c r="E93" s="237">
        <v>0.34599999999999997</v>
      </c>
      <c r="F93" s="236">
        <v>94</v>
      </c>
      <c r="G93" s="237">
        <v>0.35599999999999998</v>
      </c>
      <c r="H93" s="236">
        <v>0</v>
      </c>
      <c r="I93" s="237">
        <v>0</v>
      </c>
      <c r="J93" s="236">
        <v>6</v>
      </c>
      <c r="K93" s="237">
        <v>1</v>
      </c>
      <c r="L93" s="236">
        <v>0</v>
      </c>
      <c r="M93" s="237">
        <v>0</v>
      </c>
      <c r="N93" s="236">
        <v>87</v>
      </c>
      <c r="O93" s="237">
        <v>1</v>
      </c>
      <c r="P93" s="236">
        <v>0</v>
      </c>
      <c r="Q93" s="237">
        <v>0</v>
      </c>
      <c r="R93" s="236">
        <v>0</v>
      </c>
      <c r="S93" s="237">
        <v>0</v>
      </c>
      <c r="T93" s="236">
        <v>280</v>
      </c>
      <c r="U93" s="237">
        <v>0.19700000000000001</v>
      </c>
      <c r="V93" s="236">
        <v>607</v>
      </c>
      <c r="W93" s="237">
        <v>0.42699999999999999</v>
      </c>
      <c r="X93" s="236">
        <v>534</v>
      </c>
      <c r="Y93" s="237">
        <v>0.376</v>
      </c>
      <c r="Z93" s="236">
        <v>18</v>
      </c>
      <c r="AA93" s="237">
        <v>1</v>
      </c>
      <c r="AB93" s="236">
        <v>0</v>
      </c>
      <c r="AC93" s="237">
        <v>0</v>
      </c>
      <c r="AD93" s="236">
        <v>0</v>
      </c>
      <c r="AE93" s="237">
        <v>0</v>
      </c>
      <c r="AF93" s="236">
        <v>35390</v>
      </c>
      <c r="AG93" s="237">
        <v>0.24</v>
      </c>
      <c r="AH93" s="236">
        <v>87525</v>
      </c>
      <c r="AI93" s="237">
        <v>0.59499999999999997</v>
      </c>
      <c r="AJ93" s="236">
        <v>24285</v>
      </c>
      <c r="AK93" s="237">
        <v>0.16500000000000001</v>
      </c>
      <c r="AL93" s="236">
        <v>58</v>
      </c>
      <c r="AM93" s="237">
        <v>0.36299999999999999</v>
      </c>
      <c r="AN93" s="236">
        <v>0</v>
      </c>
      <c r="AO93" s="237">
        <v>0</v>
      </c>
      <c r="AP93" s="236">
        <v>102</v>
      </c>
      <c r="AQ93" s="237">
        <v>0.63700000000000001</v>
      </c>
      <c r="AR93" s="236">
        <v>7</v>
      </c>
      <c r="AS93" s="237">
        <v>7.0000000000000001E-3</v>
      </c>
      <c r="AT93" s="236">
        <v>472</v>
      </c>
      <c r="AU93" s="237">
        <v>0.52</v>
      </c>
      <c r="AV93" s="236">
        <v>429</v>
      </c>
      <c r="AW93" s="237">
        <v>0.47199999999999998</v>
      </c>
      <c r="AX93" s="236">
        <v>7</v>
      </c>
      <c r="AY93" s="237">
        <v>1</v>
      </c>
      <c r="AZ93" s="236">
        <v>0</v>
      </c>
      <c r="BA93" s="237">
        <v>0</v>
      </c>
      <c r="BB93" s="236">
        <v>0</v>
      </c>
      <c r="BC93" s="237">
        <v>0</v>
      </c>
      <c r="BD93" s="236">
        <v>90</v>
      </c>
      <c r="BE93" s="237">
        <v>1</v>
      </c>
      <c r="BF93" s="236">
        <v>0</v>
      </c>
      <c r="BG93" s="237">
        <v>0</v>
      </c>
      <c r="BH93" s="236">
        <v>0</v>
      </c>
      <c r="BI93" s="237">
        <v>0</v>
      </c>
      <c r="BJ93" s="236">
        <v>324</v>
      </c>
      <c r="BK93" s="237">
        <v>0.20200000000000001</v>
      </c>
      <c r="BL93" s="236">
        <v>956</v>
      </c>
      <c r="BM93" s="237">
        <v>0.59499999999999997</v>
      </c>
      <c r="BN93" s="236">
        <v>326</v>
      </c>
      <c r="BO93" s="237">
        <v>0.20300000000000001</v>
      </c>
      <c r="BP93" s="236">
        <v>0</v>
      </c>
      <c r="BQ93" s="237">
        <v>0</v>
      </c>
      <c r="BR93" s="236">
        <v>0</v>
      </c>
      <c r="BS93" s="237">
        <v>0</v>
      </c>
      <c r="BT93" s="236">
        <v>0</v>
      </c>
      <c r="BU93" s="235">
        <v>0</v>
      </c>
      <c r="BV93" s="220"/>
      <c r="BW93" s="220"/>
      <c r="BX93" s="220"/>
      <c r="BY93" s="220"/>
      <c r="BZ93" s="220"/>
      <c r="CA93" s="220"/>
    </row>
    <row r="94" spans="1:85" s="205" customFormat="1" ht="14.25" customHeight="1">
      <c r="A94" s="243" t="s">
        <v>2</v>
      </c>
      <c r="B94" s="231">
        <v>13</v>
      </c>
      <c r="C94" s="232">
        <v>0.45600000000000002</v>
      </c>
      <c r="D94" s="231">
        <v>11</v>
      </c>
      <c r="E94" s="232">
        <v>0.378</v>
      </c>
      <c r="F94" s="231">
        <v>5</v>
      </c>
      <c r="G94" s="232">
        <v>0.16600000000000001</v>
      </c>
      <c r="H94" s="231">
        <v>0</v>
      </c>
      <c r="I94" s="232">
        <v>0</v>
      </c>
      <c r="J94" s="231">
        <v>6</v>
      </c>
      <c r="K94" s="232">
        <v>1</v>
      </c>
      <c r="L94" s="231">
        <v>0</v>
      </c>
      <c r="M94" s="232">
        <v>0</v>
      </c>
      <c r="N94" s="231">
        <v>0</v>
      </c>
      <c r="O94" s="232">
        <v>0</v>
      </c>
      <c r="P94" s="231">
        <v>0</v>
      </c>
      <c r="Q94" s="232">
        <v>0</v>
      </c>
      <c r="R94" s="231">
        <v>0</v>
      </c>
      <c r="S94" s="232">
        <v>0</v>
      </c>
      <c r="T94" s="231">
        <v>12</v>
      </c>
      <c r="U94" s="232">
        <v>0.13900000000000001</v>
      </c>
      <c r="V94" s="231">
        <v>58</v>
      </c>
      <c r="W94" s="232">
        <v>0.66</v>
      </c>
      <c r="X94" s="231">
        <v>18</v>
      </c>
      <c r="Y94" s="232">
        <v>0.20200000000000001</v>
      </c>
      <c r="Z94" s="231">
        <v>0</v>
      </c>
      <c r="AA94" s="232">
        <v>0</v>
      </c>
      <c r="AB94" s="231">
        <v>0</v>
      </c>
      <c r="AC94" s="232">
        <v>0</v>
      </c>
      <c r="AD94" s="231">
        <v>0</v>
      </c>
      <c r="AE94" s="232">
        <v>0</v>
      </c>
      <c r="AF94" s="231">
        <v>1751</v>
      </c>
      <c r="AG94" s="232">
        <v>0.29099999999999998</v>
      </c>
      <c r="AH94" s="231">
        <v>3819</v>
      </c>
      <c r="AI94" s="232">
        <v>0.63500000000000001</v>
      </c>
      <c r="AJ94" s="231">
        <v>441</v>
      </c>
      <c r="AK94" s="232">
        <v>7.2999999999999995E-2</v>
      </c>
      <c r="AL94" s="231">
        <v>0</v>
      </c>
      <c r="AM94" s="232">
        <v>0</v>
      </c>
      <c r="AN94" s="231">
        <v>0</v>
      </c>
      <c r="AO94" s="232">
        <v>0</v>
      </c>
      <c r="AP94" s="231">
        <v>15</v>
      </c>
      <c r="AQ94" s="232">
        <v>1</v>
      </c>
      <c r="AR94" s="231">
        <v>7</v>
      </c>
      <c r="AS94" s="232">
        <v>0.22800000000000001</v>
      </c>
      <c r="AT94" s="231">
        <v>18</v>
      </c>
      <c r="AU94" s="232">
        <v>0.60799999999999998</v>
      </c>
      <c r="AV94" s="231">
        <v>5</v>
      </c>
      <c r="AW94" s="232">
        <v>0.16300000000000001</v>
      </c>
      <c r="AX94" s="231">
        <v>7</v>
      </c>
      <c r="AY94" s="232">
        <v>1</v>
      </c>
      <c r="AZ94" s="231">
        <v>0</v>
      </c>
      <c r="BA94" s="232">
        <v>0</v>
      </c>
      <c r="BB94" s="231">
        <v>0</v>
      </c>
      <c r="BC94" s="232">
        <v>0</v>
      </c>
      <c r="BD94" s="231">
        <v>0</v>
      </c>
      <c r="BE94" s="232">
        <v>0</v>
      </c>
      <c r="BF94" s="231">
        <v>0</v>
      </c>
      <c r="BG94" s="232">
        <v>0</v>
      </c>
      <c r="BH94" s="231">
        <v>0</v>
      </c>
      <c r="BI94" s="232">
        <v>0</v>
      </c>
      <c r="BJ94" s="231">
        <v>17</v>
      </c>
      <c r="BK94" s="232">
        <v>0.17299999999999999</v>
      </c>
      <c r="BL94" s="231">
        <v>63</v>
      </c>
      <c r="BM94" s="232">
        <v>0.623</v>
      </c>
      <c r="BN94" s="231">
        <v>21</v>
      </c>
      <c r="BO94" s="232">
        <v>0.20399999999999999</v>
      </c>
      <c r="BP94" s="231">
        <v>0</v>
      </c>
      <c r="BQ94" s="232">
        <v>0</v>
      </c>
      <c r="BR94" s="231">
        <v>0</v>
      </c>
      <c r="BS94" s="232">
        <v>0</v>
      </c>
      <c r="BT94" s="231">
        <v>0</v>
      </c>
      <c r="BU94" s="230">
        <v>0</v>
      </c>
      <c r="BV94" s="207"/>
      <c r="BW94" s="206"/>
      <c r="BX94" s="207"/>
      <c r="BY94" s="206"/>
      <c r="BZ94" s="207"/>
      <c r="CA94" s="206"/>
      <c r="CE94" s="241"/>
      <c r="CG94" s="241"/>
    </row>
    <row r="95" spans="1:85" s="205" customFormat="1" ht="14.25" customHeight="1">
      <c r="A95" s="243" t="s">
        <v>1</v>
      </c>
      <c r="B95" s="231">
        <v>0</v>
      </c>
      <c r="C95" s="232">
        <v>0</v>
      </c>
      <c r="D95" s="231">
        <v>81</v>
      </c>
      <c r="E95" s="232">
        <v>1</v>
      </c>
      <c r="F95" s="231">
        <v>0</v>
      </c>
      <c r="G95" s="232">
        <v>0</v>
      </c>
      <c r="H95" s="231">
        <v>0</v>
      </c>
      <c r="I95" s="232">
        <v>0</v>
      </c>
      <c r="J95" s="231">
        <v>0</v>
      </c>
      <c r="K95" s="232">
        <v>0</v>
      </c>
      <c r="L95" s="231">
        <v>0</v>
      </c>
      <c r="M95" s="232">
        <v>0</v>
      </c>
      <c r="N95" s="231">
        <v>0</v>
      </c>
      <c r="O95" s="232">
        <v>0</v>
      </c>
      <c r="P95" s="231">
        <v>0</v>
      </c>
      <c r="Q95" s="232">
        <v>0</v>
      </c>
      <c r="R95" s="231">
        <v>0</v>
      </c>
      <c r="S95" s="232">
        <v>0</v>
      </c>
      <c r="T95" s="231">
        <v>126</v>
      </c>
      <c r="U95" s="232">
        <v>0.82199999999999995</v>
      </c>
      <c r="V95" s="231">
        <v>27</v>
      </c>
      <c r="W95" s="232">
        <v>0.17799999999999999</v>
      </c>
      <c r="X95" s="231">
        <v>0</v>
      </c>
      <c r="Y95" s="232">
        <v>0</v>
      </c>
      <c r="Z95" s="231">
        <v>18</v>
      </c>
      <c r="AA95" s="232">
        <v>1</v>
      </c>
      <c r="AB95" s="231">
        <v>0</v>
      </c>
      <c r="AC95" s="232">
        <v>0</v>
      </c>
      <c r="AD95" s="231">
        <v>0</v>
      </c>
      <c r="AE95" s="232">
        <v>0</v>
      </c>
      <c r="AF95" s="231">
        <v>13781</v>
      </c>
      <c r="AG95" s="232">
        <v>0.33100000000000002</v>
      </c>
      <c r="AH95" s="231">
        <v>25581</v>
      </c>
      <c r="AI95" s="232">
        <v>0.61499999999999999</v>
      </c>
      <c r="AJ95" s="231">
        <v>2244</v>
      </c>
      <c r="AK95" s="232">
        <v>5.3999999999999999E-2</v>
      </c>
      <c r="AL95" s="231">
        <v>58</v>
      </c>
      <c r="AM95" s="232">
        <v>1</v>
      </c>
      <c r="AN95" s="231">
        <v>0</v>
      </c>
      <c r="AO95" s="232">
        <v>0</v>
      </c>
      <c r="AP95" s="231">
        <v>0</v>
      </c>
      <c r="AQ95" s="232">
        <v>0</v>
      </c>
      <c r="AR95" s="231">
        <v>0</v>
      </c>
      <c r="AS95" s="232">
        <v>0</v>
      </c>
      <c r="AT95" s="231">
        <v>144</v>
      </c>
      <c r="AU95" s="232">
        <v>0.92</v>
      </c>
      <c r="AV95" s="231">
        <v>13</v>
      </c>
      <c r="AW95" s="232">
        <v>0.08</v>
      </c>
      <c r="AX95" s="231">
        <v>0</v>
      </c>
      <c r="AY95" s="232">
        <v>0</v>
      </c>
      <c r="AZ95" s="231">
        <v>0</v>
      </c>
      <c r="BA95" s="232">
        <v>0</v>
      </c>
      <c r="BB95" s="231">
        <v>0</v>
      </c>
      <c r="BC95" s="232">
        <v>0</v>
      </c>
      <c r="BD95" s="231">
        <v>0</v>
      </c>
      <c r="BE95" s="232">
        <v>0</v>
      </c>
      <c r="BF95" s="231">
        <v>0</v>
      </c>
      <c r="BG95" s="232">
        <v>0</v>
      </c>
      <c r="BH95" s="231">
        <v>0</v>
      </c>
      <c r="BI95" s="232">
        <v>0</v>
      </c>
      <c r="BJ95" s="231">
        <v>13</v>
      </c>
      <c r="BK95" s="232">
        <v>4.7E-2</v>
      </c>
      <c r="BL95" s="231">
        <v>162</v>
      </c>
      <c r="BM95" s="232">
        <v>0.60399999999999998</v>
      </c>
      <c r="BN95" s="231">
        <v>94</v>
      </c>
      <c r="BO95" s="232">
        <v>0.35</v>
      </c>
      <c r="BP95" s="231">
        <v>0</v>
      </c>
      <c r="BQ95" s="232">
        <v>0</v>
      </c>
      <c r="BR95" s="231">
        <v>0</v>
      </c>
      <c r="BS95" s="232">
        <v>0</v>
      </c>
      <c r="BT95" s="231">
        <v>0</v>
      </c>
      <c r="BU95" s="230">
        <v>0</v>
      </c>
      <c r="BV95" s="207"/>
      <c r="BW95" s="206"/>
      <c r="BX95" s="207"/>
      <c r="BY95" s="206"/>
      <c r="BZ95" s="207"/>
      <c r="CA95" s="206"/>
      <c r="CC95" s="241"/>
      <c r="CE95" s="241"/>
      <c r="CG95" s="241"/>
    </row>
    <row r="96" spans="1:85" s="205" customFormat="1" ht="14.25" customHeight="1" thickBot="1">
      <c r="A96" s="243" t="s">
        <v>0</v>
      </c>
      <c r="B96" s="231">
        <v>66</v>
      </c>
      <c r="C96" s="232">
        <v>0.42299999999999999</v>
      </c>
      <c r="D96" s="231">
        <v>0</v>
      </c>
      <c r="E96" s="232">
        <v>0</v>
      </c>
      <c r="F96" s="231">
        <v>90</v>
      </c>
      <c r="G96" s="232">
        <v>0.57699999999999996</v>
      </c>
      <c r="H96" s="231">
        <v>0</v>
      </c>
      <c r="I96" s="232">
        <v>0</v>
      </c>
      <c r="J96" s="231">
        <v>0</v>
      </c>
      <c r="K96" s="232">
        <v>0</v>
      </c>
      <c r="L96" s="231">
        <v>0</v>
      </c>
      <c r="M96" s="232">
        <v>0</v>
      </c>
      <c r="N96" s="231">
        <v>87</v>
      </c>
      <c r="O96" s="232">
        <v>1</v>
      </c>
      <c r="P96" s="231">
        <v>0</v>
      </c>
      <c r="Q96" s="232">
        <v>0</v>
      </c>
      <c r="R96" s="231">
        <v>0</v>
      </c>
      <c r="S96" s="232">
        <v>0</v>
      </c>
      <c r="T96" s="231">
        <v>142</v>
      </c>
      <c r="U96" s="232">
        <v>0.121</v>
      </c>
      <c r="V96" s="231">
        <v>521</v>
      </c>
      <c r="W96" s="232">
        <v>0.442</v>
      </c>
      <c r="X96" s="231">
        <v>516</v>
      </c>
      <c r="Y96" s="232">
        <v>0.437</v>
      </c>
      <c r="Z96" s="231">
        <v>0</v>
      </c>
      <c r="AA96" s="232">
        <v>0</v>
      </c>
      <c r="AB96" s="231">
        <v>0</v>
      </c>
      <c r="AC96" s="232">
        <v>0</v>
      </c>
      <c r="AD96" s="231">
        <v>0</v>
      </c>
      <c r="AE96" s="232">
        <v>0</v>
      </c>
      <c r="AF96" s="231">
        <v>19858</v>
      </c>
      <c r="AG96" s="232">
        <v>0.19900000000000001</v>
      </c>
      <c r="AH96" s="231">
        <v>58125</v>
      </c>
      <c r="AI96" s="232">
        <v>0.58399999999999996</v>
      </c>
      <c r="AJ96" s="231">
        <v>21601</v>
      </c>
      <c r="AK96" s="232">
        <v>0.217</v>
      </c>
      <c r="AL96" s="231">
        <v>0</v>
      </c>
      <c r="AM96" s="232">
        <v>0</v>
      </c>
      <c r="AN96" s="231">
        <v>0</v>
      </c>
      <c r="AO96" s="232">
        <v>0</v>
      </c>
      <c r="AP96" s="231">
        <v>87</v>
      </c>
      <c r="AQ96" s="232">
        <v>1</v>
      </c>
      <c r="AR96" s="231">
        <v>0</v>
      </c>
      <c r="AS96" s="232">
        <v>0</v>
      </c>
      <c r="AT96" s="231">
        <v>310</v>
      </c>
      <c r="AU96" s="232">
        <v>0.43</v>
      </c>
      <c r="AV96" s="231">
        <v>412</v>
      </c>
      <c r="AW96" s="232">
        <v>0.56999999999999995</v>
      </c>
      <c r="AX96" s="231">
        <v>0</v>
      </c>
      <c r="AY96" s="232">
        <v>0</v>
      </c>
      <c r="AZ96" s="231">
        <v>0</v>
      </c>
      <c r="BA96" s="232">
        <v>0</v>
      </c>
      <c r="BB96" s="231">
        <v>0</v>
      </c>
      <c r="BC96" s="232">
        <v>0</v>
      </c>
      <c r="BD96" s="231">
        <v>90</v>
      </c>
      <c r="BE96" s="232">
        <v>1</v>
      </c>
      <c r="BF96" s="231">
        <v>0</v>
      </c>
      <c r="BG96" s="232">
        <v>0</v>
      </c>
      <c r="BH96" s="231">
        <v>0</v>
      </c>
      <c r="BI96" s="232">
        <v>0</v>
      </c>
      <c r="BJ96" s="231">
        <v>294</v>
      </c>
      <c r="BK96" s="232">
        <v>0.23799999999999999</v>
      </c>
      <c r="BL96" s="231">
        <v>731</v>
      </c>
      <c r="BM96" s="232">
        <v>0.59099999999999997</v>
      </c>
      <c r="BN96" s="231">
        <v>212</v>
      </c>
      <c r="BO96" s="232">
        <v>0.17100000000000001</v>
      </c>
      <c r="BP96" s="231">
        <v>0</v>
      </c>
      <c r="BQ96" s="232">
        <v>0</v>
      </c>
      <c r="BR96" s="231">
        <v>0</v>
      </c>
      <c r="BS96" s="232">
        <v>0</v>
      </c>
      <c r="BT96" s="231">
        <v>0</v>
      </c>
      <c r="BU96" s="230">
        <v>0</v>
      </c>
      <c r="BV96" s="207"/>
      <c r="BW96" s="206"/>
      <c r="BX96" s="207"/>
      <c r="BY96" s="206"/>
      <c r="BZ96" s="207"/>
      <c r="CA96" s="206"/>
      <c r="CC96" s="241"/>
      <c r="CE96" s="241"/>
      <c r="CG96" s="241"/>
    </row>
    <row r="97" spans="1:85" s="205" customFormat="1" ht="14.25" customHeight="1">
      <c r="A97" s="244" t="s">
        <v>4</v>
      </c>
      <c r="B97" s="236">
        <v>0</v>
      </c>
      <c r="C97" s="237">
        <v>0</v>
      </c>
      <c r="D97" s="236">
        <v>68</v>
      </c>
      <c r="E97" s="237">
        <v>0.30499999999999999</v>
      </c>
      <c r="F97" s="236">
        <v>154</v>
      </c>
      <c r="G97" s="237">
        <v>0.69499999999999995</v>
      </c>
      <c r="H97" s="236">
        <v>0</v>
      </c>
      <c r="I97" s="237">
        <v>0</v>
      </c>
      <c r="J97" s="236">
        <v>0</v>
      </c>
      <c r="K97" s="237">
        <v>0</v>
      </c>
      <c r="L97" s="236">
        <v>0</v>
      </c>
      <c r="M97" s="237">
        <v>0</v>
      </c>
      <c r="N97" s="236">
        <v>0</v>
      </c>
      <c r="O97" s="237">
        <v>0</v>
      </c>
      <c r="P97" s="236">
        <v>0</v>
      </c>
      <c r="Q97" s="237">
        <v>0</v>
      </c>
      <c r="R97" s="236">
        <v>0</v>
      </c>
      <c r="S97" s="237">
        <v>0</v>
      </c>
      <c r="T97" s="236">
        <v>148</v>
      </c>
      <c r="U97" s="237">
        <v>0.10100000000000001</v>
      </c>
      <c r="V97" s="236">
        <v>926</v>
      </c>
      <c r="W97" s="237">
        <v>0.63</v>
      </c>
      <c r="X97" s="236">
        <v>395</v>
      </c>
      <c r="Y97" s="237">
        <v>0.26900000000000002</v>
      </c>
      <c r="Z97" s="236">
        <v>0</v>
      </c>
      <c r="AA97" s="237">
        <v>0</v>
      </c>
      <c r="AB97" s="236">
        <v>0</v>
      </c>
      <c r="AC97" s="237">
        <v>0</v>
      </c>
      <c r="AD97" s="236">
        <v>0</v>
      </c>
      <c r="AE97" s="237">
        <v>0</v>
      </c>
      <c r="AF97" s="236">
        <v>30448</v>
      </c>
      <c r="AG97" s="237">
        <v>0.22800000000000001</v>
      </c>
      <c r="AH97" s="236">
        <v>82539</v>
      </c>
      <c r="AI97" s="237">
        <v>0.61899999999999999</v>
      </c>
      <c r="AJ97" s="236">
        <v>20330</v>
      </c>
      <c r="AK97" s="237">
        <v>0.152</v>
      </c>
      <c r="AL97" s="236">
        <v>0</v>
      </c>
      <c r="AM97" s="237">
        <v>0</v>
      </c>
      <c r="AN97" s="236">
        <v>122</v>
      </c>
      <c r="AO97" s="237">
        <v>0.88900000000000001</v>
      </c>
      <c r="AP97" s="236">
        <v>15</v>
      </c>
      <c r="AQ97" s="237">
        <v>0.111</v>
      </c>
      <c r="AR97" s="236">
        <v>41</v>
      </c>
      <c r="AS97" s="237">
        <v>7.6999999999999999E-2</v>
      </c>
      <c r="AT97" s="236">
        <v>393</v>
      </c>
      <c r="AU97" s="237">
        <v>0.73599999999999999</v>
      </c>
      <c r="AV97" s="236">
        <v>100</v>
      </c>
      <c r="AW97" s="237">
        <v>0.188</v>
      </c>
      <c r="AX97" s="236">
        <v>0</v>
      </c>
      <c r="AY97" s="237">
        <v>0</v>
      </c>
      <c r="AZ97" s="236">
        <v>5</v>
      </c>
      <c r="BA97" s="237">
        <v>1</v>
      </c>
      <c r="BB97" s="236">
        <v>0</v>
      </c>
      <c r="BC97" s="237">
        <v>0</v>
      </c>
      <c r="BD97" s="236">
        <v>0</v>
      </c>
      <c r="BE97" s="237">
        <v>0</v>
      </c>
      <c r="BF97" s="236">
        <v>0</v>
      </c>
      <c r="BG97" s="237">
        <v>0</v>
      </c>
      <c r="BH97" s="236">
        <v>0</v>
      </c>
      <c r="BI97" s="237">
        <v>0</v>
      </c>
      <c r="BJ97" s="236">
        <v>636</v>
      </c>
      <c r="BK97" s="237">
        <v>0.27600000000000002</v>
      </c>
      <c r="BL97" s="236">
        <v>1076</v>
      </c>
      <c r="BM97" s="237">
        <v>0.46600000000000003</v>
      </c>
      <c r="BN97" s="236">
        <v>596</v>
      </c>
      <c r="BO97" s="237">
        <v>0.25800000000000001</v>
      </c>
      <c r="BP97" s="236">
        <v>0</v>
      </c>
      <c r="BQ97" s="237">
        <v>0</v>
      </c>
      <c r="BR97" s="236">
        <v>0</v>
      </c>
      <c r="BS97" s="237">
        <v>0</v>
      </c>
      <c r="BT97" s="236">
        <v>0</v>
      </c>
      <c r="BU97" s="235">
        <v>0</v>
      </c>
      <c r="BV97" s="207"/>
      <c r="BW97" s="206"/>
      <c r="BX97" s="207"/>
      <c r="BY97" s="206"/>
      <c r="BZ97" s="207"/>
      <c r="CA97" s="206"/>
      <c r="CC97" s="241"/>
      <c r="CE97" s="241"/>
      <c r="CG97" s="241"/>
    </row>
    <row r="98" spans="1:85" s="205" customFormat="1" ht="14.25" customHeight="1">
      <c r="A98" s="243" t="s">
        <v>2</v>
      </c>
      <c r="B98" s="231">
        <v>0</v>
      </c>
      <c r="C98" s="232">
        <v>0</v>
      </c>
      <c r="D98" s="231">
        <v>0</v>
      </c>
      <c r="E98" s="232">
        <v>0</v>
      </c>
      <c r="F98" s="231">
        <v>10</v>
      </c>
      <c r="G98" s="232">
        <v>1</v>
      </c>
      <c r="H98" s="231">
        <v>0</v>
      </c>
      <c r="I98" s="232">
        <v>0</v>
      </c>
      <c r="J98" s="231">
        <v>0</v>
      </c>
      <c r="K98" s="232">
        <v>0</v>
      </c>
      <c r="L98" s="231">
        <v>0</v>
      </c>
      <c r="M98" s="232">
        <v>0</v>
      </c>
      <c r="N98" s="231">
        <v>0</v>
      </c>
      <c r="O98" s="232">
        <v>0</v>
      </c>
      <c r="P98" s="231">
        <v>0</v>
      </c>
      <c r="Q98" s="232">
        <v>0</v>
      </c>
      <c r="R98" s="231">
        <v>0</v>
      </c>
      <c r="S98" s="232">
        <v>0</v>
      </c>
      <c r="T98" s="231">
        <v>11</v>
      </c>
      <c r="U98" s="232">
        <v>0.16500000000000001</v>
      </c>
      <c r="V98" s="231">
        <v>53</v>
      </c>
      <c r="W98" s="232">
        <v>0.75800000000000001</v>
      </c>
      <c r="X98" s="231">
        <v>5</v>
      </c>
      <c r="Y98" s="232">
        <v>7.6999999999999999E-2</v>
      </c>
      <c r="Z98" s="231">
        <v>0</v>
      </c>
      <c r="AA98" s="232">
        <v>0</v>
      </c>
      <c r="AB98" s="231">
        <v>0</v>
      </c>
      <c r="AC98" s="232">
        <v>0</v>
      </c>
      <c r="AD98" s="231">
        <v>0</v>
      </c>
      <c r="AE98" s="232">
        <v>0</v>
      </c>
      <c r="AF98" s="231">
        <v>1473</v>
      </c>
      <c r="AG98" s="232">
        <v>0.28999999999999998</v>
      </c>
      <c r="AH98" s="231">
        <v>3122</v>
      </c>
      <c r="AI98" s="232">
        <v>0.61599999999999999</v>
      </c>
      <c r="AJ98" s="231">
        <v>477</v>
      </c>
      <c r="AK98" s="232">
        <v>9.4E-2</v>
      </c>
      <c r="AL98" s="231">
        <v>0</v>
      </c>
      <c r="AM98" s="232">
        <v>0</v>
      </c>
      <c r="AN98" s="231">
        <v>0</v>
      </c>
      <c r="AO98" s="232">
        <v>0</v>
      </c>
      <c r="AP98" s="231">
        <v>0</v>
      </c>
      <c r="AQ98" s="232">
        <v>0</v>
      </c>
      <c r="AR98" s="231">
        <v>0</v>
      </c>
      <c r="AS98" s="232">
        <v>0</v>
      </c>
      <c r="AT98" s="231">
        <v>6</v>
      </c>
      <c r="AU98" s="232">
        <v>0.54400000000000004</v>
      </c>
      <c r="AV98" s="231">
        <v>5</v>
      </c>
      <c r="AW98" s="232">
        <v>0.45600000000000002</v>
      </c>
      <c r="AX98" s="231">
        <v>0</v>
      </c>
      <c r="AY98" s="232">
        <v>0</v>
      </c>
      <c r="AZ98" s="231">
        <v>5</v>
      </c>
      <c r="BA98" s="232">
        <v>1</v>
      </c>
      <c r="BB98" s="231">
        <v>0</v>
      </c>
      <c r="BC98" s="232">
        <v>0</v>
      </c>
      <c r="BD98" s="231">
        <v>0</v>
      </c>
      <c r="BE98" s="232">
        <v>0</v>
      </c>
      <c r="BF98" s="231">
        <v>0</v>
      </c>
      <c r="BG98" s="232">
        <v>0</v>
      </c>
      <c r="BH98" s="231">
        <v>0</v>
      </c>
      <c r="BI98" s="232">
        <v>0</v>
      </c>
      <c r="BJ98" s="231">
        <v>12</v>
      </c>
      <c r="BK98" s="232">
        <v>0.185</v>
      </c>
      <c r="BL98" s="231">
        <v>51</v>
      </c>
      <c r="BM98" s="232">
        <v>0.81499999999999995</v>
      </c>
      <c r="BN98" s="231">
        <v>0</v>
      </c>
      <c r="BO98" s="232">
        <v>0</v>
      </c>
      <c r="BP98" s="231">
        <v>0</v>
      </c>
      <c r="BQ98" s="232">
        <v>0</v>
      </c>
      <c r="BR98" s="231">
        <v>0</v>
      </c>
      <c r="BS98" s="232">
        <v>0</v>
      </c>
      <c r="BT98" s="231">
        <v>0</v>
      </c>
      <c r="BU98" s="230">
        <v>0</v>
      </c>
      <c r="BV98" s="207"/>
      <c r="BW98" s="206"/>
      <c r="BX98" s="207"/>
      <c r="BY98" s="206"/>
      <c r="BZ98" s="207"/>
      <c r="CA98" s="206"/>
      <c r="CC98" s="241"/>
      <c r="CE98" s="241"/>
      <c r="CG98" s="241"/>
    </row>
    <row r="99" spans="1:85" s="205" customFormat="1" ht="14.25" customHeight="1">
      <c r="A99" s="243" t="s">
        <v>1</v>
      </c>
      <c r="B99" s="231">
        <v>0</v>
      </c>
      <c r="C99" s="232">
        <v>0</v>
      </c>
      <c r="D99" s="231">
        <v>0</v>
      </c>
      <c r="E99" s="232">
        <v>0</v>
      </c>
      <c r="F99" s="231">
        <v>0</v>
      </c>
      <c r="G99" s="232">
        <v>0</v>
      </c>
      <c r="H99" s="231">
        <v>0</v>
      </c>
      <c r="I99" s="232">
        <v>0</v>
      </c>
      <c r="J99" s="231">
        <v>0</v>
      </c>
      <c r="K99" s="232">
        <v>0</v>
      </c>
      <c r="L99" s="231">
        <v>0</v>
      </c>
      <c r="M99" s="232">
        <v>0</v>
      </c>
      <c r="N99" s="231">
        <v>0</v>
      </c>
      <c r="O99" s="232">
        <v>0</v>
      </c>
      <c r="P99" s="231">
        <v>0</v>
      </c>
      <c r="Q99" s="232">
        <v>0</v>
      </c>
      <c r="R99" s="231">
        <v>0</v>
      </c>
      <c r="S99" s="232">
        <v>0</v>
      </c>
      <c r="T99" s="231">
        <v>84</v>
      </c>
      <c r="U99" s="232">
        <v>0.223</v>
      </c>
      <c r="V99" s="231">
        <v>278</v>
      </c>
      <c r="W99" s="232">
        <v>0.73699999999999999</v>
      </c>
      <c r="X99" s="231">
        <v>15</v>
      </c>
      <c r="Y99" s="232">
        <v>0.04</v>
      </c>
      <c r="Z99" s="231">
        <v>0</v>
      </c>
      <c r="AA99" s="232">
        <v>0</v>
      </c>
      <c r="AB99" s="231">
        <v>0</v>
      </c>
      <c r="AC99" s="232">
        <v>0</v>
      </c>
      <c r="AD99" s="231">
        <v>0</v>
      </c>
      <c r="AE99" s="232">
        <v>0</v>
      </c>
      <c r="AF99" s="231">
        <v>11546</v>
      </c>
      <c r="AG99" s="232">
        <v>0.29899999999999999</v>
      </c>
      <c r="AH99" s="231">
        <v>24883</v>
      </c>
      <c r="AI99" s="232">
        <v>0.64300000000000002</v>
      </c>
      <c r="AJ99" s="231">
        <v>2249</v>
      </c>
      <c r="AK99" s="232">
        <v>5.8000000000000003E-2</v>
      </c>
      <c r="AL99" s="231">
        <v>0</v>
      </c>
      <c r="AM99" s="232">
        <v>0</v>
      </c>
      <c r="AN99" s="231">
        <v>0</v>
      </c>
      <c r="AO99" s="232">
        <v>0</v>
      </c>
      <c r="AP99" s="231">
        <v>15</v>
      </c>
      <c r="AQ99" s="232">
        <v>1</v>
      </c>
      <c r="AR99" s="231">
        <v>41</v>
      </c>
      <c r="AS99" s="232">
        <v>0.5</v>
      </c>
      <c r="AT99" s="231">
        <v>41</v>
      </c>
      <c r="AU99" s="232">
        <v>0.5</v>
      </c>
      <c r="AV99" s="231">
        <v>0</v>
      </c>
      <c r="AW99" s="232">
        <v>0</v>
      </c>
      <c r="AX99" s="231">
        <v>0</v>
      </c>
      <c r="AY99" s="232">
        <v>0</v>
      </c>
      <c r="AZ99" s="231">
        <v>0</v>
      </c>
      <c r="BA99" s="232">
        <v>0</v>
      </c>
      <c r="BB99" s="231">
        <v>0</v>
      </c>
      <c r="BC99" s="232">
        <v>0</v>
      </c>
      <c r="BD99" s="231">
        <v>0</v>
      </c>
      <c r="BE99" s="232">
        <v>0</v>
      </c>
      <c r="BF99" s="231">
        <v>0</v>
      </c>
      <c r="BG99" s="232">
        <v>0</v>
      </c>
      <c r="BH99" s="231">
        <v>0</v>
      </c>
      <c r="BI99" s="232">
        <v>0</v>
      </c>
      <c r="BJ99" s="231">
        <v>44</v>
      </c>
      <c r="BK99" s="232">
        <v>0.08</v>
      </c>
      <c r="BL99" s="231">
        <v>357</v>
      </c>
      <c r="BM99" s="232">
        <v>0.65500000000000003</v>
      </c>
      <c r="BN99" s="231">
        <v>144</v>
      </c>
      <c r="BO99" s="232">
        <v>0.26500000000000001</v>
      </c>
      <c r="BP99" s="231">
        <v>0</v>
      </c>
      <c r="BQ99" s="232">
        <v>0</v>
      </c>
      <c r="BR99" s="231">
        <v>0</v>
      </c>
      <c r="BS99" s="232">
        <v>0</v>
      </c>
      <c r="BT99" s="231">
        <v>0</v>
      </c>
      <c r="BU99" s="230">
        <v>0</v>
      </c>
      <c r="BV99" s="207"/>
      <c r="BW99" s="206"/>
      <c r="BX99" s="207"/>
      <c r="BY99" s="206"/>
      <c r="BZ99" s="207"/>
      <c r="CA99" s="206"/>
      <c r="CC99" s="241"/>
      <c r="CE99" s="241"/>
      <c r="CG99" s="241"/>
    </row>
    <row r="100" spans="1:85" s="205" customFormat="1" ht="14.25" customHeight="1" thickBot="1">
      <c r="A100" s="243" t="s">
        <v>0</v>
      </c>
      <c r="B100" s="231">
        <v>0</v>
      </c>
      <c r="C100" s="232">
        <v>0</v>
      </c>
      <c r="D100" s="231">
        <v>68</v>
      </c>
      <c r="E100" s="232">
        <v>0.32</v>
      </c>
      <c r="F100" s="231">
        <v>144</v>
      </c>
      <c r="G100" s="232">
        <v>0.68</v>
      </c>
      <c r="H100" s="231">
        <v>0</v>
      </c>
      <c r="I100" s="232">
        <v>0</v>
      </c>
      <c r="J100" s="231">
        <v>0</v>
      </c>
      <c r="K100" s="232">
        <v>0</v>
      </c>
      <c r="L100" s="231">
        <v>0</v>
      </c>
      <c r="M100" s="232">
        <v>0</v>
      </c>
      <c r="N100" s="231">
        <v>0</v>
      </c>
      <c r="O100" s="232">
        <v>0</v>
      </c>
      <c r="P100" s="231">
        <v>0</v>
      </c>
      <c r="Q100" s="232">
        <v>0</v>
      </c>
      <c r="R100" s="231">
        <v>0</v>
      </c>
      <c r="S100" s="232">
        <v>0</v>
      </c>
      <c r="T100" s="231">
        <v>53</v>
      </c>
      <c r="U100" s="232">
        <v>5.1999999999999998E-2</v>
      </c>
      <c r="V100" s="231">
        <v>595</v>
      </c>
      <c r="W100" s="232">
        <v>0.58199999999999996</v>
      </c>
      <c r="X100" s="231">
        <v>374</v>
      </c>
      <c r="Y100" s="232">
        <v>0.36599999999999999</v>
      </c>
      <c r="Z100" s="231">
        <v>0</v>
      </c>
      <c r="AA100" s="232">
        <v>0</v>
      </c>
      <c r="AB100" s="231">
        <v>0</v>
      </c>
      <c r="AC100" s="232">
        <v>0</v>
      </c>
      <c r="AD100" s="231">
        <v>0</v>
      </c>
      <c r="AE100" s="232">
        <v>0</v>
      </c>
      <c r="AF100" s="231">
        <v>17429</v>
      </c>
      <c r="AG100" s="232">
        <v>0.19500000000000001</v>
      </c>
      <c r="AH100" s="231">
        <v>54534</v>
      </c>
      <c r="AI100" s="232">
        <v>0.60899999999999999</v>
      </c>
      <c r="AJ100" s="231">
        <v>17603</v>
      </c>
      <c r="AK100" s="232">
        <v>0.19700000000000001</v>
      </c>
      <c r="AL100" s="231">
        <v>0</v>
      </c>
      <c r="AM100" s="232">
        <v>0</v>
      </c>
      <c r="AN100" s="231">
        <v>122</v>
      </c>
      <c r="AO100" s="232">
        <v>1</v>
      </c>
      <c r="AP100" s="231">
        <v>0</v>
      </c>
      <c r="AQ100" s="232">
        <v>0</v>
      </c>
      <c r="AR100" s="231">
        <v>0</v>
      </c>
      <c r="AS100" s="232">
        <v>0</v>
      </c>
      <c r="AT100" s="231">
        <v>346</v>
      </c>
      <c r="AU100" s="232">
        <v>0.78500000000000003</v>
      </c>
      <c r="AV100" s="231">
        <v>95</v>
      </c>
      <c r="AW100" s="232">
        <v>0.215</v>
      </c>
      <c r="AX100" s="231">
        <v>0</v>
      </c>
      <c r="AY100" s="232">
        <v>0</v>
      </c>
      <c r="AZ100" s="231">
        <v>0</v>
      </c>
      <c r="BA100" s="232">
        <v>0</v>
      </c>
      <c r="BB100" s="231">
        <v>0</v>
      </c>
      <c r="BC100" s="232">
        <v>0</v>
      </c>
      <c r="BD100" s="231">
        <v>0</v>
      </c>
      <c r="BE100" s="232">
        <v>0</v>
      </c>
      <c r="BF100" s="231">
        <v>0</v>
      </c>
      <c r="BG100" s="232">
        <v>0</v>
      </c>
      <c r="BH100" s="231">
        <v>0</v>
      </c>
      <c r="BI100" s="232">
        <v>0</v>
      </c>
      <c r="BJ100" s="231">
        <v>581</v>
      </c>
      <c r="BK100" s="232">
        <v>0.34200000000000003</v>
      </c>
      <c r="BL100" s="231">
        <v>668</v>
      </c>
      <c r="BM100" s="232">
        <v>0.39300000000000002</v>
      </c>
      <c r="BN100" s="231">
        <v>451</v>
      </c>
      <c r="BO100" s="232">
        <v>0.26500000000000001</v>
      </c>
      <c r="BP100" s="231">
        <v>0</v>
      </c>
      <c r="BQ100" s="232">
        <v>0</v>
      </c>
      <c r="BR100" s="231">
        <v>0</v>
      </c>
      <c r="BS100" s="232">
        <v>0</v>
      </c>
      <c r="BT100" s="231">
        <v>0</v>
      </c>
      <c r="BU100" s="230">
        <v>0</v>
      </c>
      <c r="BV100" s="207"/>
      <c r="BW100" s="206"/>
      <c r="BX100" s="207"/>
      <c r="BY100" s="206"/>
      <c r="BZ100" s="207"/>
      <c r="CA100" s="206"/>
      <c r="CC100" s="241"/>
      <c r="CE100" s="241"/>
      <c r="CG100" s="241"/>
    </row>
    <row r="101" spans="1:85" s="205" customFormat="1" ht="14.25" customHeight="1">
      <c r="A101" s="244" t="s">
        <v>3</v>
      </c>
      <c r="B101" s="236">
        <v>54</v>
      </c>
      <c r="C101" s="237">
        <v>0.20899999999999999</v>
      </c>
      <c r="D101" s="236">
        <v>135</v>
      </c>
      <c r="E101" s="237">
        <v>0.52700000000000002</v>
      </c>
      <c r="F101" s="236">
        <v>67</v>
      </c>
      <c r="G101" s="237">
        <v>0.26300000000000001</v>
      </c>
      <c r="H101" s="236">
        <v>0</v>
      </c>
      <c r="I101" s="237">
        <v>0</v>
      </c>
      <c r="J101" s="236">
        <v>0</v>
      </c>
      <c r="K101" s="237">
        <v>0</v>
      </c>
      <c r="L101" s="236">
        <v>0</v>
      </c>
      <c r="M101" s="237">
        <v>0</v>
      </c>
      <c r="N101" s="236">
        <v>0</v>
      </c>
      <c r="O101" s="237">
        <v>0</v>
      </c>
      <c r="P101" s="236">
        <v>0</v>
      </c>
      <c r="Q101" s="237">
        <v>0</v>
      </c>
      <c r="R101" s="236">
        <v>0</v>
      </c>
      <c r="S101" s="237">
        <v>0</v>
      </c>
      <c r="T101" s="236">
        <v>86</v>
      </c>
      <c r="U101" s="237">
        <v>7.5999999999999998E-2</v>
      </c>
      <c r="V101" s="236">
        <v>685</v>
      </c>
      <c r="W101" s="237">
        <v>0.60699999999999998</v>
      </c>
      <c r="X101" s="236">
        <v>358</v>
      </c>
      <c r="Y101" s="237">
        <v>0.317</v>
      </c>
      <c r="Z101" s="236">
        <v>0</v>
      </c>
      <c r="AA101" s="237">
        <v>0</v>
      </c>
      <c r="AB101" s="236">
        <v>0</v>
      </c>
      <c r="AC101" s="237">
        <v>0</v>
      </c>
      <c r="AD101" s="236">
        <v>0</v>
      </c>
      <c r="AE101" s="237">
        <v>0</v>
      </c>
      <c r="AF101" s="236">
        <v>18004</v>
      </c>
      <c r="AG101" s="237">
        <v>0.20100000000000001</v>
      </c>
      <c r="AH101" s="236">
        <v>52852</v>
      </c>
      <c r="AI101" s="237">
        <v>0.58899999999999997</v>
      </c>
      <c r="AJ101" s="236">
        <v>18828</v>
      </c>
      <c r="AK101" s="237">
        <v>0.21</v>
      </c>
      <c r="AL101" s="236">
        <v>0</v>
      </c>
      <c r="AM101" s="237">
        <v>0</v>
      </c>
      <c r="AN101" s="236">
        <v>0</v>
      </c>
      <c r="AO101" s="237">
        <v>0</v>
      </c>
      <c r="AP101" s="236">
        <v>0</v>
      </c>
      <c r="AQ101" s="237">
        <v>0</v>
      </c>
      <c r="AR101" s="236">
        <v>96</v>
      </c>
      <c r="AS101" s="237">
        <v>0.17</v>
      </c>
      <c r="AT101" s="236">
        <v>320</v>
      </c>
      <c r="AU101" s="237">
        <v>0.56899999999999995</v>
      </c>
      <c r="AV101" s="236">
        <v>147</v>
      </c>
      <c r="AW101" s="237">
        <v>0.26100000000000001</v>
      </c>
      <c r="AX101" s="236">
        <v>0</v>
      </c>
      <c r="AY101" s="237">
        <v>0</v>
      </c>
      <c r="AZ101" s="236">
        <v>0</v>
      </c>
      <c r="BA101" s="237">
        <v>0</v>
      </c>
      <c r="BB101" s="236">
        <v>0</v>
      </c>
      <c r="BC101" s="237">
        <v>0</v>
      </c>
      <c r="BD101" s="236">
        <v>0</v>
      </c>
      <c r="BE101" s="237">
        <v>0</v>
      </c>
      <c r="BF101" s="236">
        <v>0</v>
      </c>
      <c r="BG101" s="237">
        <v>0</v>
      </c>
      <c r="BH101" s="236">
        <v>0</v>
      </c>
      <c r="BI101" s="237">
        <v>0</v>
      </c>
      <c r="BJ101" s="236">
        <v>115</v>
      </c>
      <c r="BK101" s="237">
        <v>7.8E-2</v>
      </c>
      <c r="BL101" s="236">
        <v>846</v>
      </c>
      <c r="BM101" s="237">
        <v>0.57399999999999995</v>
      </c>
      <c r="BN101" s="236">
        <v>513</v>
      </c>
      <c r="BO101" s="237">
        <v>0.34799999999999998</v>
      </c>
      <c r="BP101" s="236">
        <v>0</v>
      </c>
      <c r="BQ101" s="237">
        <v>0</v>
      </c>
      <c r="BR101" s="236">
        <v>0</v>
      </c>
      <c r="BS101" s="237">
        <v>0</v>
      </c>
      <c r="BT101" s="236">
        <v>72</v>
      </c>
      <c r="BU101" s="235">
        <v>1</v>
      </c>
      <c r="BV101" s="207"/>
      <c r="BW101" s="206"/>
      <c r="BX101" s="207"/>
      <c r="BY101" s="206"/>
      <c r="BZ101" s="207"/>
      <c r="CA101" s="206"/>
      <c r="CC101" s="241"/>
      <c r="CE101" s="241"/>
      <c r="CG101" s="241"/>
    </row>
    <row r="102" spans="1:85" s="205" customFormat="1" ht="14.25" customHeight="1">
      <c r="A102" s="243" t="s">
        <v>2</v>
      </c>
      <c r="B102" s="231">
        <v>8</v>
      </c>
      <c r="C102" s="232">
        <v>0.58099999999999996</v>
      </c>
      <c r="D102" s="231">
        <v>5</v>
      </c>
      <c r="E102" s="232">
        <v>0.41899999999999998</v>
      </c>
      <c r="F102" s="231">
        <v>0</v>
      </c>
      <c r="G102" s="232">
        <v>0</v>
      </c>
      <c r="H102" s="231">
        <v>0</v>
      </c>
      <c r="I102" s="232">
        <v>0</v>
      </c>
      <c r="J102" s="231">
        <v>0</v>
      </c>
      <c r="K102" s="232">
        <v>0</v>
      </c>
      <c r="L102" s="231">
        <v>0</v>
      </c>
      <c r="M102" s="232">
        <v>0</v>
      </c>
      <c r="N102" s="231">
        <v>0</v>
      </c>
      <c r="O102" s="232">
        <v>0</v>
      </c>
      <c r="P102" s="231">
        <v>0</v>
      </c>
      <c r="Q102" s="232">
        <v>0</v>
      </c>
      <c r="R102" s="231">
        <v>0</v>
      </c>
      <c r="S102" s="232">
        <v>0</v>
      </c>
      <c r="T102" s="231">
        <v>6</v>
      </c>
      <c r="U102" s="232">
        <v>0.13</v>
      </c>
      <c r="V102" s="231">
        <v>32</v>
      </c>
      <c r="W102" s="232">
        <v>0.70399999999999996</v>
      </c>
      <c r="X102" s="231">
        <v>8</v>
      </c>
      <c r="Y102" s="232">
        <v>0.16700000000000001</v>
      </c>
      <c r="Z102" s="231">
        <v>0</v>
      </c>
      <c r="AA102" s="232">
        <v>0</v>
      </c>
      <c r="AB102" s="231">
        <v>0</v>
      </c>
      <c r="AC102" s="232">
        <v>0</v>
      </c>
      <c r="AD102" s="231">
        <v>0</v>
      </c>
      <c r="AE102" s="232">
        <v>0</v>
      </c>
      <c r="AF102" s="231">
        <v>927</v>
      </c>
      <c r="AG102" s="232">
        <v>0.224</v>
      </c>
      <c r="AH102" s="231">
        <v>2808</v>
      </c>
      <c r="AI102" s="232">
        <v>0.67800000000000005</v>
      </c>
      <c r="AJ102" s="231">
        <v>405</v>
      </c>
      <c r="AK102" s="232">
        <v>9.8000000000000004E-2</v>
      </c>
      <c r="AL102" s="231">
        <v>0</v>
      </c>
      <c r="AM102" s="232">
        <v>0</v>
      </c>
      <c r="AN102" s="231">
        <v>0</v>
      </c>
      <c r="AO102" s="232">
        <v>0</v>
      </c>
      <c r="AP102" s="231">
        <v>0</v>
      </c>
      <c r="AQ102" s="232">
        <v>0</v>
      </c>
      <c r="AR102" s="231">
        <v>0</v>
      </c>
      <c r="AS102" s="232">
        <v>0</v>
      </c>
      <c r="AT102" s="231">
        <v>5</v>
      </c>
      <c r="AU102" s="232">
        <v>1</v>
      </c>
      <c r="AV102" s="231">
        <v>0</v>
      </c>
      <c r="AW102" s="232">
        <v>0</v>
      </c>
      <c r="AX102" s="231">
        <v>0</v>
      </c>
      <c r="AY102" s="232">
        <v>0</v>
      </c>
      <c r="AZ102" s="231">
        <v>0</v>
      </c>
      <c r="BA102" s="232">
        <v>0</v>
      </c>
      <c r="BB102" s="231">
        <v>0</v>
      </c>
      <c r="BC102" s="232">
        <v>0</v>
      </c>
      <c r="BD102" s="231">
        <v>0</v>
      </c>
      <c r="BE102" s="232">
        <v>0</v>
      </c>
      <c r="BF102" s="231">
        <v>0</v>
      </c>
      <c r="BG102" s="232">
        <v>0</v>
      </c>
      <c r="BH102" s="231">
        <v>0</v>
      </c>
      <c r="BI102" s="232">
        <v>0</v>
      </c>
      <c r="BJ102" s="231">
        <v>5</v>
      </c>
      <c r="BK102" s="232">
        <v>0.11899999999999999</v>
      </c>
      <c r="BL102" s="231">
        <v>33</v>
      </c>
      <c r="BM102" s="232">
        <v>0.73099999999999998</v>
      </c>
      <c r="BN102" s="231">
        <v>7</v>
      </c>
      <c r="BO102" s="232">
        <v>0.15</v>
      </c>
      <c r="BP102" s="231">
        <v>0</v>
      </c>
      <c r="BQ102" s="232">
        <v>0</v>
      </c>
      <c r="BR102" s="231">
        <v>0</v>
      </c>
      <c r="BS102" s="232">
        <v>0</v>
      </c>
      <c r="BT102" s="231">
        <v>0</v>
      </c>
      <c r="BU102" s="230">
        <v>0</v>
      </c>
      <c r="BV102" s="207"/>
      <c r="BW102" s="206"/>
      <c r="BX102" s="207"/>
      <c r="BY102" s="206"/>
      <c r="BZ102" s="207"/>
      <c r="CA102" s="206"/>
      <c r="CC102" s="241"/>
      <c r="CE102" s="241"/>
      <c r="CG102" s="241"/>
    </row>
    <row r="103" spans="1:85" s="205" customFormat="1" ht="14.25" customHeight="1">
      <c r="A103" s="243" t="s">
        <v>1</v>
      </c>
      <c r="B103" s="231">
        <v>0</v>
      </c>
      <c r="C103" s="232">
        <v>0</v>
      </c>
      <c r="D103" s="231">
        <v>11</v>
      </c>
      <c r="E103" s="232">
        <v>0.5</v>
      </c>
      <c r="F103" s="231">
        <v>11</v>
      </c>
      <c r="G103" s="232">
        <v>0.5</v>
      </c>
      <c r="H103" s="231">
        <v>0</v>
      </c>
      <c r="I103" s="232">
        <v>0</v>
      </c>
      <c r="J103" s="231">
        <v>0</v>
      </c>
      <c r="K103" s="232">
        <v>0</v>
      </c>
      <c r="L103" s="231">
        <v>0</v>
      </c>
      <c r="M103" s="232">
        <v>0</v>
      </c>
      <c r="N103" s="231">
        <v>0</v>
      </c>
      <c r="O103" s="232">
        <v>0</v>
      </c>
      <c r="P103" s="231">
        <v>0</v>
      </c>
      <c r="Q103" s="232">
        <v>0</v>
      </c>
      <c r="R103" s="231">
        <v>0</v>
      </c>
      <c r="S103" s="232">
        <v>0</v>
      </c>
      <c r="T103" s="231">
        <v>24</v>
      </c>
      <c r="U103" s="232">
        <v>0.23100000000000001</v>
      </c>
      <c r="V103" s="231">
        <v>41</v>
      </c>
      <c r="W103" s="232">
        <v>0.39200000000000002</v>
      </c>
      <c r="X103" s="231">
        <v>39</v>
      </c>
      <c r="Y103" s="232">
        <v>0.377</v>
      </c>
      <c r="Z103" s="231">
        <v>0</v>
      </c>
      <c r="AA103" s="232">
        <v>0</v>
      </c>
      <c r="AB103" s="231">
        <v>0</v>
      </c>
      <c r="AC103" s="232">
        <v>0</v>
      </c>
      <c r="AD103" s="231">
        <v>0</v>
      </c>
      <c r="AE103" s="232">
        <v>0</v>
      </c>
      <c r="AF103" s="231">
        <v>3067</v>
      </c>
      <c r="AG103" s="232">
        <v>0.27100000000000002</v>
      </c>
      <c r="AH103" s="231">
        <v>7209</v>
      </c>
      <c r="AI103" s="232">
        <v>0.63700000000000001</v>
      </c>
      <c r="AJ103" s="231">
        <v>1040</v>
      </c>
      <c r="AK103" s="232">
        <v>9.1999999999999998E-2</v>
      </c>
      <c r="AL103" s="231">
        <v>0</v>
      </c>
      <c r="AM103" s="232">
        <v>0</v>
      </c>
      <c r="AN103" s="231">
        <v>0</v>
      </c>
      <c r="AO103" s="232">
        <v>0</v>
      </c>
      <c r="AP103" s="231">
        <v>0</v>
      </c>
      <c r="AQ103" s="232">
        <v>0</v>
      </c>
      <c r="AR103" s="231">
        <v>0</v>
      </c>
      <c r="AS103" s="232">
        <v>0</v>
      </c>
      <c r="AT103" s="231">
        <v>91</v>
      </c>
      <c r="AU103" s="232">
        <v>0.82299999999999995</v>
      </c>
      <c r="AV103" s="231">
        <v>20</v>
      </c>
      <c r="AW103" s="232">
        <v>0.17699999999999999</v>
      </c>
      <c r="AX103" s="231">
        <v>0</v>
      </c>
      <c r="AY103" s="232">
        <v>0</v>
      </c>
      <c r="AZ103" s="231">
        <v>0</v>
      </c>
      <c r="BA103" s="232">
        <v>0</v>
      </c>
      <c r="BB103" s="231">
        <v>0</v>
      </c>
      <c r="BC103" s="232">
        <v>0</v>
      </c>
      <c r="BD103" s="231">
        <v>0</v>
      </c>
      <c r="BE103" s="232">
        <v>0</v>
      </c>
      <c r="BF103" s="231">
        <v>0</v>
      </c>
      <c r="BG103" s="232">
        <v>0</v>
      </c>
      <c r="BH103" s="231">
        <v>0</v>
      </c>
      <c r="BI103" s="232">
        <v>0</v>
      </c>
      <c r="BJ103" s="231">
        <v>10</v>
      </c>
      <c r="BK103" s="232">
        <v>0.11899999999999999</v>
      </c>
      <c r="BL103" s="231">
        <v>60</v>
      </c>
      <c r="BM103" s="232">
        <v>0.746</v>
      </c>
      <c r="BN103" s="231">
        <v>11</v>
      </c>
      <c r="BO103" s="232">
        <v>0.13500000000000001</v>
      </c>
      <c r="BP103" s="231">
        <v>0</v>
      </c>
      <c r="BQ103" s="232">
        <v>0</v>
      </c>
      <c r="BR103" s="231">
        <v>0</v>
      </c>
      <c r="BS103" s="232">
        <v>0</v>
      </c>
      <c r="BT103" s="231">
        <v>0</v>
      </c>
      <c r="BU103" s="230">
        <v>0</v>
      </c>
      <c r="BV103" s="207"/>
      <c r="BW103" s="206"/>
      <c r="BX103" s="207"/>
      <c r="BY103" s="206"/>
      <c r="BZ103" s="207"/>
      <c r="CA103" s="206"/>
      <c r="CC103" s="241"/>
      <c r="CE103" s="241"/>
      <c r="CG103" s="241"/>
    </row>
    <row r="104" spans="1:85" s="205" customFormat="1" ht="14.25" customHeight="1" thickBot="1">
      <c r="A104" s="242" t="s">
        <v>0</v>
      </c>
      <c r="B104" s="226">
        <v>46</v>
      </c>
      <c r="C104" s="227">
        <v>0.20899999999999999</v>
      </c>
      <c r="D104" s="226">
        <v>118</v>
      </c>
      <c r="E104" s="227">
        <v>0.53600000000000003</v>
      </c>
      <c r="F104" s="226">
        <v>56</v>
      </c>
      <c r="G104" s="227">
        <v>0.255</v>
      </c>
      <c r="H104" s="226">
        <v>0</v>
      </c>
      <c r="I104" s="227">
        <v>0</v>
      </c>
      <c r="J104" s="226">
        <v>0</v>
      </c>
      <c r="K104" s="227">
        <v>0</v>
      </c>
      <c r="L104" s="226">
        <v>0</v>
      </c>
      <c r="M104" s="227">
        <v>0</v>
      </c>
      <c r="N104" s="226">
        <v>0</v>
      </c>
      <c r="O104" s="227">
        <v>0</v>
      </c>
      <c r="P104" s="226">
        <v>0</v>
      </c>
      <c r="Q104" s="227">
        <v>0</v>
      </c>
      <c r="R104" s="226">
        <v>0</v>
      </c>
      <c r="S104" s="227">
        <v>0</v>
      </c>
      <c r="T104" s="226">
        <v>56</v>
      </c>
      <c r="U104" s="227">
        <v>5.7000000000000002E-2</v>
      </c>
      <c r="V104" s="226">
        <v>613</v>
      </c>
      <c r="W104" s="227">
        <v>0.625</v>
      </c>
      <c r="X104" s="226">
        <v>311</v>
      </c>
      <c r="Y104" s="227">
        <v>0.318</v>
      </c>
      <c r="Z104" s="226">
        <v>0</v>
      </c>
      <c r="AA104" s="227">
        <v>0</v>
      </c>
      <c r="AB104" s="226">
        <v>0</v>
      </c>
      <c r="AC104" s="227">
        <v>0</v>
      </c>
      <c r="AD104" s="226">
        <v>0</v>
      </c>
      <c r="AE104" s="227">
        <v>0</v>
      </c>
      <c r="AF104" s="226">
        <v>14010</v>
      </c>
      <c r="AG104" s="227">
        <v>0.189</v>
      </c>
      <c r="AH104" s="226">
        <v>42834</v>
      </c>
      <c r="AI104" s="227">
        <v>0.57699999999999996</v>
      </c>
      <c r="AJ104" s="226">
        <v>17383</v>
      </c>
      <c r="AK104" s="227">
        <v>0.23400000000000001</v>
      </c>
      <c r="AL104" s="226">
        <v>0</v>
      </c>
      <c r="AM104" s="227">
        <v>0</v>
      </c>
      <c r="AN104" s="226">
        <v>0</v>
      </c>
      <c r="AO104" s="227">
        <v>0</v>
      </c>
      <c r="AP104" s="226">
        <v>0</v>
      </c>
      <c r="AQ104" s="227">
        <v>0</v>
      </c>
      <c r="AR104" s="226">
        <v>96</v>
      </c>
      <c r="AS104" s="227">
        <v>0.21299999999999999</v>
      </c>
      <c r="AT104" s="226">
        <v>225</v>
      </c>
      <c r="AU104" s="227">
        <v>0.502</v>
      </c>
      <c r="AV104" s="226">
        <v>128</v>
      </c>
      <c r="AW104" s="227">
        <v>0.28499999999999998</v>
      </c>
      <c r="AX104" s="226">
        <v>0</v>
      </c>
      <c r="AY104" s="227">
        <v>0</v>
      </c>
      <c r="AZ104" s="226">
        <v>0</v>
      </c>
      <c r="BA104" s="227">
        <v>0</v>
      </c>
      <c r="BB104" s="226">
        <v>0</v>
      </c>
      <c r="BC104" s="227">
        <v>0</v>
      </c>
      <c r="BD104" s="226">
        <v>0</v>
      </c>
      <c r="BE104" s="227">
        <v>0</v>
      </c>
      <c r="BF104" s="226">
        <v>0</v>
      </c>
      <c r="BG104" s="227">
        <v>0</v>
      </c>
      <c r="BH104" s="226">
        <v>0</v>
      </c>
      <c r="BI104" s="227">
        <v>0</v>
      </c>
      <c r="BJ104" s="226">
        <v>100</v>
      </c>
      <c r="BK104" s="227">
        <v>7.3999999999999996E-2</v>
      </c>
      <c r="BL104" s="226">
        <v>753</v>
      </c>
      <c r="BM104" s="227">
        <v>0.55800000000000005</v>
      </c>
      <c r="BN104" s="226">
        <v>495</v>
      </c>
      <c r="BO104" s="227">
        <v>0.36699999999999999</v>
      </c>
      <c r="BP104" s="226">
        <v>0</v>
      </c>
      <c r="BQ104" s="227">
        <v>0</v>
      </c>
      <c r="BR104" s="226">
        <v>0</v>
      </c>
      <c r="BS104" s="227">
        <v>0</v>
      </c>
      <c r="BT104" s="226">
        <v>72</v>
      </c>
      <c r="BU104" s="225">
        <v>1</v>
      </c>
      <c r="BV104" s="207"/>
      <c r="BW104" s="206"/>
      <c r="BX104" s="207"/>
      <c r="BY104" s="206"/>
      <c r="BZ104" s="207"/>
      <c r="CA104" s="206"/>
      <c r="CC104" s="241"/>
      <c r="CE104" s="241"/>
      <c r="CG104" s="241"/>
    </row>
    <row r="105" spans="1:85" s="205" customFormat="1" ht="14.25" customHeight="1">
      <c r="B105" s="207"/>
      <c r="C105" s="206"/>
      <c r="D105" s="207"/>
      <c r="E105" s="206"/>
      <c r="F105" s="207"/>
      <c r="G105" s="206"/>
      <c r="H105" s="207"/>
      <c r="I105" s="206"/>
      <c r="J105" s="207"/>
      <c r="K105" s="206"/>
      <c r="L105" s="207"/>
      <c r="M105" s="206"/>
      <c r="N105" s="207"/>
      <c r="O105" s="206"/>
      <c r="P105" s="207"/>
      <c r="Q105" s="206"/>
      <c r="R105" s="207"/>
      <c r="S105" s="206"/>
      <c r="T105" s="207"/>
      <c r="U105" s="206"/>
      <c r="V105" s="207"/>
      <c r="W105" s="206"/>
      <c r="X105" s="207"/>
      <c r="Y105" s="206"/>
      <c r="Z105" s="207"/>
      <c r="AA105" s="206"/>
      <c r="AB105" s="207"/>
      <c r="AC105" s="206"/>
      <c r="AD105" s="207"/>
      <c r="AE105" s="206"/>
      <c r="AF105" s="207"/>
      <c r="AG105" s="206"/>
      <c r="AH105" s="207"/>
      <c r="AI105" s="206"/>
      <c r="AJ105" s="207"/>
      <c r="AK105" s="206"/>
      <c r="AL105" s="207"/>
      <c r="AM105" s="206"/>
      <c r="AN105" s="207"/>
      <c r="AO105" s="206"/>
      <c r="AP105" s="207"/>
      <c r="AQ105" s="206"/>
      <c r="AR105" s="207"/>
      <c r="AS105" s="206"/>
      <c r="AT105" s="207"/>
      <c r="AU105" s="206"/>
      <c r="AV105" s="207"/>
      <c r="AW105" s="206"/>
      <c r="AX105" s="207"/>
      <c r="AY105" s="206"/>
      <c r="AZ105" s="207"/>
      <c r="BA105" s="206"/>
      <c r="BB105" s="207"/>
      <c r="BC105" s="206"/>
      <c r="BD105" s="207"/>
      <c r="BE105" s="206"/>
      <c r="BF105" s="207"/>
      <c r="BG105" s="206"/>
      <c r="BH105" s="207"/>
      <c r="BI105" s="206"/>
      <c r="BJ105" s="207"/>
      <c r="BK105" s="206"/>
      <c r="BL105" s="207"/>
      <c r="BM105" s="206"/>
      <c r="BN105" s="207"/>
      <c r="BO105" s="206"/>
      <c r="BP105" s="207"/>
      <c r="BQ105" s="206"/>
      <c r="BR105" s="207"/>
      <c r="BS105" s="206"/>
      <c r="BT105" s="207"/>
      <c r="BU105" s="206"/>
      <c r="BV105" s="207"/>
      <c r="BW105" s="206"/>
      <c r="BX105" s="207"/>
      <c r="BY105" s="206"/>
      <c r="BZ105" s="207"/>
      <c r="CA105" s="206"/>
      <c r="CC105" s="241"/>
      <c r="CE105" s="241"/>
      <c r="CG105" s="241"/>
    </row>
    <row r="108" spans="1:85" ht="15.75" thickBot="1"/>
    <row r="109" spans="1:85" ht="15.75" customHeight="1">
      <c r="A109" s="737" t="s">
        <v>276</v>
      </c>
      <c r="B109" s="691" t="s">
        <v>275</v>
      </c>
      <c r="C109" s="669"/>
      <c r="D109" s="669"/>
      <c r="E109" s="669"/>
      <c r="F109" s="669"/>
      <c r="G109" s="669"/>
      <c r="H109" s="669" t="s">
        <v>274</v>
      </c>
      <c r="I109" s="669"/>
      <c r="J109" s="669"/>
      <c r="K109" s="669"/>
      <c r="L109" s="669"/>
      <c r="M109" s="669"/>
      <c r="N109" s="669" t="s">
        <v>273</v>
      </c>
      <c r="O109" s="669"/>
      <c r="P109" s="669"/>
      <c r="Q109" s="669"/>
      <c r="R109" s="669"/>
      <c r="S109" s="669"/>
      <c r="T109" s="669" t="s">
        <v>272</v>
      </c>
      <c r="U109" s="669"/>
      <c r="V109" s="669"/>
      <c r="W109" s="669"/>
      <c r="X109" s="669"/>
      <c r="Y109" s="669"/>
      <c r="Z109" s="669" t="s">
        <v>271</v>
      </c>
      <c r="AA109" s="669"/>
      <c r="AB109" s="669"/>
      <c r="AC109" s="669"/>
      <c r="AD109" s="669"/>
      <c r="AE109" s="669"/>
      <c r="AF109" s="669" t="s">
        <v>270</v>
      </c>
      <c r="AG109" s="669"/>
      <c r="AH109" s="669"/>
      <c r="AI109" s="669"/>
      <c r="AJ109" s="669"/>
      <c r="AK109" s="669"/>
      <c r="AL109" s="669" t="s">
        <v>269</v>
      </c>
      <c r="AM109" s="669"/>
      <c r="AN109" s="669"/>
      <c r="AO109" s="669"/>
      <c r="AP109" s="669"/>
      <c r="AQ109" s="669"/>
      <c r="AR109" s="669" t="s">
        <v>268</v>
      </c>
      <c r="AS109" s="669"/>
      <c r="AT109" s="669"/>
      <c r="AU109" s="669"/>
      <c r="AV109" s="669"/>
      <c r="AW109" s="669"/>
      <c r="AX109" s="669" t="s">
        <v>267</v>
      </c>
      <c r="AY109" s="669"/>
      <c r="AZ109" s="669"/>
      <c r="BA109" s="669"/>
      <c r="BB109" s="669"/>
      <c r="BC109" s="669"/>
      <c r="BD109" s="669" t="s">
        <v>266</v>
      </c>
      <c r="BE109" s="669"/>
      <c r="BF109" s="669"/>
      <c r="BG109" s="669"/>
      <c r="BH109" s="669"/>
      <c r="BI109" s="669"/>
      <c r="BJ109" s="669" t="s">
        <v>265</v>
      </c>
      <c r="BK109" s="669"/>
      <c r="BL109" s="669"/>
      <c r="BM109" s="669"/>
      <c r="BN109" s="669"/>
      <c r="BO109" s="669"/>
      <c r="BP109" s="669" t="s">
        <v>264</v>
      </c>
      <c r="BQ109" s="669"/>
      <c r="BR109" s="669"/>
      <c r="BS109" s="669"/>
      <c r="BT109" s="669"/>
      <c r="BU109" s="694"/>
    </row>
    <row r="110" spans="1:85" s="240" customFormat="1" ht="27.75" customHeight="1">
      <c r="A110" s="738"/>
      <c r="B110" s="740" t="s">
        <v>278</v>
      </c>
      <c r="C110" s="741"/>
      <c r="D110" s="741"/>
      <c r="E110" s="741"/>
      <c r="F110" s="741"/>
      <c r="G110" s="741"/>
      <c r="H110" s="741" t="s">
        <v>278</v>
      </c>
      <c r="I110" s="741"/>
      <c r="J110" s="741"/>
      <c r="K110" s="741"/>
      <c r="L110" s="741"/>
      <c r="M110" s="741"/>
      <c r="N110" s="741" t="s">
        <v>278</v>
      </c>
      <c r="O110" s="741"/>
      <c r="P110" s="741"/>
      <c r="Q110" s="741"/>
      <c r="R110" s="741"/>
      <c r="S110" s="741"/>
      <c r="T110" s="741" t="s">
        <v>278</v>
      </c>
      <c r="U110" s="741"/>
      <c r="V110" s="741"/>
      <c r="W110" s="741"/>
      <c r="X110" s="741"/>
      <c r="Y110" s="741"/>
      <c r="Z110" s="741" t="s">
        <v>278</v>
      </c>
      <c r="AA110" s="741"/>
      <c r="AB110" s="741"/>
      <c r="AC110" s="741"/>
      <c r="AD110" s="741"/>
      <c r="AE110" s="741"/>
      <c r="AF110" s="741" t="s">
        <v>278</v>
      </c>
      <c r="AG110" s="741"/>
      <c r="AH110" s="741"/>
      <c r="AI110" s="741"/>
      <c r="AJ110" s="741"/>
      <c r="AK110" s="741"/>
      <c r="AL110" s="741" t="s">
        <v>278</v>
      </c>
      <c r="AM110" s="741"/>
      <c r="AN110" s="741"/>
      <c r="AO110" s="741"/>
      <c r="AP110" s="741"/>
      <c r="AQ110" s="741"/>
      <c r="AR110" s="741" t="s">
        <v>278</v>
      </c>
      <c r="AS110" s="741"/>
      <c r="AT110" s="741"/>
      <c r="AU110" s="741"/>
      <c r="AV110" s="741"/>
      <c r="AW110" s="741"/>
      <c r="AX110" s="741" t="s">
        <v>278</v>
      </c>
      <c r="AY110" s="741"/>
      <c r="AZ110" s="741"/>
      <c r="BA110" s="741"/>
      <c r="BB110" s="741"/>
      <c r="BC110" s="741"/>
      <c r="BD110" s="741" t="s">
        <v>278</v>
      </c>
      <c r="BE110" s="741"/>
      <c r="BF110" s="741"/>
      <c r="BG110" s="741"/>
      <c r="BH110" s="741"/>
      <c r="BI110" s="741"/>
      <c r="BJ110" s="741" t="s">
        <v>278</v>
      </c>
      <c r="BK110" s="741"/>
      <c r="BL110" s="741"/>
      <c r="BM110" s="741"/>
      <c r="BN110" s="741"/>
      <c r="BO110" s="741"/>
      <c r="BP110" s="741" t="s">
        <v>278</v>
      </c>
      <c r="BQ110" s="741"/>
      <c r="BR110" s="741"/>
      <c r="BS110" s="741"/>
      <c r="BT110" s="741"/>
      <c r="BU110" s="745"/>
    </row>
    <row r="111" spans="1:85" ht="15.75" customHeight="1">
      <c r="A111" s="738"/>
      <c r="B111" s="744" t="s">
        <v>30</v>
      </c>
      <c r="C111" s="569"/>
      <c r="D111" s="569" t="s">
        <v>29</v>
      </c>
      <c r="E111" s="569"/>
      <c r="F111" s="569" t="s">
        <v>28</v>
      </c>
      <c r="G111" s="569"/>
      <c r="H111" s="569" t="s">
        <v>30</v>
      </c>
      <c r="I111" s="569"/>
      <c r="J111" s="569" t="s">
        <v>29</v>
      </c>
      <c r="K111" s="569"/>
      <c r="L111" s="569" t="s">
        <v>28</v>
      </c>
      <c r="M111" s="569"/>
      <c r="N111" s="569" t="s">
        <v>30</v>
      </c>
      <c r="O111" s="569"/>
      <c r="P111" s="569" t="s">
        <v>29</v>
      </c>
      <c r="Q111" s="569"/>
      <c r="R111" s="569" t="s">
        <v>28</v>
      </c>
      <c r="S111" s="569"/>
      <c r="T111" s="569" t="s">
        <v>30</v>
      </c>
      <c r="U111" s="569"/>
      <c r="V111" s="569" t="s">
        <v>29</v>
      </c>
      <c r="W111" s="569"/>
      <c r="X111" s="569" t="s">
        <v>28</v>
      </c>
      <c r="Y111" s="569"/>
      <c r="Z111" s="569" t="s">
        <v>30</v>
      </c>
      <c r="AA111" s="569"/>
      <c r="AB111" s="569" t="s">
        <v>29</v>
      </c>
      <c r="AC111" s="569"/>
      <c r="AD111" s="569" t="s">
        <v>28</v>
      </c>
      <c r="AE111" s="569"/>
      <c r="AF111" s="569" t="s">
        <v>30</v>
      </c>
      <c r="AG111" s="569"/>
      <c r="AH111" s="569" t="s">
        <v>29</v>
      </c>
      <c r="AI111" s="569"/>
      <c r="AJ111" s="569" t="s">
        <v>28</v>
      </c>
      <c r="AK111" s="569"/>
      <c r="AL111" s="569" t="s">
        <v>30</v>
      </c>
      <c r="AM111" s="569"/>
      <c r="AN111" s="569" t="s">
        <v>29</v>
      </c>
      <c r="AO111" s="569"/>
      <c r="AP111" s="569" t="s">
        <v>28</v>
      </c>
      <c r="AQ111" s="569"/>
      <c r="AR111" s="569" t="s">
        <v>30</v>
      </c>
      <c r="AS111" s="569"/>
      <c r="AT111" s="569" t="s">
        <v>29</v>
      </c>
      <c r="AU111" s="569"/>
      <c r="AV111" s="569" t="s">
        <v>28</v>
      </c>
      <c r="AW111" s="569"/>
      <c r="AX111" s="569" t="s">
        <v>30</v>
      </c>
      <c r="AY111" s="569"/>
      <c r="AZ111" s="569" t="s">
        <v>29</v>
      </c>
      <c r="BA111" s="569"/>
      <c r="BB111" s="569" t="s">
        <v>28</v>
      </c>
      <c r="BC111" s="569"/>
      <c r="BD111" s="569" t="s">
        <v>30</v>
      </c>
      <c r="BE111" s="569"/>
      <c r="BF111" s="569" t="s">
        <v>29</v>
      </c>
      <c r="BG111" s="569"/>
      <c r="BH111" s="569" t="s">
        <v>28</v>
      </c>
      <c r="BI111" s="569"/>
      <c r="BJ111" s="569" t="s">
        <v>30</v>
      </c>
      <c r="BK111" s="569"/>
      <c r="BL111" s="569" t="s">
        <v>29</v>
      </c>
      <c r="BM111" s="569"/>
      <c r="BN111" s="569" t="s">
        <v>28</v>
      </c>
      <c r="BO111" s="569"/>
      <c r="BP111" s="569" t="s">
        <v>30</v>
      </c>
      <c r="BQ111" s="569"/>
      <c r="BR111" s="569" t="s">
        <v>29</v>
      </c>
      <c r="BS111" s="569"/>
      <c r="BT111" s="569" t="s">
        <v>28</v>
      </c>
      <c r="BU111" s="593"/>
    </row>
    <row r="112" spans="1:85" ht="15.75" customHeight="1" thickBot="1">
      <c r="A112" s="739"/>
      <c r="B112" s="239" t="s">
        <v>7</v>
      </c>
      <c r="C112" s="224" t="s">
        <v>8</v>
      </c>
      <c r="D112" s="224" t="s">
        <v>7</v>
      </c>
      <c r="E112" s="224" t="s">
        <v>8</v>
      </c>
      <c r="F112" s="224" t="s">
        <v>7</v>
      </c>
      <c r="G112" s="224" t="s">
        <v>8</v>
      </c>
      <c r="H112" s="150" t="s">
        <v>7</v>
      </c>
      <c r="I112" s="150" t="s">
        <v>8</v>
      </c>
      <c r="J112" s="150" t="s">
        <v>7</v>
      </c>
      <c r="K112" s="150" t="s">
        <v>8</v>
      </c>
      <c r="L112" s="150" t="s">
        <v>7</v>
      </c>
      <c r="M112" s="150" t="s">
        <v>8</v>
      </c>
      <c r="N112" s="150" t="s">
        <v>7</v>
      </c>
      <c r="O112" s="150" t="s">
        <v>8</v>
      </c>
      <c r="P112" s="150" t="s">
        <v>7</v>
      </c>
      <c r="Q112" s="150" t="s">
        <v>8</v>
      </c>
      <c r="R112" s="150" t="s">
        <v>7</v>
      </c>
      <c r="S112" s="150" t="s">
        <v>8</v>
      </c>
      <c r="T112" s="150" t="s">
        <v>7</v>
      </c>
      <c r="U112" s="150" t="s">
        <v>8</v>
      </c>
      <c r="V112" s="150" t="s">
        <v>7</v>
      </c>
      <c r="W112" s="150" t="s">
        <v>8</v>
      </c>
      <c r="X112" s="150" t="s">
        <v>7</v>
      </c>
      <c r="Y112" s="150" t="s">
        <v>8</v>
      </c>
      <c r="Z112" s="150" t="s">
        <v>7</v>
      </c>
      <c r="AA112" s="150" t="s">
        <v>8</v>
      </c>
      <c r="AB112" s="150" t="s">
        <v>7</v>
      </c>
      <c r="AC112" s="150" t="s">
        <v>8</v>
      </c>
      <c r="AD112" s="150" t="s">
        <v>7</v>
      </c>
      <c r="AE112" s="150" t="s">
        <v>8</v>
      </c>
      <c r="AF112" s="150" t="s">
        <v>7</v>
      </c>
      <c r="AG112" s="150" t="s">
        <v>8</v>
      </c>
      <c r="AH112" s="150" t="s">
        <v>7</v>
      </c>
      <c r="AI112" s="150" t="s">
        <v>8</v>
      </c>
      <c r="AJ112" s="150" t="s">
        <v>7</v>
      </c>
      <c r="AK112" s="150" t="s">
        <v>8</v>
      </c>
      <c r="AL112" s="150" t="s">
        <v>7</v>
      </c>
      <c r="AM112" s="150" t="s">
        <v>8</v>
      </c>
      <c r="AN112" s="150" t="s">
        <v>7</v>
      </c>
      <c r="AO112" s="150" t="s">
        <v>8</v>
      </c>
      <c r="AP112" s="150" t="s">
        <v>7</v>
      </c>
      <c r="AQ112" s="150" t="s">
        <v>8</v>
      </c>
      <c r="AR112" s="150" t="s">
        <v>7</v>
      </c>
      <c r="AS112" s="150" t="s">
        <v>8</v>
      </c>
      <c r="AT112" s="150" t="s">
        <v>7</v>
      </c>
      <c r="AU112" s="150" t="s">
        <v>8</v>
      </c>
      <c r="AV112" s="150" t="s">
        <v>7</v>
      </c>
      <c r="AW112" s="150" t="s">
        <v>8</v>
      </c>
      <c r="AX112" s="150" t="s">
        <v>7</v>
      </c>
      <c r="AY112" s="150" t="s">
        <v>8</v>
      </c>
      <c r="AZ112" s="150" t="s">
        <v>7</v>
      </c>
      <c r="BA112" s="150" t="s">
        <v>8</v>
      </c>
      <c r="BB112" s="150" t="s">
        <v>7</v>
      </c>
      <c r="BC112" s="150" t="s">
        <v>8</v>
      </c>
      <c r="BD112" s="150" t="s">
        <v>7</v>
      </c>
      <c r="BE112" s="150" t="s">
        <v>8</v>
      </c>
      <c r="BF112" s="150" t="s">
        <v>7</v>
      </c>
      <c r="BG112" s="150" t="s">
        <v>8</v>
      </c>
      <c r="BH112" s="150" t="s">
        <v>7</v>
      </c>
      <c r="BI112" s="150" t="s">
        <v>8</v>
      </c>
      <c r="BJ112" s="150" t="s">
        <v>7</v>
      </c>
      <c r="BK112" s="150" t="s">
        <v>8</v>
      </c>
      <c r="BL112" s="150" t="s">
        <v>7</v>
      </c>
      <c r="BM112" s="150" t="s">
        <v>8</v>
      </c>
      <c r="BN112" s="150" t="s">
        <v>7</v>
      </c>
      <c r="BO112" s="150" t="s">
        <v>8</v>
      </c>
      <c r="BP112" s="150" t="s">
        <v>7</v>
      </c>
      <c r="BQ112" s="150" t="s">
        <v>8</v>
      </c>
      <c r="BR112" s="150" t="s">
        <v>7</v>
      </c>
      <c r="BS112" s="150" t="s">
        <v>8</v>
      </c>
      <c r="BT112" s="150" t="s">
        <v>7</v>
      </c>
      <c r="BU112" s="149" t="s">
        <v>8</v>
      </c>
    </row>
    <row r="113" spans="1:79" ht="15.75" customHeight="1">
      <c r="A113" s="238" t="s">
        <v>5</v>
      </c>
      <c r="B113" s="236">
        <v>79</v>
      </c>
      <c r="C113" s="237">
        <v>0.29799999999999999</v>
      </c>
      <c r="D113" s="236">
        <v>92</v>
      </c>
      <c r="E113" s="237">
        <v>0.34599999999999997</v>
      </c>
      <c r="F113" s="236">
        <v>94</v>
      </c>
      <c r="G113" s="237">
        <v>0.35599999999999998</v>
      </c>
      <c r="H113" s="236">
        <v>0</v>
      </c>
      <c r="I113" s="237">
        <v>0</v>
      </c>
      <c r="J113" s="236">
        <v>6</v>
      </c>
      <c r="K113" s="237">
        <v>1</v>
      </c>
      <c r="L113" s="236">
        <v>0</v>
      </c>
      <c r="M113" s="237">
        <v>0</v>
      </c>
      <c r="N113" s="236">
        <v>87</v>
      </c>
      <c r="O113" s="237">
        <v>1</v>
      </c>
      <c r="P113" s="236">
        <v>0</v>
      </c>
      <c r="Q113" s="237">
        <v>0</v>
      </c>
      <c r="R113" s="236">
        <v>0</v>
      </c>
      <c r="S113" s="237">
        <v>0</v>
      </c>
      <c r="T113" s="236">
        <v>138</v>
      </c>
      <c r="U113" s="237">
        <v>9.7000000000000003E-2</v>
      </c>
      <c r="V113" s="236">
        <v>710</v>
      </c>
      <c r="W113" s="237">
        <v>0.5</v>
      </c>
      <c r="X113" s="236">
        <v>573</v>
      </c>
      <c r="Y113" s="237">
        <v>0.40300000000000002</v>
      </c>
      <c r="Z113" s="236">
        <v>0</v>
      </c>
      <c r="AA113" s="237">
        <v>0</v>
      </c>
      <c r="AB113" s="236">
        <v>18</v>
      </c>
      <c r="AC113" s="237">
        <v>1</v>
      </c>
      <c r="AD113" s="236">
        <v>0</v>
      </c>
      <c r="AE113" s="237">
        <v>0</v>
      </c>
      <c r="AF113" s="236">
        <v>26074</v>
      </c>
      <c r="AG113" s="237">
        <v>0.17699999999999999</v>
      </c>
      <c r="AH113" s="236">
        <v>80276</v>
      </c>
      <c r="AI113" s="237">
        <v>0.54500000000000004</v>
      </c>
      <c r="AJ113" s="236">
        <v>40850</v>
      </c>
      <c r="AK113" s="237">
        <v>0.27800000000000002</v>
      </c>
      <c r="AL113" s="236">
        <v>0</v>
      </c>
      <c r="AM113" s="237">
        <v>0</v>
      </c>
      <c r="AN113" s="236">
        <v>64</v>
      </c>
      <c r="AO113" s="237">
        <v>0.40100000000000002</v>
      </c>
      <c r="AP113" s="236">
        <v>96</v>
      </c>
      <c r="AQ113" s="237">
        <v>0.59899999999999998</v>
      </c>
      <c r="AR113" s="236">
        <v>0</v>
      </c>
      <c r="AS113" s="237">
        <v>0</v>
      </c>
      <c r="AT113" s="236">
        <v>331</v>
      </c>
      <c r="AU113" s="237">
        <v>0.36499999999999999</v>
      </c>
      <c r="AV113" s="236">
        <v>577</v>
      </c>
      <c r="AW113" s="237">
        <v>0.63500000000000001</v>
      </c>
      <c r="AX113" s="236">
        <v>0</v>
      </c>
      <c r="AY113" s="237">
        <v>0</v>
      </c>
      <c r="AZ113" s="236">
        <v>7</v>
      </c>
      <c r="BA113" s="237">
        <v>1</v>
      </c>
      <c r="BB113" s="236">
        <v>0</v>
      </c>
      <c r="BC113" s="237">
        <v>0</v>
      </c>
      <c r="BD113" s="236">
        <v>90</v>
      </c>
      <c r="BE113" s="237">
        <v>1</v>
      </c>
      <c r="BF113" s="236">
        <v>0</v>
      </c>
      <c r="BG113" s="237">
        <v>0</v>
      </c>
      <c r="BH113" s="236">
        <v>0</v>
      </c>
      <c r="BI113" s="237">
        <v>0</v>
      </c>
      <c r="BJ113" s="236">
        <v>152</v>
      </c>
      <c r="BK113" s="237">
        <v>9.4E-2</v>
      </c>
      <c r="BL113" s="236">
        <v>552</v>
      </c>
      <c r="BM113" s="237">
        <v>0.34399999999999997</v>
      </c>
      <c r="BN113" s="236">
        <v>903</v>
      </c>
      <c r="BO113" s="237">
        <v>0.56200000000000006</v>
      </c>
      <c r="BP113" s="236">
        <v>0</v>
      </c>
      <c r="BQ113" s="237">
        <v>0</v>
      </c>
      <c r="BR113" s="236">
        <v>0</v>
      </c>
      <c r="BS113" s="237">
        <v>0</v>
      </c>
      <c r="BT113" s="236">
        <v>0</v>
      </c>
      <c r="BU113" s="235">
        <v>0</v>
      </c>
    </row>
    <row r="114" spans="1:79" ht="15.75" customHeight="1">
      <c r="A114" s="234" t="s">
        <v>2</v>
      </c>
      <c r="B114" s="233">
        <v>13</v>
      </c>
      <c r="C114" s="232">
        <v>0.45600000000000002</v>
      </c>
      <c r="D114" s="231">
        <v>11</v>
      </c>
      <c r="E114" s="232">
        <v>0.378</v>
      </c>
      <c r="F114" s="231">
        <v>5</v>
      </c>
      <c r="G114" s="232">
        <v>0.16600000000000001</v>
      </c>
      <c r="H114" s="231">
        <v>0</v>
      </c>
      <c r="I114" s="232">
        <v>0</v>
      </c>
      <c r="J114" s="231">
        <v>6</v>
      </c>
      <c r="K114" s="232">
        <v>1</v>
      </c>
      <c r="L114" s="231">
        <v>0</v>
      </c>
      <c r="M114" s="232">
        <v>0</v>
      </c>
      <c r="N114" s="231">
        <v>0</v>
      </c>
      <c r="O114" s="232">
        <v>0</v>
      </c>
      <c r="P114" s="231">
        <v>0</v>
      </c>
      <c r="Q114" s="232">
        <v>0</v>
      </c>
      <c r="R114" s="231">
        <v>0</v>
      </c>
      <c r="S114" s="232">
        <v>0</v>
      </c>
      <c r="T114" s="231">
        <v>0</v>
      </c>
      <c r="U114" s="232">
        <v>0</v>
      </c>
      <c r="V114" s="231">
        <v>72</v>
      </c>
      <c r="W114" s="232">
        <v>0.81899999999999995</v>
      </c>
      <c r="X114" s="231">
        <v>16</v>
      </c>
      <c r="Y114" s="232">
        <v>0.18099999999999999</v>
      </c>
      <c r="Z114" s="231">
        <v>0</v>
      </c>
      <c r="AA114" s="232">
        <v>0</v>
      </c>
      <c r="AB114" s="231">
        <v>0</v>
      </c>
      <c r="AC114" s="232">
        <v>0</v>
      </c>
      <c r="AD114" s="231">
        <v>0</v>
      </c>
      <c r="AE114" s="232">
        <v>0</v>
      </c>
      <c r="AF114" s="231">
        <v>1342</v>
      </c>
      <c r="AG114" s="232">
        <v>0.223</v>
      </c>
      <c r="AH114" s="231">
        <v>3461</v>
      </c>
      <c r="AI114" s="232">
        <v>0.57599999999999996</v>
      </c>
      <c r="AJ114" s="231">
        <v>1208</v>
      </c>
      <c r="AK114" s="232">
        <v>0.20100000000000001</v>
      </c>
      <c r="AL114" s="231">
        <v>0</v>
      </c>
      <c r="AM114" s="232">
        <v>0</v>
      </c>
      <c r="AN114" s="231">
        <v>6</v>
      </c>
      <c r="AO114" s="232">
        <v>0.40799999999999997</v>
      </c>
      <c r="AP114" s="231">
        <v>9</v>
      </c>
      <c r="AQ114" s="232">
        <v>0.59199999999999997</v>
      </c>
      <c r="AR114" s="231">
        <v>0</v>
      </c>
      <c r="AS114" s="232">
        <v>0</v>
      </c>
      <c r="AT114" s="231">
        <v>12</v>
      </c>
      <c r="AU114" s="232">
        <v>0.39900000000000002</v>
      </c>
      <c r="AV114" s="231">
        <v>18</v>
      </c>
      <c r="AW114" s="232">
        <v>0.60099999999999998</v>
      </c>
      <c r="AX114" s="231">
        <v>0</v>
      </c>
      <c r="AY114" s="232">
        <v>0</v>
      </c>
      <c r="AZ114" s="231">
        <v>7</v>
      </c>
      <c r="BA114" s="232">
        <v>1</v>
      </c>
      <c r="BB114" s="231">
        <v>0</v>
      </c>
      <c r="BC114" s="232">
        <v>0</v>
      </c>
      <c r="BD114" s="231">
        <v>0</v>
      </c>
      <c r="BE114" s="232">
        <v>0</v>
      </c>
      <c r="BF114" s="231">
        <v>0</v>
      </c>
      <c r="BG114" s="232">
        <v>0</v>
      </c>
      <c r="BH114" s="231">
        <v>0</v>
      </c>
      <c r="BI114" s="232">
        <v>0</v>
      </c>
      <c r="BJ114" s="231">
        <v>0</v>
      </c>
      <c r="BK114" s="232">
        <v>0</v>
      </c>
      <c r="BL114" s="231">
        <v>57</v>
      </c>
      <c r="BM114" s="232">
        <v>0.56299999999999994</v>
      </c>
      <c r="BN114" s="231">
        <v>44</v>
      </c>
      <c r="BO114" s="232">
        <v>0.437</v>
      </c>
      <c r="BP114" s="231">
        <v>0</v>
      </c>
      <c r="BQ114" s="232">
        <v>0</v>
      </c>
      <c r="BR114" s="231">
        <v>0</v>
      </c>
      <c r="BS114" s="232">
        <v>0</v>
      </c>
      <c r="BT114" s="231">
        <v>0</v>
      </c>
      <c r="BU114" s="230">
        <v>0</v>
      </c>
    </row>
    <row r="115" spans="1:79" ht="15.75" customHeight="1">
      <c r="A115" s="234" t="s">
        <v>1</v>
      </c>
      <c r="B115" s="233">
        <v>0</v>
      </c>
      <c r="C115" s="232">
        <v>0</v>
      </c>
      <c r="D115" s="231">
        <v>81</v>
      </c>
      <c r="E115" s="232">
        <v>1</v>
      </c>
      <c r="F115" s="231">
        <v>0</v>
      </c>
      <c r="G115" s="232">
        <v>0</v>
      </c>
      <c r="H115" s="231">
        <v>0</v>
      </c>
      <c r="I115" s="232">
        <v>0</v>
      </c>
      <c r="J115" s="231">
        <v>0</v>
      </c>
      <c r="K115" s="232">
        <v>0</v>
      </c>
      <c r="L115" s="231">
        <v>0</v>
      </c>
      <c r="M115" s="232">
        <v>0</v>
      </c>
      <c r="N115" s="231">
        <v>0</v>
      </c>
      <c r="O115" s="232">
        <v>0</v>
      </c>
      <c r="P115" s="231">
        <v>0</v>
      </c>
      <c r="Q115" s="232">
        <v>0</v>
      </c>
      <c r="R115" s="231">
        <v>0</v>
      </c>
      <c r="S115" s="232">
        <v>0</v>
      </c>
      <c r="T115" s="231">
        <v>72</v>
      </c>
      <c r="U115" s="232">
        <v>0.47099999999999997</v>
      </c>
      <c r="V115" s="231">
        <v>81</v>
      </c>
      <c r="W115" s="232">
        <v>0.52900000000000003</v>
      </c>
      <c r="X115" s="231">
        <v>0</v>
      </c>
      <c r="Y115" s="232">
        <v>0</v>
      </c>
      <c r="Z115" s="231">
        <v>0</v>
      </c>
      <c r="AA115" s="232">
        <v>0</v>
      </c>
      <c r="AB115" s="231">
        <v>18</v>
      </c>
      <c r="AC115" s="232">
        <v>1</v>
      </c>
      <c r="AD115" s="231">
        <v>0</v>
      </c>
      <c r="AE115" s="232">
        <v>0</v>
      </c>
      <c r="AF115" s="231">
        <v>9918</v>
      </c>
      <c r="AG115" s="232">
        <v>0.23799999999999999</v>
      </c>
      <c r="AH115" s="231">
        <v>24863</v>
      </c>
      <c r="AI115" s="232">
        <v>0.59799999999999998</v>
      </c>
      <c r="AJ115" s="231">
        <v>6824</v>
      </c>
      <c r="AK115" s="232">
        <v>0.16400000000000001</v>
      </c>
      <c r="AL115" s="231">
        <v>0</v>
      </c>
      <c r="AM115" s="232">
        <v>0</v>
      </c>
      <c r="AN115" s="231">
        <v>58</v>
      </c>
      <c r="AO115" s="232">
        <v>1</v>
      </c>
      <c r="AP115" s="231">
        <v>0</v>
      </c>
      <c r="AQ115" s="232">
        <v>0</v>
      </c>
      <c r="AR115" s="231">
        <v>0</v>
      </c>
      <c r="AS115" s="232">
        <v>0</v>
      </c>
      <c r="AT115" s="231">
        <v>63</v>
      </c>
      <c r="AU115" s="232">
        <v>0.40400000000000003</v>
      </c>
      <c r="AV115" s="231">
        <v>93</v>
      </c>
      <c r="AW115" s="232">
        <v>0.59599999999999997</v>
      </c>
      <c r="AX115" s="231">
        <v>0</v>
      </c>
      <c r="AY115" s="232">
        <v>0</v>
      </c>
      <c r="AZ115" s="231">
        <v>0</v>
      </c>
      <c r="BA115" s="232">
        <v>0</v>
      </c>
      <c r="BB115" s="231">
        <v>0</v>
      </c>
      <c r="BC115" s="232">
        <v>0</v>
      </c>
      <c r="BD115" s="231">
        <v>0</v>
      </c>
      <c r="BE115" s="232">
        <v>0</v>
      </c>
      <c r="BF115" s="231">
        <v>0</v>
      </c>
      <c r="BG115" s="232">
        <v>0</v>
      </c>
      <c r="BH115" s="231">
        <v>0</v>
      </c>
      <c r="BI115" s="232">
        <v>0</v>
      </c>
      <c r="BJ115" s="231">
        <v>13</v>
      </c>
      <c r="BK115" s="232">
        <v>4.7E-2</v>
      </c>
      <c r="BL115" s="231">
        <v>98</v>
      </c>
      <c r="BM115" s="232">
        <v>0.36599999999999999</v>
      </c>
      <c r="BN115" s="231">
        <v>158</v>
      </c>
      <c r="BO115" s="232">
        <v>0.58799999999999997</v>
      </c>
      <c r="BP115" s="231">
        <v>0</v>
      </c>
      <c r="BQ115" s="232">
        <v>0</v>
      </c>
      <c r="BR115" s="231">
        <v>0</v>
      </c>
      <c r="BS115" s="232">
        <v>0</v>
      </c>
      <c r="BT115" s="231">
        <v>0</v>
      </c>
      <c r="BU115" s="230">
        <v>0</v>
      </c>
    </row>
    <row r="116" spans="1:79" ht="15.75" customHeight="1" thickBot="1">
      <c r="A116" s="234" t="s">
        <v>0</v>
      </c>
      <c r="B116" s="233">
        <v>66</v>
      </c>
      <c r="C116" s="232">
        <v>0.42299999999999999</v>
      </c>
      <c r="D116" s="231">
        <v>0</v>
      </c>
      <c r="E116" s="232">
        <v>0</v>
      </c>
      <c r="F116" s="231">
        <v>90</v>
      </c>
      <c r="G116" s="232">
        <v>0.57699999999999996</v>
      </c>
      <c r="H116" s="231">
        <v>0</v>
      </c>
      <c r="I116" s="232">
        <v>0</v>
      </c>
      <c r="J116" s="231">
        <v>0</v>
      </c>
      <c r="K116" s="232">
        <v>0</v>
      </c>
      <c r="L116" s="231">
        <v>0</v>
      </c>
      <c r="M116" s="232">
        <v>0</v>
      </c>
      <c r="N116" s="231">
        <v>87</v>
      </c>
      <c r="O116" s="232">
        <v>1</v>
      </c>
      <c r="P116" s="231">
        <v>0</v>
      </c>
      <c r="Q116" s="232">
        <v>0</v>
      </c>
      <c r="R116" s="231">
        <v>0</v>
      </c>
      <c r="S116" s="232">
        <v>0</v>
      </c>
      <c r="T116" s="231">
        <v>66</v>
      </c>
      <c r="U116" s="232">
        <v>5.6000000000000001E-2</v>
      </c>
      <c r="V116" s="231">
        <v>557</v>
      </c>
      <c r="W116" s="232">
        <v>0.47199999999999998</v>
      </c>
      <c r="X116" s="231">
        <v>557</v>
      </c>
      <c r="Y116" s="232">
        <v>0.47199999999999998</v>
      </c>
      <c r="Z116" s="231">
        <v>0</v>
      </c>
      <c r="AA116" s="232">
        <v>0</v>
      </c>
      <c r="AB116" s="231">
        <v>0</v>
      </c>
      <c r="AC116" s="232">
        <v>0</v>
      </c>
      <c r="AD116" s="231">
        <v>0</v>
      </c>
      <c r="AE116" s="232">
        <v>0</v>
      </c>
      <c r="AF116" s="231">
        <v>14814</v>
      </c>
      <c r="AG116" s="232">
        <v>0.14899999999999999</v>
      </c>
      <c r="AH116" s="231">
        <v>51952</v>
      </c>
      <c r="AI116" s="232">
        <v>0.52200000000000002</v>
      </c>
      <c r="AJ116" s="231">
        <v>32818</v>
      </c>
      <c r="AK116" s="232">
        <v>0.33</v>
      </c>
      <c r="AL116" s="231">
        <v>0</v>
      </c>
      <c r="AM116" s="232">
        <v>0</v>
      </c>
      <c r="AN116" s="231">
        <v>0</v>
      </c>
      <c r="AO116" s="232">
        <v>0</v>
      </c>
      <c r="AP116" s="231">
        <v>87</v>
      </c>
      <c r="AQ116" s="232">
        <v>1</v>
      </c>
      <c r="AR116" s="231">
        <v>0</v>
      </c>
      <c r="AS116" s="232">
        <v>0</v>
      </c>
      <c r="AT116" s="231">
        <v>256</v>
      </c>
      <c r="AU116" s="232">
        <v>0.35499999999999998</v>
      </c>
      <c r="AV116" s="231">
        <v>466</v>
      </c>
      <c r="AW116" s="232">
        <v>0.64500000000000002</v>
      </c>
      <c r="AX116" s="231">
        <v>0</v>
      </c>
      <c r="AY116" s="232">
        <v>0</v>
      </c>
      <c r="AZ116" s="231">
        <v>0</v>
      </c>
      <c r="BA116" s="232">
        <v>0</v>
      </c>
      <c r="BB116" s="231">
        <v>0</v>
      </c>
      <c r="BC116" s="232">
        <v>0</v>
      </c>
      <c r="BD116" s="231">
        <v>90</v>
      </c>
      <c r="BE116" s="232">
        <v>1</v>
      </c>
      <c r="BF116" s="231">
        <v>0</v>
      </c>
      <c r="BG116" s="232">
        <v>0</v>
      </c>
      <c r="BH116" s="231">
        <v>0</v>
      </c>
      <c r="BI116" s="232">
        <v>0</v>
      </c>
      <c r="BJ116" s="231">
        <v>139</v>
      </c>
      <c r="BK116" s="232">
        <v>0.112</v>
      </c>
      <c r="BL116" s="231">
        <v>397</v>
      </c>
      <c r="BM116" s="232">
        <v>0.32100000000000001</v>
      </c>
      <c r="BN116" s="231">
        <v>701</v>
      </c>
      <c r="BO116" s="232">
        <v>0.56699999999999995</v>
      </c>
      <c r="BP116" s="231">
        <v>0</v>
      </c>
      <c r="BQ116" s="232">
        <v>0</v>
      </c>
      <c r="BR116" s="231">
        <v>0</v>
      </c>
      <c r="BS116" s="232">
        <v>0</v>
      </c>
      <c r="BT116" s="231">
        <v>0</v>
      </c>
      <c r="BU116" s="230">
        <v>0</v>
      </c>
    </row>
    <row r="117" spans="1:79" ht="15.75" customHeight="1">
      <c r="A117" s="238" t="s">
        <v>4</v>
      </c>
      <c r="B117" s="236">
        <v>0</v>
      </c>
      <c r="C117" s="237">
        <v>0</v>
      </c>
      <c r="D117" s="236">
        <v>142</v>
      </c>
      <c r="E117" s="237">
        <v>0.64200000000000002</v>
      </c>
      <c r="F117" s="236">
        <v>79</v>
      </c>
      <c r="G117" s="237">
        <v>0.35799999999999998</v>
      </c>
      <c r="H117" s="236">
        <v>0</v>
      </c>
      <c r="I117" s="237">
        <v>0</v>
      </c>
      <c r="J117" s="236">
        <v>0</v>
      </c>
      <c r="K117" s="237">
        <v>0</v>
      </c>
      <c r="L117" s="236">
        <v>0</v>
      </c>
      <c r="M117" s="237">
        <v>0</v>
      </c>
      <c r="N117" s="236">
        <v>0</v>
      </c>
      <c r="O117" s="237">
        <v>0</v>
      </c>
      <c r="P117" s="236">
        <v>0</v>
      </c>
      <c r="Q117" s="237">
        <v>0</v>
      </c>
      <c r="R117" s="236">
        <v>0</v>
      </c>
      <c r="S117" s="237">
        <v>0</v>
      </c>
      <c r="T117" s="236">
        <v>161</v>
      </c>
      <c r="U117" s="237">
        <v>0.11</v>
      </c>
      <c r="V117" s="236">
        <v>851</v>
      </c>
      <c r="W117" s="237">
        <v>0.57999999999999996</v>
      </c>
      <c r="X117" s="236">
        <v>457</v>
      </c>
      <c r="Y117" s="237">
        <v>0.311</v>
      </c>
      <c r="Z117" s="236">
        <v>0</v>
      </c>
      <c r="AA117" s="237">
        <v>0</v>
      </c>
      <c r="AB117" s="236">
        <v>0</v>
      </c>
      <c r="AC117" s="237">
        <v>0</v>
      </c>
      <c r="AD117" s="236">
        <v>0</v>
      </c>
      <c r="AE117" s="237">
        <v>0</v>
      </c>
      <c r="AF117" s="236">
        <v>23514</v>
      </c>
      <c r="AG117" s="237">
        <v>0.17599999999999999</v>
      </c>
      <c r="AH117" s="236">
        <v>75386</v>
      </c>
      <c r="AI117" s="237">
        <v>0.56499999999999995</v>
      </c>
      <c r="AJ117" s="236">
        <v>34416</v>
      </c>
      <c r="AK117" s="237">
        <v>0.25800000000000001</v>
      </c>
      <c r="AL117" s="236">
        <v>0</v>
      </c>
      <c r="AM117" s="237">
        <v>0</v>
      </c>
      <c r="AN117" s="236">
        <v>122</v>
      </c>
      <c r="AO117" s="237">
        <v>0.88900000000000001</v>
      </c>
      <c r="AP117" s="236">
        <v>15</v>
      </c>
      <c r="AQ117" s="237">
        <v>0.111</v>
      </c>
      <c r="AR117" s="236">
        <v>0</v>
      </c>
      <c r="AS117" s="237">
        <v>0</v>
      </c>
      <c r="AT117" s="236">
        <v>380</v>
      </c>
      <c r="AU117" s="237">
        <v>0.71099999999999997</v>
      </c>
      <c r="AV117" s="236">
        <v>154</v>
      </c>
      <c r="AW117" s="237">
        <v>0.28899999999999998</v>
      </c>
      <c r="AX117" s="236">
        <v>0</v>
      </c>
      <c r="AY117" s="237">
        <v>0</v>
      </c>
      <c r="AZ117" s="236">
        <v>5</v>
      </c>
      <c r="BA117" s="237">
        <v>1</v>
      </c>
      <c r="BB117" s="236">
        <v>0</v>
      </c>
      <c r="BC117" s="237">
        <v>0</v>
      </c>
      <c r="BD117" s="236">
        <v>0</v>
      </c>
      <c r="BE117" s="237">
        <v>0</v>
      </c>
      <c r="BF117" s="236">
        <v>0</v>
      </c>
      <c r="BG117" s="237">
        <v>0</v>
      </c>
      <c r="BH117" s="236">
        <v>0</v>
      </c>
      <c r="BI117" s="237">
        <v>0</v>
      </c>
      <c r="BJ117" s="236">
        <v>26</v>
      </c>
      <c r="BK117" s="237">
        <v>1.0999999999999999E-2</v>
      </c>
      <c r="BL117" s="236">
        <v>1312</v>
      </c>
      <c r="BM117" s="237">
        <v>0.56799999999999995</v>
      </c>
      <c r="BN117" s="236">
        <v>971</v>
      </c>
      <c r="BO117" s="237">
        <v>0.42099999999999999</v>
      </c>
      <c r="BP117" s="236">
        <v>0</v>
      </c>
      <c r="BQ117" s="237">
        <v>0</v>
      </c>
      <c r="BR117" s="236">
        <v>0</v>
      </c>
      <c r="BS117" s="237">
        <v>0</v>
      </c>
      <c r="BT117" s="236">
        <v>0</v>
      </c>
      <c r="BU117" s="235">
        <v>0</v>
      </c>
    </row>
    <row r="118" spans="1:79" ht="15.75" customHeight="1">
      <c r="A118" s="234" t="s">
        <v>2</v>
      </c>
      <c r="B118" s="233">
        <v>0</v>
      </c>
      <c r="C118" s="232">
        <v>0</v>
      </c>
      <c r="D118" s="231">
        <v>0</v>
      </c>
      <c r="E118" s="232">
        <v>0</v>
      </c>
      <c r="F118" s="231">
        <v>10</v>
      </c>
      <c r="G118" s="232">
        <v>1</v>
      </c>
      <c r="H118" s="231">
        <v>0</v>
      </c>
      <c r="I118" s="232">
        <v>0</v>
      </c>
      <c r="J118" s="231">
        <v>0</v>
      </c>
      <c r="K118" s="232">
        <v>0</v>
      </c>
      <c r="L118" s="231">
        <v>0</v>
      </c>
      <c r="M118" s="232">
        <v>0</v>
      </c>
      <c r="N118" s="231">
        <v>0</v>
      </c>
      <c r="O118" s="232">
        <v>0</v>
      </c>
      <c r="P118" s="231">
        <v>0</v>
      </c>
      <c r="Q118" s="232">
        <v>0</v>
      </c>
      <c r="R118" s="231">
        <v>0</v>
      </c>
      <c r="S118" s="232">
        <v>0</v>
      </c>
      <c r="T118" s="231">
        <v>23</v>
      </c>
      <c r="U118" s="232">
        <v>0.33400000000000002</v>
      </c>
      <c r="V118" s="231">
        <v>35</v>
      </c>
      <c r="W118" s="232">
        <v>0.497</v>
      </c>
      <c r="X118" s="231">
        <v>12</v>
      </c>
      <c r="Y118" s="232">
        <v>0.16900000000000001</v>
      </c>
      <c r="Z118" s="231">
        <v>0</v>
      </c>
      <c r="AA118" s="232">
        <v>0</v>
      </c>
      <c r="AB118" s="231">
        <v>0</v>
      </c>
      <c r="AC118" s="232">
        <v>0</v>
      </c>
      <c r="AD118" s="231">
        <v>0</v>
      </c>
      <c r="AE118" s="232">
        <v>0</v>
      </c>
      <c r="AF118" s="231">
        <v>1117</v>
      </c>
      <c r="AG118" s="232">
        <v>0.22</v>
      </c>
      <c r="AH118" s="231">
        <v>2973</v>
      </c>
      <c r="AI118" s="232">
        <v>0.58599999999999997</v>
      </c>
      <c r="AJ118" s="231">
        <v>981</v>
      </c>
      <c r="AK118" s="232">
        <v>0.19400000000000001</v>
      </c>
      <c r="AL118" s="231">
        <v>0</v>
      </c>
      <c r="AM118" s="232">
        <v>0</v>
      </c>
      <c r="AN118" s="231">
        <v>0</v>
      </c>
      <c r="AO118" s="232">
        <v>0</v>
      </c>
      <c r="AP118" s="231">
        <v>0</v>
      </c>
      <c r="AQ118" s="232">
        <v>0</v>
      </c>
      <c r="AR118" s="231">
        <v>0</v>
      </c>
      <c r="AS118" s="232">
        <v>0</v>
      </c>
      <c r="AT118" s="231">
        <v>5</v>
      </c>
      <c r="AU118" s="232">
        <v>0.45600000000000002</v>
      </c>
      <c r="AV118" s="231">
        <v>6</v>
      </c>
      <c r="AW118" s="232">
        <v>0.54400000000000004</v>
      </c>
      <c r="AX118" s="231">
        <v>0</v>
      </c>
      <c r="AY118" s="232">
        <v>0</v>
      </c>
      <c r="AZ118" s="231">
        <v>5</v>
      </c>
      <c r="BA118" s="232">
        <v>1</v>
      </c>
      <c r="BB118" s="231">
        <v>0</v>
      </c>
      <c r="BC118" s="232">
        <v>0</v>
      </c>
      <c r="BD118" s="231">
        <v>0</v>
      </c>
      <c r="BE118" s="232">
        <v>0</v>
      </c>
      <c r="BF118" s="231">
        <v>0</v>
      </c>
      <c r="BG118" s="232">
        <v>0</v>
      </c>
      <c r="BH118" s="231">
        <v>0</v>
      </c>
      <c r="BI118" s="232">
        <v>0</v>
      </c>
      <c r="BJ118" s="231">
        <v>5</v>
      </c>
      <c r="BK118" s="232">
        <v>8.2000000000000003E-2</v>
      </c>
      <c r="BL118" s="231">
        <v>35</v>
      </c>
      <c r="BM118" s="232">
        <v>0.55100000000000005</v>
      </c>
      <c r="BN118" s="231">
        <v>23</v>
      </c>
      <c r="BO118" s="232">
        <v>0.36699999999999999</v>
      </c>
      <c r="BP118" s="231">
        <v>0</v>
      </c>
      <c r="BQ118" s="232">
        <v>0</v>
      </c>
      <c r="BR118" s="231">
        <v>0</v>
      </c>
      <c r="BS118" s="232">
        <v>0</v>
      </c>
      <c r="BT118" s="231">
        <v>0</v>
      </c>
      <c r="BU118" s="230">
        <v>0</v>
      </c>
    </row>
    <row r="119" spans="1:79" ht="15.75" customHeight="1">
      <c r="A119" s="234" t="s">
        <v>1</v>
      </c>
      <c r="B119" s="233">
        <v>0</v>
      </c>
      <c r="C119" s="232">
        <v>0</v>
      </c>
      <c r="D119" s="231">
        <v>0</v>
      </c>
      <c r="E119" s="232">
        <v>0</v>
      </c>
      <c r="F119" s="231">
        <v>0</v>
      </c>
      <c r="G119" s="232">
        <v>0</v>
      </c>
      <c r="H119" s="231">
        <v>0</v>
      </c>
      <c r="I119" s="232">
        <v>0</v>
      </c>
      <c r="J119" s="231">
        <v>0</v>
      </c>
      <c r="K119" s="232">
        <v>0</v>
      </c>
      <c r="L119" s="231">
        <v>0</v>
      </c>
      <c r="M119" s="232">
        <v>0</v>
      </c>
      <c r="N119" s="231">
        <v>0</v>
      </c>
      <c r="O119" s="232">
        <v>0</v>
      </c>
      <c r="P119" s="231">
        <v>0</v>
      </c>
      <c r="Q119" s="232">
        <v>0</v>
      </c>
      <c r="R119" s="231">
        <v>0</v>
      </c>
      <c r="S119" s="232">
        <v>0</v>
      </c>
      <c r="T119" s="231">
        <v>85</v>
      </c>
      <c r="U119" s="232">
        <v>0.22500000000000001</v>
      </c>
      <c r="V119" s="231">
        <v>221</v>
      </c>
      <c r="W119" s="232">
        <v>0.58799999999999997</v>
      </c>
      <c r="X119" s="231">
        <v>70</v>
      </c>
      <c r="Y119" s="232">
        <v>0.187</v>
      </c>
      <c r="Z119" s="231">
        <v>0</v>
      </c>
      <c r="AA119" s="232">
        <v>0</v>
      </c>
      <c r="AB119" s="231">
        <v>0</v>
      </c>
      <c r="AC119" s="232">
        <v>0</v>
      </c>
      <c r="AD119" s="231">
        <v>0</v>
      </c>
      <c r="AE119" s="232">
        <v>0</v>
      </c>
      <c r="AF119" s="231">
        <v>9219</v>
      </c>
      <c r="AG119" s="232">
        <v>0.23799999999999999</v>
      </c>
      <c r="AH119" s="231">
        <v>22814</v>
      </c>
      <c r="AI119" s="232">
        <v>0.59</v>
      </c>
      <c r="AJ119" s="231">
        <v>6645</v>
      </c>
      <c r="AK119" s="232">
        <v>0.17199999999999999</v>
      </c>
      <c r="AL119" s="231">
        <v>0</v>
      </c>
      <c r="AM119" s="232">
        <v>0</v>
      </c>
      <c r="AN119" s="231">
        <v>0</v>
      </c>
      <c r="AO119" s="232">
        <v>0</v>
      </c>
      <c r="AP119" s="231">
        <v>15</v>
      </c>
      <c r="AQ119" s="232">
        <v>1</v>
      </c>
      <c r="AR119" s="231">
        <v>0</v>
      </c>
      <c r="AS119" s="232">
        <v>0</v>
      </c>
      <c r="AT119" s="231">
        <v>82</v>
      </c>
      <c r="AU119" s="232">
        <v>1</v>
      </c>
      <c r="AV119" s="231">
        <v>0</v>
      </c>
      <c r="AW119" s="232">
        <v>0</v>
      </c>
      <c r="AX119" s="231">
        <v>0</v>
      </c>
      <c r="AY119" s="232">
        <v>0</v>
      </c>
      <c r="AZ119" s="231">
        <v>0</v>
      </c>
      <c r="BA119" s="232">
        <v>0</v>
      </c>
      <c r="BB119" s="231">
        <v>0</v>
      </c>
      <c r="BC119" s="232">
        <v>0</v>
      </c>
      <c r="BD119" s="231">
        <v>0</v>
      </c>
      <c r="BE119" s="232">
        <v>0</v>
      </c>
      <c r="BF119" s="231">
        <v>0</v>
      </c>
      <c r="BG119" s="232">
        <v>0</v>
      </c>
      <c r="BH119" s="231">
        <v>0</v>
      </c>
      <c r="BI119" s="232">
        <v>0</v>
      </c>
      <c r="BJ119" s="231">
        <v>21</v>
      </c>
      <c r="BK119" s="232">
        <v>3.7999999999999999E-2</v>
      </c>
      <c r="BL119" s="231">
        <v>350</v>
      </c>
      <c r="BM119" s="232">
        <v>0.64200000000000002</v>
      </c>
      <c r="BN119" s="231">
        <v>174</v>
      </c>
      <c r="BO119" s="232">
        <v>0.31900000000000001</v>
      </c>
      <c r="BP119" s="231">
        <v>0</v>
      </c>
      <c r="BQ119" s="232">
        <v>0</v>
      </c>
      <c r="BR119" s="231">
        <v>0</v>
      </c>
      <c r="BS119" s="232">
        <v>0</v>
      </c>
      <c r="BT119" s="231">
        <v>0</v>
      </c>
      <c r="BU119" s="230">
        <v>0</v>
      </c>
    </row>
    <row r="120" spans="1:79" ht="15.75" customHeight="1" thickBot="1">
      <c r="A120" s="234" t="s">
        <v>0</v>
      </c>
      <c r="B120" s="233">
        <v>0</v>
      </c>
      <c r="C120" s="232">
        <v>0</v>
      </c>
      <c r="D120" s="231">
        <v>142</v>
      </c>
      <c r="E120" s="232">
        <v>0.67400000000000004</v>
      </c>
      <c r="F120" s="231">
        <v>69</v>
      </c>
      <c r="G120" s="232">
        <v>0.32600000000000001</v>
      </c>
      <c r="H120" s="231">
        <v>0</v>
      </c>
      <c r="I120" s="232">
        <v>0</v>
      </c>
      <c r="J120" s="231">
        <v>0</v>
      </c>
      <c r="K120" s="232">
        <v>0</v>
      </c>
      <c r="L120" s="231">
        <v>0</v>
      </c>
      <c r="M120" s="232">
        <v>0</v>
      </c>
      <c r="N120" s="231">
        <v>0</v>
      </c>
      <c r="O120" s="232">
        <v>0</v>
      </c>
      <c r="P120" s="231">
        <v>0</v>
      </c>
      <c r="Q120" s="232">
        <v>0</v>
      </c>
      <c r="R120" s="231">
        <v>0</v>
      </c>
      <c r="S120" s="232">
        <v>0</v>
      </c>
      <c r="T120" s="231">
        <v>53</v>
      </c>
      <c r="U120" s="232">
        <v>5.1999999999999998E-2</v>
      </c>
      <c r="V120" s="231">
        <v>595</v>
      </c>
      <c r="W120" s="232">
        <v>0.58199999999999996</v>
      </c>
      <c r="X120" s="231">
        <v>374</v>
      </c>
      <c r="Y120" s="232">
        <v>0.36599999999999999</v>
      </c>
      <c r="Z120" s="231">
        <v>0</v>
      </c>
      <c r="AA120" s="232">
        <v>0</v>
      </c>
      <c r="AB120" s="231">
        <v>0</v>
      </c>
      <c r="AC120" s="232">
        <v>0</v>
      </c>
      <c r="AD120" s="231">
        <v>0</v>
      </c>
      <c r="AE120" s="232">
        <v>0</v>
      </c>
      <c r="AF120" s="231">
        <v>13178</v>
      </c>
      <c r="AG120" s="232">
        <v>0.14699999999999999</v>
      </c>
      <c r="AH120" s="231">
        <v>49599</v>
      </c>
      <c r="AI120" s="232">
        <v>0.55400000000000005</v>
      </c>
      <c r="AJ120" s="231">
        <v>26789</v>
      </c>
      <c r="AK120" s="232">
        <v>0.29899999999999999</v>
      </c>
      <c r="AL120" s="231">
        <v>0</v>
      </c>
      <c r="AM120" s="232">
        <v>0</v>
      </c>
      <c r="AN120" s="231">
        <v>122</v>
      </c>
      <c r="AO120" s="232">
        <v>1</v>
      </c>
      <c r="AP120" s="231">
        <v>0</v>
      </c>
      <c r="AQ120" s="232">
        <v>0</v>
      </c>
      <c r="AR120" s="231">
        <v>0</v>
      </c>
      <c r="AS120" s="232">
        <v>0</v>
      </c>
      <c r="AT120" s="231">
        <v>293</v>
      </c>
      <c r="AU120" s="232">
        <v>0.66400000000000003</v>
      </c>
      <c r="AV120" s="231">
        <v>148</v>
      </c>
      <c r="AW120" s="232">
        <v>0.33600000000000002</v>
      </c>
      <c r="AX120" s="231">
        <v>0</v>
      </c>
      <c r="AY120" s="232">
        <v>0</v>
      </c>
      <c r="AZ120" s="231">
        <v>0</v>
      </c>
      <c r="BA120" s="232">
        <v>0</v>
      </c>
      <c r="BB120" s="231">
        <v>0</v>
      </c>
      <c r="BC120" s="232">
        <v>0</v>
      </c>
      <c r="BD120" s="231">
        <v>0</v>
      </c>
      <c r="BE120" s="232">
        <v>0</v>
      </c>
      <c r="BF120" s="231">
        <v>0</v>
      </c>
      <c r="BG120" s="232">
        <v>0</v>
      </c>
      <c r="BH120" s="231">
        <v>0</v>
      </c>
      <c r="BI120" s="232">
        <v>0</v>
      </c>
      <c r="BJ120" s="231">
        <v>0</v>
      </c>
      <c r="BK120" s="232">
        <v>0</v>
      </c>
      <c r="BL120" s="231">
        <v>927</v>
      </c>
      <c r="BM120" s="232">
        <v>0.54500000000000004</v>
      </c>
      <c r="BN120" s="231">
        <v>774</v>
      </c>
      <c r="BO120" s="232">
        <v>0.45500000000000002</v>
      </c>
      <c r="BP120" s="231">
        <v>0</v>
      </c>
      <c r="BQ120" s="232">
        <v>0</v>
      </c>
      <c r="BR120" s="231">
        <v>0</v>
      </c>
      <c r="BS120" s="232">
        <v>0</v>
      </c>
      <c r="BT120" s="231">
        <v>0</v>
      </c>
      <c r="BU120" s="230">
        <v>0</v>
      </c>
    </row>
    <row r="121" spans="1:79" ht="15.75" customHeight="1">
      <c r="A121" s="238" t="s">
        <v>3</v>
      </c>
      <c r="B121" s="236">
        <v>0</v>
      </c>
      <c r="C121" s="237">
        <v>0</v>
      </c>
      <c r="D121" s="236">
        <v>188</v>
      </c>
      <c r="E121" s="237">
        <v>0.73699999999999999</v>
      </c>
      <c r="F121" s="236">
        <v>67</v>
      </c>
      <c r="G121" s="237">
        <v>0.26300000000000001</v>
      </c>
      <c r="H121" s="236">
        <v>0</v>
      </c>
      <c r="I121" s="237">
        <v>0</v>
      </c>
      <c r="J121" s="236">
        <v>0</v>
      </c>
      <c r="K121" s="237">
        <v>0</v>
      </c>
      <c r="L121" s="236">
        <v>0</v>
      </c>
      <c r="M121" s="237">
        <v>0</v>
      </c>
      <c r="N121" s="236">
        <v>0</v>
      </c>
      <c r="O121" s="237">
        <v>0</v>
      </c>
      <c r="P121" s="236">
        <v>0</v>
      </c>
      <c r="Q121" s="237">
        <v>0</v>
      </c>
      <c r="R121" s="236">
        <v>0</v>
      </c>
      <c r="S121" s="237">
        <v>0</v>
      </c>
      <c r="T121" s="236">
        <v>76</v>
      </c>
      <c r="U121" s="237">
        <v>6.7000000000000004E-2</v>
      </c>
      <c r="V121" s="236">
        <v>740</v>
      </c>
      <c r="W121" s="237">
        <v>0.65500000000000003</v>
      </c>
      <c r="X121" s="236">
        <v>314</v>
      </c>
      <c r="Y121" s="237">
        <v>0.27800000000000002</v>
      </c>
      <c r="Z121" s="236">
        <v>0</v>
      </c>
      <c r="AA121" s="237">
        <v>0</v>
      </c>
      <c r="AB121" s="236">
        <v>0</v>
      </c>
      <c r="AC121" s="237">
        <v>0</v>
      </c>
      <c r="AD121" s="236">
        <v>0</v>
      </c>
      <c r="AE121" s="237">
        <v>0</v>
      </c>
      <c r="AF121" s="236">
        <v>14311</v>
      </c>
      <c r="AG121" s="237">
        <v>0.16</v>
      </c>
      <c r="AH121" s="236">
        <v>45915</v>
      </c>
      <c r="AI121" s="237">
        <v>0.51200000000000001</v>
      </c>
      <c r="AJ121" s="236">
        <v>29457</v>
      </c>
      <c r="AK121" s="237">
        <v>0.32800000000000001</v>
      </c>
      <c r="AL121" s="236">
        <v>0</v>
      </c>
      <c r="AM121" s="237">
        <v>0</v>
      </c>
      <c r="AN121" s="236">
        <v>0</v>
      </c>
      <c r="AO121" s="237">
        <v>0</v>
      </c>
      <c r="AP121" s="236">
        <v>0</v>
      </c>
      <c r="AQ121" s="237">
        <v>0</v>
      </c>
      <c r="AR121" s="236">
        <v>96</v>
      </c>
      <c r="AS121" s="237">
        <v>0.17</v>
      </c>
      <c r="AT121" s="236">
        <v>153</v>
      </c>
      <c r="AU121" s="237">
        <v>0.27100000000000002</v>
      </c>
      <c r="AV121" s="236">
        <v>315</v>
      </c>
      <c r="AW121" s="237">
        <v>0.55900000000000005</v>
      </c>
      <c r="AX121" s="236">
        <v>0</v>
      </c>
      <c r="AY121" s="237">
        <v>0</v>
      </c>
      <c r="AZ121" s="236">
        <v>0</v>
      </c>
      <c r="BA121" s="237">
        <v>0</v>
      </c>
      <c r="BB121" s="236">
        <v>0</v>
      </c>
      <c r="BC121" s="237">
        <v>0</v>
      </c>
      <c r="BD121" s="236">
        <v>0</v>
      </c>
      <c r="BE121" s="237">
        <v>0</v>
      </c>
      <c r="BF121" s="236">
        <v>0</v>
      </c>
      <c r="BG121" s="237">
        <v>0</v>
      </c>
      <c r="BH121" s="236">
        <v>0</v>
      </c>
      <c r="BI121" s="237">
        <v>0</v>
      </c>
      <c r="BJ121" s="236">
        <v>50</v>
      </c>
      <c r="BK121" s="237">
        <v>3.4000000000000002E-2</v>
      </c>
      <c r="BL121" s="236">
        <v>781</v>
      </c>
      <c r="BM121" s="237">
        <v>0.53</v>
      </c>
      <c r="BN121" s="236">
        <v>643</v>
      </c>
      <c r="BO121" s="237">
        <v>0.436</v>
      </c>
      <c r="BP121" s="236">
        <v>0</v>
      </c>
      <c r="BQ121" s="237">
        <v>0</v>
      </c>
      <c r="BR121" s="236">
        <v>72</v>
      </c>
      <c r="BS121" s="237">
        <v>1</v>
      </c>
      <c r="BT121" s="236">
        <v>0</v>
      </c>
      <c r="BU121" s="235">
        <v>0</v>
      </c>
    </row>
    <row r="122" spans="1:79" ht="15.75" customHeight="1">
      <c r="A122" s="234" t="s">
        <v>2</v>
      </c>
      <c r="B122" s="233">
        <v>0</v>
      </c>
      <c r="C122" s="232">
        <v>0</v>
      </c>
      <c r="D122" s="231">
        <v>13</v>
      </c>
      <c r="E122" s="232">
        <v>1</v>
      </c>
      <c r="F122" s="231">
        <v>0</v>
      </c>
      <c r="G122" s="232">
        <v>0</v>
      </c>
      <c r="H122" s="231">
        <v>0</v>
      </c>
      <c r="I122" s="232">
        <v>0</v>
      </c>
      <c r="J122" s="231">
        <v>0</v>
      </c>
      <c r="K122" s="232">
        <v>0</v>
      </c>
      <c r="L122" s="231">
        <v>0</v>
      </c>
      <c r="M122" s="232">
        <v>0</v>
      </c>
      <c r="N122" s="231">
        <v>0</v>
      </c>
      <c r="O122" s="232">
        <v>0</v>
      </c>
      <c r="P122" s="231">
        <v>0</v>
      </c>
      <c r="Q122" s="232">
        <v>0</v>
      </c>
      <c r="R122" s="231">
        <v>0</v>
      </c>
      <c r="S122" s="232">
        <v>0</v>
      </c>
      <c r="T122" s="231">
        <v>5</v>
      </c>
      <c r="U122" s="232">
        <v>0.12</v>
      </c>
      <c r="V122" s="231">
        <v>27</v>
      </c>
      <c r="W122" s="232">
        <v>0.58299999999999996</v>
      </c>
      <c r="X122" s="231">
        <v>13</v>
      </c>
      <c r="Y122" s="232">
        <v>0.29599999999999999</v>
      </c>
      <c r="Z122" s="231">
        <v>0</v>
      </c>
      <c r="AA122" s="232">
        <v>0</v>
      </c>
      <c r="AB122" s="231">
        <v>0</v>
      </c>
      <c r="AC122" s="232">
        <v>0</v>
      </c>
      <c r="AD122" s="231">
        <v>0</v>
      </c>
      <c r="AE122" s="232">
        <v>0</v>
      </c>
      <c r="AF122" s="231">
        <v>624</v>
      </c>
      <c r="AG122" s="232">
        <v>0.151</v>
      </c>
      <c r="AH122" s="231">
        <v>2643</v>
      </c>
      <c r="AI122" s="232">
        <v>0.63900000000000001</v>
      </c>
      <c r="AJ122" s="231">
        <v>873</v>
      </c>
      <c r="AK122" s="232">
        <v>0.21099999999999999</v>
      </c>
      <c r="AL122" s="231">
        <v>0</v>
      </c>
      <c r="AM122" s="232">
        <v>0</v>
      </c>
      <c r="AN122" s="231">
        <v>0</v>
      </c>
      <c r="AO122" s="232">
        <v>0</v>
      </c>
      <c r="AP122" s="231">
        <v>0</v>
      </c>
      <c r="AQ122" s="232">
        <v>0</v>
      </c>
      <c r="AR122" s="231">
        <v>0</v>
      </c>
      <c r="AS122" s="232">
        <v>0</v>
      </c>
      <c r="AT122" s="231">
        <v>5</v>
      </c>
      <c r="AU122" s="232">
        <v>1</v>
      </c>
      <c r="AV122" s="231">
        <v>0</v>
      </c>
      <c r="AW122" s="232">
        <v>0</v>
      </c>
      <c r="AX122" s="231">
        <v>0</v>
      </c>
      <c r="AY122" s="232">
        <v>0</v>
      </c>
      <c r="AZ122" s="231">
        <v>0</v>
      </c>
      <c r="BA122" s="232">
        <v>0</v>
      </c>
      <c r="BB122" s="231">
        <v>0</v>
      </c>
      <c r="BC122" s="232">
        <v>0</v>
      </c>
      <c r="BD122" s="231">
        <v>0</v>
      </c>
      <c r="BE122" s="232">
        <v>0</v>
      </c>
      <c r="BF122" s="231">
        <v>0</v>
      </c>
      <c r="BG122" s="232">
        <v>0</v>
      </c>
      <c r="BH122" s="231">
        <v>0</v>
      </c>
      <c r="BI122" s="232">
        <v>0</v>
      </c>
      <c r="BJ122" s="231">
        <v>5</v>
      </c>
      <c r="BK122" s="232">
        <v>0.11899999999999999</v>
      </c>
      <c r="BL122" s="231">
        <v>25</v>
      </c>
      <c r="BM122" s="232">
        <v>0.53900000000000003</v>
      </c>
      <c r="BN122" s="231">
        <v>16</v>
      </c>
      <c r="BO122" s="232">
        <v>0.34200000000000003</v>
      </c>
      <c r="BP122" s="231">
        <v>0</v>
      </c>
      <c r="BQ122" s="232">
        <v>0</v>
      </c>
      <c r="BR122" s="231">
        <v>0</v>
      </c>
      <c r="BS122" s="232">
        <v>0</v>
      </c>
      <c r="BT122" s="231">
        <v>0</v>
      </c>
      <c r="BU122" s="230">
        <v>0</v>
      </c>
    </row>
    <row r="123" spans="1:79" ht="15.75" customHeight="1">
      <c r="A123" s="234" t="s">
        <v>1</v>
      </c>
      <c r="B123" s="233">
        <v>0</v>
      </c>
      <c r="C123" s="232">
        <v>0</v>
      </c>
      <c r="D123" s="231">
        <v>11</v>
      </c>
      <c r="E123" s="232">
        <v>0.5</v>
      </c>
      <c r="F123" s="231">
        <v>11</v>
      </c>
      <c r="G123" s="232">
        <v>0.5</v>
      </c>
      <c r="H123" s="231">
        <v>0</v>
      </c>
      <c r="I123" s="232">
        <v>0</v>
      </c>
      <c r="J123" s="231">
        <v>0</v>
      </c>
      <c r="K123" s="232">
        <v>0</v>
      </c>
      <c r="L123" s="231">
        <v>0</v>
      </c>
      <c r="M123" s="232">
        <v>0</v>
      </c>
      <c r="N123" s="231">
        <v>0</v>
      </c>
      <c r="O123" s="232">
        <v>0</v>
      </c>
      <c r="P123" s="231">
        <v>0</v>
      </c>
      <c r="Q123" s="232">
        <v>0</v>
      </c>
      <c r="R123" s="231">
        <v>0</v>
      </c>
      <c r="S123" s="232">
        <v>0</v>
      </c>
      <c r="T123" s="231">
        <v>15</v>
      </c>
      <c r="U123" s="232">
        <v>0.13900000000000001</v>
      </c>
      <c r="V123" s="231">
        <v>50</v>
      </c>
      <c r="W123" s="232">
        <v>0.48399999999999999</v>
      </c>
      <c r="X123" s="231">
        <v>39</v>
      </c>
      <c r="Y123" s="232">
        <v>0.377</v>
      </c>
      <c r="Z123" s="231">
        <v>0</v>
      </c>
      <c r="AA123" s="232">
        <v>0</v>
      </c>
      <c r="AB123" s="231">
        <v>0</v>
      </c>
      <c r="AC123" s="232">
        <v>0</v>
      </c>
      <c r="AD123" s="231">
        <v>0</v>
      </c>
      <c r="AE123" s="232">
        <v>0</v>
      </c>
      <c r="AF123" s="231">
        <v>2383</v>
      </c>
      <c r="AG123" s="232">
        <v>0.21099999999999999</v>
      </c>
      <c r="AH123" s="231">
        <v>6712</v>
      </c>
      <c r="AI123" s="232">
        <v>0.59299999999999997</v>
      </c>
      <c r="AJ123" s="231">
        <v>2221</v>
      </c>
      <c r="AK123" s="232">
        <v>0.19600000000000001</v>
      </c>
      <c r="AL123" s="231">
        <v>0</v>
      </c>
      <c r="AM123" s="232">
        <v>0</v>
      </c>
      <c r="AN123" s="231">
        <v>0</v>
      </c>
      <c r="AO123" s="232">
        <v>0</v>
      </c>
      <c r="AP123" s="231">
        <v>0</v>
      </c>
      <c r="AQ123" s="232">
        <v>0</v>
      </c>
      <c r="AR123" s="231">
        <v>0</v>
      </c>
      <c r="AS123" s="232">
        <v>0</v>
      </c>
      <c r="AT123" s="231">
        <v>58</v>
      </c>
      <c r="AU123" s="232">
        <v>0.52600000000000002</v>
      </c>
      <c r="AV123" s="231">
        <v>52</v>
      </c>
      <c r="AW123" s="232">
        <v>0.47399999999999998</v>
      </c>
      <c r="AX123" s="231">
        <v>0</v>
      </c>
      <c r="AY123" s="232">
        <v>0</v>
      </c>
      <c r="AZ123" s="231">
        <v>0</v>
      </c>
      <c r="BA123" s="232">
        <v>0</v>
      </c>
      <c r="BB123" s="231">
        <v>0</v>
      </c>
      <c r="BC123" s="232">
        <v>0</v>
      </c>
      <c r="BD123" s="231">
        <v>0</v>
      </c>
      <c r="BE123" s="232">
        <v>0</v>
      </c>
      <c r="BF123" s="231">
        <v>0</v>
      </c>
      <c r="BG123" s="232">
        <v>0</v>
      </c>
      <c r="BH123" s="231">
        <v>0</v>
      </c>
      <c r="BI123" s="232">
        <v>0</v>
      </c>
      <c r="BJ123" s="231">
        <v>0</v>
      </c>
      <c r="BK123" s="232">
        <v>0</v>
      </c>
      <c r="BL123" s="231">
        <v>40</v>
      </c>
      <c r="BM123" s="232">
        <v>0.498</v>
      </c>
      <c r="BN123" s="231">
        <v>40</v>
      </c>
      <c r="BO123" s="232">
        <v>0.502</v>
      </c>
      <c r="BP123" s="231">
        <v>0</v>
      </c>
      <c r="BQ123" s="232">
        <v>0</v>
      </c>
      <c r="BR123" s="231">
        <v>0</v>
      </c>
      <c r="BS123" s="232">
        <v>0</v>
      </c>
      <c r="BT123" s="231">
        <v>0</v>
      </c>
      <c r="BU123" s="230">
        <v>0</v>
      </c>
    </row>
    <row r="124" spans="1:79" ht="15.75" customHeight="1" thickBot="1">
      <c r="A124" s="229" t="s">
        <v>0</v>
      </c>
      <c r="B124" s="228">
        <v>0</v>
      </c>
      <c r="C124" s="227">
        <v>0</v>
      </c>
      <c r="D124" s="226">
        <v>164</v>
      </c>
      <c r="E124" s="227">
        <v>0.745</v>
      </c>
      <c r="F124" s="226">
        <v>56</v>
      </c>
      <c r="G124" s="227">
        <v>0.255</v>
      </c>
      <c r="H124" s="226">
        <v>0</v>
      </c>
      <c r="I124" s="227">
        <v>0</v>
      </c>
      <c r="J124" s="226">
        <v>0</v>
      </c>
      <c r="K124" s="227">
        <v>0</v>
      </c>
      <c r="L124" s="226">
        <v>0</v>
      </c>
      <c r="M124" s="227">
        <v>0</v>
      </c>
      <c r="N124" s="226">
        <v>0</v>
      </c>
      <c r="O124" s="227">
        <v>0</v>
      </c>
      <c r="P124" s="226">
        <v>0</v>
      </c>
      <c r="Q124" s="227">
        <v>0</v>
      </c>
      <c r="R124" s="226">
        <v>0</v>
      </c>
      <c r="S124" s="227">
        <v>0</v>
      </c>
      <c r="T124" s="226">
        <v>56</v>
      </c>
      <c r="U124" s="227">
        <v>5.7000000000000002E-2</v>
      </c>
      <c r="V124" s="226">
        <v>663</v>
      </c>
      <c r="W124" s="227">
        <v>0.67600000000000005</v>
      </c>
      <c r="X124" s="226">
        <v>261</v>
      </c>
      <c r="Y124" s="227">
        <v>0.26600000000000001</v>
      </c>
      <c r="Z124" s="226">
        <v>0</v>
      </c>
      <c r="AA124" s="227">
        <v>0</v>
      </c>
      <c r="AB124" s="226">
        <v>0</v>
      </c>
      <c r="AC124" s="227">
        <v>0</v>
      </c>
      <c r="AD124" s="226">
        <v>0</v>
      </c>
      <c r="AE124" s="227">
        <v>0</v>
      </c>
      <c r="AF124" s="226">
        <v>11304</v>
      </c>
      <c r="AG124" s="227">
        <v>0.152</v>
      </c>
      <c r="AH124" s="226">
        <v>36560</v>
      </c>
      <c r="AI124" s="227">
        <v>0.49299999999999999</v>
      </c>
      <c r="AJ124" s="226">
        <v>26364</v>
      </c>
      <c r="AK124" s="227">
        <v>0.35499999999999998</v>
      </c>
      <c r="AL124" s="226">
        <v>0</v>
      </c>
      <c r="AM124" s="227">
        <v>0</v>
      </c>
      <c r="AN124" s="226">
        <v>0</v>
      </c>
      <c r="AO124" s="227">
        <v>0</v>
      </c>
      <c r="AP124" s="226">
        <v>0</v>
      </c>
      <c r="AQ124" s="227">
        <v>0</v>
      </c>
      <c r="AR124" s="226">
        <v>96</v>
      </c>
      <c r="AS124" s="227">
        <v>0.21299999999999999</v>
      </c>
      <c r="AT124" s="226">
        <v>90</v>
      </c>
      <c r="AU124" s="227">
        <v>0.20100000000000001</v>
      </c>
      <c r="AV124" s="226">
        <v>263</v>
      </c>
      <c r="AW124" s="227">
        <v>0.58599999999999997</v>
      </c>
      <c r="AX124" s="226">
        <v>0</v>
      </c>
      <c r="AY124" s="227">
        <v>0</v>
      </c>
      <c r="AZ124" s="226">
        <v>0</v>
      </c>
      <c r="BA124" s="227">
        <v>0</v>
      </c>
      <c r="BB124" s="226">
        <v>0</v>
      </c>
      <c r="BC124" s="227">
        <v>0</v>
      </c>
      <c r="BD124" s="226">
        <v>0</v>
      </c>
      <c r="BE124" s="227">
        <v>0</v>
      </c>
      <c r="BF124" s="226">
        <v>0</v>
      </c>
      <c r="BG124" s="227">
        <v>0</v>
      </c>
      <c r="BH124" s="226">
        <v>0</v>
      </c>
      <c r="BI124" s="227">
        <v>0</v>
      </c>
      <c r="BJ124" s="226">
        <v>44</v>
      </c>
      <c r="BK124" s="227">
        <v>3.3000000000000002E-2</v>
      </c>
      <c r="BL124" s="226">
        <v>717</v>
      </c>
      <c r="BM124" s="227">
        <v>0.53200000000000003</v>
      </c>
      <c r="BN124" s="226">
        <v>587</v>
      </c>
      <c r="BO124" s="227">
        <v>0.436</v>
      </c>
      <c r="BP124" s="226">
        <v>0</v>
      </c>
      <c r="BQ124" s="227">
        <v>0</v>
      </c>
      <c r="BR124" s="226">
        <v>72</v>
      </c>
      <c r="BS124" s="227">
        <v>1</v>
      </c>
      <c r="BT124" s="226">
        <v>0</v>
      </c>
      <c r="BU124" s="225">
        <v>0</v>
      </c>
    </row>
    <row r="125" spans="1:79" s="205" customFormat="1">
      <c r="B125" s="207"/>
      <c r="C125" s="206"/>
      <c r="D125" s="207"/>
      <c r="E125" s="206"/>
      <c r="F125" s="207"/>
      <c r="G125" s="206"/>
      <c r="H125" s="207"/>
      <c r="I125" s="206"/>
      <c r="J125" s="207"/>
      <c r="K125" s="206"/>
      <c r="L125" s="207"/>
      <c r="M125" s="206"/>
      <c r="N125" s="207"/>
      <c r="O125" s="206"/>
      <c r="P125" s="207"/>
      <c r="Q125" s="206"/>
      <c r="R125" s="207"/>
      <c r="S125" s="206"/>
      <c r="T125" s="207"/>
      <c r="U125" s="206"/>
      <c r="V125" s="207"/>
      <c r="W125" s="206"/>
      <c r="X125" s="207"/>
      <c r="Y125" s="206"/>
      <c r="Z125" s="207"/>
      <c r="AA125" s="206"/>
      <c r="AB125" s="207"/>
      <c r="AC125" s="206"/>
      <c r="AD125" s="207"/>
      <c r="AE125" s="206"/>
      <c r="AF125" s="207"/>
      <c r="AG125" s="206"/>
      <c r="AH125" s="207"/>
      <c r="AI125" s="206"/>
      <c r="AJ125" s="207"/>
      <c r="AK125" s="206"/>
      <c r="AL125" s="207"/>
      <c r="AM125" s="206"/>
      <c r="AN125" s="207"/>
      <c r="AO125" s="206"/>
      <c r="AP125" s="207"/>
      <c r="AQ125" s="206"/>
      <c r="AR125" s="207"/>
      <c r="AS125" s="206"/>
      <c r="AT125" s="207"/>
      <c r="AU125" s="206"/>
      <c r="AV125" s="207"/>
      <c r="AW125" s="206"/>
      <c r="AX125" s="207"/>
      <c r="AY125" s="206"/>
      <c r="AZ125" s="207"/>
      <c r="BA125" s="206"/>
      <c r="BB125" s="207"/>
      <c r="BC125" s="206"/>
      <c r="BD125" s="207"/>
      <c r="BE125" s="206"/>
      <c r="BF125" s="207"/>
      <c r="BG125" s="206"/>
      <c r="BH125" s="207"/>
      <c r="BI125" s="206"/>
      <c r="BJ125" s="207"/>
      <c r="BK125" s="206"/>
      <c r="BL125" s="207"/>
      <c r="BM125" s="206"/>
      <c r="BN125" s="207"/>
      <c r="BO125" s="206"/>
      <c r="BP125" s="207"/>
      <c r="BQ125" s="206"/>
      <c r="BR125" s="207"/>
      <c r="BS125" s="206"/>
      <c r="BT125" s="207"/>
      <c r="BU125" s="206"/>
      <c r="BV125" s="207"/>
      <c r="BW125" s="206"/>
      <c r="BX125" s="207"/>
      <c r="BY125" s="206"/>
      <c r="BZ125" s="207"/>
      <c r="CA125" s="206"/>
    </row>
    <row r="126" spans="1:79" s="205" customFormat="1" ht="15.75" thickBot="1">
      <c r="B126" s="207"/>
      <c r="C126" s="206"/>
      <c r="D126" s="207"/>
      <c r="E126" s="206"/>
      <c r="F126" s="207"/>
      <c r="G126" s="206"/>
      <c r="H126" s="207"/>
      <c r="I126" s="206"/>
      <c r="J126" s="207"/>
      <c r="K126" s="206"/>
      <c r="L126" s="207"/>
      <c r="M126" s="206"/>
      <c r="N126" s="207"/>
      <c r="O126" s="206"/>
      <c r="P126" s="207"/>
      <c r="Q126" s="206"/>
      <c r="R126" s="207"/>
      <c r="S126" s="206"/>
      <c r="T126" s="207"/>
      <c r="U126" s="206"/>
      <c r="V126" s="207"/>
      <c r="W126" s="206"/>
      <c r="X126" s="207"/>
      <c r="Y126" s="206"/>
      <c r="Z126" s="207"/>
      <c r="AA126" s="206"/>
      <c r="AB126" s="207"/>
      <c r="AC126" s="206"/>
      <c r="AD126" s="207"/>
      <c r="AE126" s="206"/>
      <c r="AF126" s="207"/>
      <c r="AG126" s="206"/>
      <c r="AH126" s="207"/>
      <c r="AI126" s="206"/>
      <c r="AJ126" s="207"/>
      <c r="AK126" s="206"/>
      <c r="AL126" s="207"/>
      <c r="AM126" s="206"/>
      <c r="AN126" s="207"/>
      <c r="AO126" s="206"/>
      <c r="AP126" s="207"/>
      <c r="AQ126" s="206"/>
      <c r="AR126" s="207"/>
      <c r="AS126" s="206"/>
      <c r="AT126" s="207"/>
      <c r="AU126" s="206"/>
      <c r="AV126" s="207"/>
      <c r="AW126" s="206"/>
      <c r="AX126" s="207"/>
      <c r="AY126" s="206"/>
      <c r="AZ126" s="207"/>
      <c r="BA126" s="206"/>
      <c r="BB126" s="207"/>
      <c r="BC126" s="206"/>
      <c r="BD126" s="207"/>
      <c r="BE126" s="206"/>
      <c r="BF126" s="207"/>
      <c r="BG126" s="206"/>
      <c r="BH126" s="207"/>
      <c r="BI126" s="206"/>
      <c r="BJ126" s="207"/>
      <c r="BK126" s="206"/>
      <c r="BL126" s="207"/>
      <c r="BM126" s="206"/>
      <c r="BN126" s="207"/>
      <c r="BO126" s="206"/>
      <c r="BP126" s="207"/>
      <c r="BQ126" s="206"/>
      <c r="BR126" s="207"/>
      <c r="BS126" s="206"/>
      <c r="BT126" s="207"/>
      <c r="BU126" s="206"/>
      <c r="BV126" s="207"/>
      <c r="BW126" s="206"/>
      <c r="BX126" s="207"/>
      <c r="BY126" s="206"/>
      <c r="BZ126" s="207"/>
      <c r="CA126" s="206"/>
    </row>
    <row r="127" spans="1:79" s="205" customFormat="1">
      <c r="A127" s="737" t="s">
        <v>276</v>
      </c>
      <c r="B127" s="746" t="s">
        <v>275</v>
      </c>
      <c r="C127" s="747"/>
      <c r="D127" s="747"/>
      <c r="E127" s="747"/>
      <c r="F127" s="747"/>
      <c r="G127" s="691"/>
      <c r="H127" s="746" t="s">
        <v>274</v>
      </c>
      <c r="I127" s="747"/>
      <c r="J127" s="747"/>
      <c r="K127" s="747"/>
      <c r="L127" s="747"/>
      <c r="M127" s="691"/>
      <c r="N127" s="746" t="s">
        <v>273</v>
      </c>
      <c r="O127" s="747"/>
      <c r="P127" s="747"/>
      <c r="Q127" s="747"/>
      <c r="R127" s="747"/>
      <c r="S127" s="691"/>
      <c r="T127" s="746" t="s">
        <v>272</v>
      </c>
      <c r="U127" s="747"/>
      <c r="V127" s="747"/>
      <c r="W127" s="747"/>
      <c r="X127" s="747"/>
      <c r="Y127" s="691"/>
      <c r="Z127" s="746" t="s">
        <v>271</v>
      </c>
      <c r="AA127" s="747"/>
      <c r="AB127" s="747"/>
      <c r="AC127" s="747"/>
      <c r="AD127" s="747"/>
      <c r="AE127" s="691"/>
      <c r="AF127" s="746" t="s">
        <v>270</v>
      </c>
      <c r="AG127" s="747"/>
      <c r="AH127" s="747"/>
      <c r="AI127" s="747"/>
      <c r="AJ127" s="747"/>
      <c r="AK127" s="691"/>
      <c r="AL127" s="746" t="s">
        <v>269</v>
      </c>
      <c r="AM127" s="747"/>
      <c r="AN127" s="747"/>
      <c r="AO127" s="747"/>
      <c r="AP127" s="747"/>
      <c r="AQ127" s="691"/>
      <c r="AR127" s="746" t="s">
        <v>268</v>
      </c>
      <c r="AS127" s="747"/>
      <c r="AT127" s="747"/>
      <c r="AU127" s="747"/>
      <c r="AV127" s="747"/>
      <c r="AW127" s="691"/>
      <c r="AX127" s="746" t="s">
        <v>267</v>
      </c>
      <c r="AY127" s="747"/>
      <c r="AZ127" s="747"/>
      <c r="BA127" s="747"/>
      <c r="BB127" s="747"/>
      <c r="BC127" s="691"/>
      <c r="BD127" s="746" t="s">
        <v>266</v>
      </c>
      <c r="BE127" s="747"/>
      <c r="BF127" s="747"/>
      <c r="BG127" s="747"/>
      <c r="BH127" s="747"/>
      <c r="BI127" s="691"/>
      <c r="BJ127" s="746" t="s">
        <v>265</v>
      </c>
      <c r="BK127" s="747"/>
      <c r="BL127" s="747"/>
      <c r="BM127" s="747"/>
      <c r="BN127" s="747"/>
      <c r="BO127" s="691"/>
      <c r="BP127" s="746" t="s">
        <v>264</v>
      </c>
      <c r="BQ127" s="747"/>
      <c r="BR127" s="747"/>
      <c r="BS127" s="747"/>
      <c r="BT127" s="747"/>
      <c r="BU127" s="751"/>
      <c r="BV127" s="207"/>
      <c r="BW127" s="206"/>
      <c r="BX127" s="207"/>
      <c r="BY127" s="206"/>
      <c r="BZ127" s="207"/>
      <c r="CA127" s="206"/>
    </row>
    <row r="128" spans="1:79" s="205" customFormat="1" ht="33" customHeight="1">
      <c r="A128" s="738"/>
      <c r="B128" s="748" t="s">
        <v>277</v>
      </c>
      <c r="C128" s="749"/>
      <c r="D128" s="749"/>
      <c r="E128" s="749"/>
      <c r="F128" s="749"/>
      <c r="G128" s="740"/>
      <c r="H128" s="748" t="s">
        <v>277</v>
      </c>
      <c r="I128" s="749"/>
      <c r="J128" s="749"/>
      <c r="K128" s="749"/>
      <c r="L128" s="749"/>
      <c r="M128" s="740"/>
      <c r="N128" s="748" t="s">
        <v>277</v>
      </c>
      <c r="O128" s="749"/>
      <c r="P128" s="749"/>
      <c r="Q128" s="749"/>
      <c r="R128" s="749"/>
      <c r="S128" s="740"/>
      <c r="T128" s="748" t="s">
        <v>277</v>
      </c>
      <c r="U128" s="749"/>
      <c r="V128" s="749"/>
      <c r="W128" s="749"/>
      <c r="X128" s="749"/>
      <c r="Y128" s="740"/>
      <c r="Z128" s="748" t="s">
        <v>277</v>
      </c>
      <c r="AA128" s="749"/>
      <c r="AB128" s="749"/>
      <c r="AC128" s="749"/>
      <c r="AD128" s="749"/>
      <c r="AE128" s="740"/>
      <c r="AF128" s="748" t="s">
        <v>277</v>
      </c>
      <c r="AG128" s="749"/>
      <c r="AH128" s="749"/>
      <c r="AI128" s="749"/>
      <c r="AJ128" s="749"/>
      <c r="AK128" s="740"/>
      <c r="AL128" s="748" t="s">
        <v>277</v>
      </c>
      <c r="AM128" s="749"/>
      <c r="AN128" s="749"/>
      <c r="AO128" s="749"/>
      <c r="AP128" s="749"/>
      <c r="AQ128" s="740"/>
      <c r="AR128" s="748" t="s">
        <v>277</v>
      </c>
      <c r="AS128" s="749"/>
      <c r="AT128" s="749"/>
      <c r="AU128" s="749"/>
      <c r="AV128" s="749"/>
      <c r="AW128" s="740"/>
      <c r="AX128" s="748" t="s">
        <v>277</v>
      </c>
      <c r="AY128" s="749"/>
      <c r="AZ128" s="749"/>
      <c r="BA128" s="749"/>
      <c r="BB128" s="749"/>
      <c r="BC128" s="740"/>
      <c r="BD128" s="748" t="s">
        <v>277</v>
      </c>
      <c r="BE128" s="749"/>
      <c r="BF128" s="749"/>
      <c r="BG128" s="749"/>
      <c r="BH128" s="749"/>
      <c r="BI128" s="740"/>
      <c r="BJ128" s="748" t="s">
        <v>277</v>
      </c>
      <c r="BK128" s="749"/>
      <c r="BL128" s="749"/>
      <c r="BM128" s="749"/>
      <c r="BN128" s="749"/>
      <c r="BO128" s="740"/>
      <c r="BP128" s="748" t="s">
        <v>277</v>
      </c>
      <c r="BQ128" s="749"/>
      <c r="BR128" s="749"/>
      <c r="BS128" s="749"/>
      <c r="BT128" s="749"/>
      <c r="BU128" s="750"/>
      <c r="BV128" s="207"/>
      <c r="BW128" s="206"/>
      <c r="BX128" s="207"/>
      <c r="BY128" s="206"/>
      <c r="BZ128" s="207"/>
      <c r="CA128" s="206"/>
    </row>
    <row r="129" spans="1:79" s="205" customFormat="1">
      <c r="A129" s="738"/>
      <c r="B129" s="569" t="s">
        <v>30</v>
      </c>
      <c r="C129" s="569"/>
      <c r="D129" s="569" t="s">
        <v>29</v>
      </c>
      <c r="E129" s="569"/>
      <c r="F129" s="569" t="s">
        <v>28</v>
      </c>
      <c r="G129" s="569"/>
      <c r="H129" s="569" t="s">
        <v>30</v>
      </c>
      <c r="I129" s="569"/>
      <c r="J129" s="569" t="s">
        <v>29</v>
      </c>
      <c r="K129" s="569"/>
      <c r="L129" s="569" t="s">
        <v>28</v>
      </c>
      <c r="M129" s="569"/>
      <c r="N129" s="569" t="s">
        <v>30</v>
      </c>
      <c r="O129" s="569"/>
      <c r="P129" s="569" t="s">
        <v>29</v>
      </c>
      <c r="Q129" s="569"/>
      <c r="R129" s="569" t="s">
        <v>28</v>
      </c>
      <c r="S129" s="569"/>
      <c r="T129" s="569" t="s">
        <v>30</v>
      </c>
      <c r="U129" s="569"/>
      <c r="V129" s="569" t="s">
        <v>29</v>
      </c>
      <c r="W129" s="569"/>
      <c r="X129" s="569" t="s">
        <v>28</v>
      </c>
      <c r="Y129" s="569"/>
      <c r="Z129" s="569" t="s">
        <v>30</v>
      </c>
      <c r="AA129" s="569"/>
      <c r="AB129" s="569" t="s">
        <v>29</v>
      </c>
      <c r="AC129" s="569"/>
      <c r="AD129" s="569" t="s">
        <v>28</v>
      </c>
      <c r="AE129" s="569"/>
      <c r="AF129" s="569" t="s">
        <v>30</v>
      </c>
      <c r="AG129" s="569"/>
      <c r="AH129" s="569" t="s">
        <v>29</v>
      </c>
      <c r="AI129" s="569"/>
      <c r="AJ129" s="569" t="s">
        <v>28</v>
      </c>
      <c r="AK129" s="569"/>
      <c r="AL129" s="569" t="s">
        <v>30</v>
      </c>
      <c r="AM129" s="569"/>
      <c r="AN129" s="569" t="s">
        <v>29</v>
      </c>
      <c r="AO129" s="569"/>
      <c r="AP129" s="569" t="s">
        <v>28</v>
      </c>
      <c r="AQ129" s="569"/>
      <c r="AR129" s="569" t="s">
        <v>30</v>
      </c>
      <c r="AS129" s="569"/>
      <c r="AT129" s="569" t="s">
        <v>29</v>
      </c>
      <c r="AU129" s="569"/>
      <c r="AV129" s="569" t="s">
        <v>28</v>
      </c>
      <c r="AW129" s="569"/>
      <c r="AX129" s="569" t="s">
        <v>30</v>
      </c>
      <c r="AY129" s="569"/>
      <c r="AZ129" s="569" t="s">
        <v>29</v>
      </c>
      <c r="BA129" s="569"/>
      <c r="BB129" s="569" t="s">
        <v>28</v>
      </c>
      <c r="BC129" s="569"/>
      <c r="BD129" s="569" t="s">
        <v>30</v>
      </c>
      <c r="BE129" s="569"/>
      <c r="BF129" s="569" t="s">
        <v>29</v>
      </c>
      <c r="BG129" s="569"/>
      <c r="BH129" s="569" t="s">
        <v>28</v>
      </c>
      <c r="BI129" s="569"/>
      <c r="BJ129" s="569" t="s">
        <v>30</v>
      </c>
      <c r="BK129" s="569"/>
      <c r="BL129" s="569" t="s">
        <v>29</v>
      </c>
      <c r="BM129" s="569"/>
      <c r="BN129" s="569" t="s">
        <v>28</v>
      </c>
      <c r="BO129" s="569"/>
      <c r="BP129" s="569" t="s">
        <v>30</v>
      </c>
      <c r="BQ129" s="569"/>
      <c r="BR129" s="569" t="s">
        <v>29</v>
      </c>
      <c r="BS129" s="569"/>
      <c r="BT129" s="569" t="s">
        <v>28</v>
      </c>
      <c r="BU129" s="593"/>
      <c r="BV129" s="207"/>
      <c r="BW129" s="206"/>
      <c r="BX129" s="207"/>
      <c r="BY129" s="206"/>
      <c r="BZ129" s="207"/>
      <c r="CA129" s="206"/>
    </row>
    <row r="130" spans="1:79" s="205" customFormat="1" ht="15.75" thickBot="1">
      <c r="A130" s="738"/>
      <c r="B130" s="224" t="s">
        <v>7</v>
      </c>
      <c r="C130" s="224" t="s">
        <v>8</v>
      </c>
      <c r="D130" s="224" t="s">
        <v>7</v>
      </c>
      <c r="E130" s="224" t="s">
        <v>8</v>
      </c>
      <c r="F130" s="224" t="s">
        <v>7</v>
      </c>
      <c r="G130" s="224" t="s">
        <v>8</v>
      </c>
      <c r="H130" s="224" t="s">
        <v>7</v>
      </c>
      <c r="I130" s="224" t="s">
        <v>8</v>
      </c>
      <c r="J130" s="224" t="s">
        <v>7</v>
      </c>
      <c r="K130" s="224" t="s">
        <v>8</v>
      </c>
      <c r="L130" s="224" t="s">
        <v>7</v>
      </c>
      <c r="M130" s="224" t="s">
        <v>8</v>
      </c>
      <c r="N130" s="224" t="s">
        <v>7</v>
      </c>
      <c r="O130" s="224" t="s">
        <v>8</v>
      </c>
      <c r="P130" s="224" t="s">
        <v>7</v>
      </c>
      <c r="Q130" s="224" t="s">
        <v>8</v>
      </c>
      <c r="R130" s="224" t="s">
        <v>7</v>
      </c>
      <c r="S130" s="224" t="s">
        <v>8</v>
      </c>
      <c r="T130" s="224" t="s">
        <v>7</v>
      </c>
      <c r="U130" s="224" t="s">
        <v>8</v>
      </c>
      <c r="V130" s="224" t="s">
        <v>7</v>
      </c>
      <c r="W130" s="224" t="s">
        <v>8</v>
      </c>
      <c r="X130" s="224" t="s">
        <v>7</v>
      </c>
      <c r="Y130" s="224" t="s">
        <v>8</v>
      </c>
      <c r="Z130" s="224" t="s">
        <v>7</v>
      </c>
      <c r="AA130" s="224" t="s">
        <v>8</v>
      </c>
      <c r="AB130" s="224" t="s">
        <v>7</v>
      </c>
      <c r="AC130" s="224" t="s">
        <v>8</v>
      </c>
      <c r="AD130" s="224" t="s">
        <v>7</v>
      </c>
      <c r="AE130" s="224" t="s">
        <v>8</v>
      </c>
      <c r="AF130" s="224" t="s">
        <v>7</v>
      </c>
      <c r="AG130" s="224" t="s">
        <v>8</v>
      </c>
      <c r="AH130" s="224" t="s">
        <v>7</v>
      </c>
      <c r="AI130" s="224" t="s">
        <v>8</v>
      </c>
      <c r="AJ130" s="224" t="s">
        <v>7</v>
      </c>
      <c r="AK130" s="224" t="s">
        <v>8</v>
      </c>
      <c r="AL130" s="224" t="s">
        <v>7</v>
      </c>
      <c r="AM130" s="224" t="s">
        <v>8</v>
      </c>
      <c r="AN130" s="224" t="s">
        <v>7</v>
      </c>
      <c r="AO130" s="224" t="s">
        <v>8</v>
      </c>
      <c r="AP130" s="224" t="s">
        <v>7</v>
      </c>
      <c r="AQ130" s="224" t="s">
        <v>8</v>
      </c>
      <c r="AR130" s="224" t="s">
        <v>7</v>
      </c>
      <c r="AS130" s="224" t="s">
        <v>8</v>
      </c>
      <c r="AT130" s="224" t="s">
        <v>7</v>
      </c>
      <c r="AU130" s="224" t="s">
        <v>8</v>
      </c>
      <c r="AV130" s="224" t="s">
        <v>7</v>
      </c>
      <c r="AW130" s="224" t="s">
        <v>8</v>
      </c>
      <c r="AX130" s="224" t="s">
        <v>7</v>
      </c>
      <c r="AY130" s="224" t="s">
        <v>8</v>
      </c>
      <c r="AZ130" s="224" t="s">
        <v>7</v>
      </c>
      <c r="BA130" s="224" t="s">
        <v>8</v>
      </c>
      <c r="BB130" s="224" t="s">
        <v>7</v>
      </c>
      <c r="BC130" s="224" t="s">
        <v>8</v>
      </c>
      <c r="BD130" s="224" t="s">
        <v>7</v>
      </c>
      <c r="BE130" s="224" t="s">
        <v>8</v>
      </c>
      <c r="BF130" s="224" t="s">
        <v>7</v>
      </c>
      <c r="BG130" s="224" t="s">
        <v>8</v>
      </c>
      <c r="BH130" s="224" t="s">
        <v>7</v>
      </c>
      <c r="BI130" s="224" t="s">
        <v>8</v>
      </c>
      <c r="BJ130" s="224" t="s">
        <v>7</v>
      </c>
      <c r="BK130" s="224" t="s">
        <v>8</v>
      </c>
      <c r="BL130" s="224" t="s">
        <v>7</v>
      </c>
      <c r="BM130" s="224" t="s">
        <v>8</v>
      </c>
      <c r="BN130" s="224" t="s">
        <v>7</v>
      </c>
      <c r="BO130" s="224" t="s">
        <v>8</v>
      </c>
      <c r="BP130" s="224" t="s">
        <v>7</v>
      </c>
      <c r="BQ130" s="224" t="s">
        <v>8</v>
      </c>
      <c r="BR130" s="224" t="s">
        <v>7</v>
      </c>
      <c r="BS130" s="224" t="s">
        <v>8</v>
      </c>
      <c r="BT130" s="224" t="s">
        <v>7</v>
      </c>
      <c r="BU130" s="223" t="s">
        <v>8</v>
      </c>
      <c r="BV130" s="207"/>
      <c r="BW130" s="206"/>
      <c r="BX130" s="207"/>
      <c r="BY130" s="206"/>
      <c r="BZ130" s="207"/>
      <c r="CA130" s="206"/>
    </row>
    <row r="131" spans="1:79" s="205" customFormat="1">
      <c r="A131" s="219" t="s">
        <v>5</v>
      </c>
      <c r="B131" s="217">
        <v>72</v>
      </c>
      <c r="C131" s="218">
        <v>0.27100000000000002</v>
      </c>
      <c r="D131" s="217">
        <v>94</v>
      </c>
      <c r="E131" s="218">
        <v>0.35399999999999998</v>
      </c>
      <c r="F131" s="217">
        <v>99</v>
      </c>
      <c r="G131" s="218">
        <v>0.374</v>
      </c>
      <c r="H131" s="217">
        <v>0</v>
      </c>
      <c r="I131" s="218">
        <v>0</v>
      </c>
      <c r="J131" s="217">
        <v>6</v>
      </c>
      <c r="K131" s="218">
        <v>1</v>
      </c>
      <c r="L131" s="217">
        <v>0</v>
      </c>
      <c r="M131" s="218">
        <v>0</v>
      </c>
      <c r="N131" s="217">
        <v>87</v>
      </c>
      <c r="O131" s="218">
        <v>1</v>
      </c>
      <c r="P131" s="217">
        <v>0</v>
      </c>
      <c r="Q131" s="218">
        <v>0</v>
      </c>
      <c r="R131" s="217">
        <v>0</v>
      </c>
      <c r="S131" s="218">
        <v>0</v>
      </c>
      <c r="T131" s="217">
        <v>146</v>
      </c>
      <c r="U131" s="218">
        <v>0.10299999999999999</v>
      </c>
      <c r="V131" s="217">
        <v>631</v>
      </c>
      <c r="W131" s="218">
        <v>0.44400000000000001</v>
      </c>
      <c r="X131" s="217">
        <v>644</v>
      </c>
      <c r="Y131" s="218">
        <v>0.45300000000000001</v>
      </c>
      <c r="Z131" s="217">
        <v>0</v>
      </c>
      <c r="AA131" s="218">
        <v>0</v>
      </c>
      <c r="AB131" s="217">
        <v>18</v>
      </c>
      <c r="AC131" s="218">
        <v>1</v>
      </c>
      <c r="AD131" s="217">
        <v>0</v>
      </c>
      <c r="AE131" s="218">
        <v>0</v>
      </c>
      <c r="AF131" s="217">
        <v>13738</v>
      </c>
      <c r="AG131" s="218">
        <v>9.2999999999999999E-2</v>
      </c>
      <c r="AH131" s="217">
        <v>80892</v>
      </c>
      <c r="AI131" s="218">
        <v>0.55000000000000004</v>
      </c>
      <c r="AJ131" s="217">
        <v>52570</v>
      </c>
      <c r="AK131" s="218">
        <v>0.35699999999999998</v>
      </c>
      <c r="AL131" s="217">
        <v>6</v>
      </c>
      <c r="AM131" s="218">
        <v>3.7999999999999999E-2</v>
      </c>
      <c r="AN131" s="217">
        <v>46</v>
      </c>
      <c r="AO131" s="218">
        <v>0.28499999999999998</v>
      </c>
      <c r="AP131" s="217">
        <v>109</v>
      </c>
      <c r="AQ131" s="218">
        <v>0.67700000000000005</v>
      </c>
      <c r="AR131" s="217">
        <v>5</v>
      </c>
      <c r="AS131" s="218">
        <v>5.0000000000000001E-3</v>
      </c>
      <c r="AT131" s="217">
        <v>153</v>
      </c>
      <c r="AU131" s="218">
        <v>0.16900000000000001</v>
      </c>
      <c r="AV131" s="217">
        <v>750</v>
      </c>
      <c r="AW131" s="218">
        <v>0.82599999999999996</v>
      </c>
      <c r="AX131" s="217">
        <v>7</v>
      </c>
      <c r="AY131" s="218">
        <v>1</v>
      </c>
      <c r="AZ131" s="217">
        <v>0</v>
      </c>
      <c r="BA131" s="218">
        <v>0</v>
      </c>
      <c r="BB131" s="217">
        <v>0</v>
      </c>
      <c r="BC131" s="218">
        <v>0</v>
      </c>
      <c r="BD131" s="217">
        <v>90</v>
      </c>
      <c r="BE131" s="218">
        <v>1</v>
      </c>
      <c r="BF131" s="217">
        <v>0</v>
      </c>
      <c r="BG131" s="218">
        <v>0</v>
      </c>
      <c r="BH131" s="217">
        <v>0</v>
      </c>
      <c r="BI131" s="218">
        <v>0</v>
      </c>
      <c r="BJ131" s="217">
        <v>131</v>
      </c>
      <c r="BK131" s="218">
        <v>8.2000000000000003E-2</v>
      </c>
      <c r="BL131" s="217">
        <v>579</v>
      </c>
      <c r="BM131" s="218">
        <v>0.36099999999999999</v>
      </c>
      <c r="BN131" s="217">
        <v>896</v>
      </c>
      <c r="BO131" s="218">
        <v>0.55800000000000005</v>
      </c>
      <c r="BP131" s="217">
        <v>0</v>
      </c>
      <c r="BQ131" s="218">
        <v>0</v>
      </c>
      <c r="BR131" s="217">
        <v>0</v>
      </c>
      <c r="BS131" s="218">
        <v>0</v>
      </c>
      <c r="BT131" s="217">
        <v>0</v>
      </c>
      <c r="BU131" s="216">
        <v>0</v>
      </c>
      <c r="BV131" s="207"/>
      <c r="BW131" s="206"/>
      <c r="BX131" s="207"/>
      <c r="BY131" s="206"/>
      <c r="BZ131" s="207"/>
      <c r="CA131" s="206"/>
    </row>
    <row r="132" spans="1:79" s="205" customFormat="1">
      <c r="A132" s="160" t="s">
        <v>2</v>
      </c>
      <c r="B132" s="214">
        <v>6</v>
      </c>
      <c r="C132" s="215">
        <v>0.21199999999999999</v>
      </c>
      <c r="D132" s="214">
        <v>13</v>
      </c>
      <c r="E132" s="215">
        <v>0.45600000000000002</v>
      </c>
      <c r="F132" s="214">
        <v>10</v>
      </c>
      <c r="G132" s="215">
        <v>0.33200000000000002</v>
      </c>
      <c r="H132" s="214">
        <v>0</v>
      </c>
      <c r="I132" s="215">
        <v>0</v>
      </c>
      <c r="J132" s="214">
        <v>6</v>
      </c>
      <c r="K132" s="215">
        <v>1</v>
      </c>
      <c r="L132" s="214">
        <v>0</v>
      </c>
      <c r="M132" s="215">
        <v>0</v>
      </c>
      <c r="N132" s="214">
        <v>0</v>
      </c>
      <c r="O132" s="215">
        <v>0</v>
      </c>
      <c r="P132" s="214">
        <v>0</v>
      </c>
      <c r="Q132" s="215">
        <v>0</v>
      </c>
      <c r="R132" s="214">
        <v>0</v>
      </c>
      <c r="S132" s="215">
        <v>0</v>
      </c>
      <c r="T132" s="214">
        <v>6</v>
      </c>
      <c r="U132" s="215">
        <v>6.9000000000000006E-2</v>
      </c>
      <c r="V132" s="214">
        <v>44</v>
      </c>
      <c r="W132" s="215">
        <v>0.501</v>
      </c>
      <c r="X132" s="214">
        <v>38</v>
      </c>
      <c r="Y132" s="215">
        <v>0.42899999999999999</v>
      </c>
      <c r="Z132" s="214">
        <v>0</v>
      </c>
      <c r="AA132" s="215">
        <v>0</v>
      </c>
      <c r="AB132" s="214">
        <v>0</v>
      </c>
      <c r="AC132" s="215">
        <v>0</v>
      </c>
      <c r="AD132" s="214">
        <v>0</v>
      </c>
      <c r="AE132" s="215">
        <v>0</v>
      </c>
      <c r="AF132" s="214">
        <v>762</v>
      </c>
      <c r="AG132" s="215">
        <v>0.127</v>
      </c>
      <c r="AH132" s="214">
        <v>3841</v>
      </c>
      <c r="AI132" s="215">
        <v>0.63900000000000001</v>
      </c>
      <c r="AJ132" s="214">
        <v>1408</v>
      </c>
      <c r="AK132" s="215">
        <v>0.23400000000000001</v>
      </c>
      <c r="AL132" s="214">
        <v>6</v>
      </c>
      <c r="AM132" s="215">
        <v>0.40799999999999997</v>
      </c>
      <c r="AN132" s="214">
        <v>0</v>
      </c>
      <c r="AO132" s="215">
        <v>0</v>
      </c>
      <c r="AP132" s="214">
        <v>9</v>
      </c>
      <c r="AQ132" s="215">
        <v>0.59199999999999997</v>
      </c>
      <c r="AR132" s="214">
        <v>5</v>
      </c>
      <c r="AS132" s="215">
        <v>0.16300000000000001</v>
      </c>
      <c r="AT132" s="214">
        <v>14</v>
      </c>
      <c r="AU132" s="215">
        <v>0.46400000000000002</v>
      </c>
      <c r="AV132" s="214">
        <v>11</v>
      </c>
      <c r="AW132" s="215">
        <v>0.372</v>
      </c>
      <c r="AX132" s="214">
        <v>7</v>
      </c>
      <c r="AY132" s="215">
        <v>1</v>
      </c>
      <c r="AZ132" s="214">
        <v>0</v>
      </c>
      <c r="BA132" s="215">
        <v>0</v>
      </c>
      <c r="BB132" s="214">
        <v>0</v>
      </c>
      <c r="BC132" s="215">
        <v>0</v>
      </c>
      <c r="BD132" s="214">
        <v>0</v>
      </c>
      <c r="BE132" s="215">
        <v>0</v>
      </c>
      <c r="BF132" s="214">
        <v>0</v>
      </c>
      <c r="BG132" s="215">
        <v>0</v>
      </c>
      <c r="BH132" s="214">
        <v>0</v>
      </c>
      <c r="BI132" s="215">
        <v>0</v>
      </c>
      <c r="BJ132" s="214">
        <v>0</v>
      </c>
      <c r="BK132" s="215">
        <v>0</v>
      </c>
      <c r="BL132" s="214">
        <v>41</v>
      </c>
      <c r="BM132" s="215">
        <v>0.40699999999999997</v>
      </c>
      <c r="BN132" s="214">
        <v>60</v>
      </c>
      <c r="BO132" s="215">
        <v>0.59299999999999997</v>
      </c>
      <c r="BP132" s="214">
        <v>0</v>
      </c>
      <c r="BQ132" s="215">
        <v>0</v>
      </c>
      <c r="BR132" s="214">
        <v>0</v>
      </c>
      <c r="BS132" s="215">
        <v>0</v>
      </c>
      <c r="BT132" s="214">
        <v>0</v>
      </c>
      <c r="BU132" s="213">
        <v>0</v>
      </c>
      <c r="BV132" s="207"/>
      <c r="BW132" s="206"/>
      <c r="BX132" s="207"/>
      <c r="BY132" s="206"/>
      <c r="BZ132" s="207"/>
      <c r="CA132" s="206"/>
    </row>
    <row r="133" spans="1:79" s="205" customFormat="1">
      <c r="A133" s="160" t="s">
        <v>1</v>
      </c>
      <c r="B133" s="214">
        <v>0</v>
      </c>
      <c r="C133" s="215">
        <v>0</v>
      </c>
      <c r="D133" s="214">
        <v>81</v>
      </c>
      <c r="E133" s="215">
        <v>1</v>
      </c>
      <c r="F133" s="214">
        <v>0</v>
      </c>
      <c r="G133" s="215">
        <v>0</v>
      </c>
      <c r="H133" s="214">
        <v>0</v>
      </c>
      <c r="I133" s="215">
        <v>0</v>
      </c>
      <c r="J133" s="214">
        <v>0</v>
      </c>
      <c r="K133" s="215">
        <v>0</v>
      </c>
      <c r="L133" s="214">
        <v>0</v>
      </c>
      <c r="M133" s="215">
        <v>0</v>
      </c>
      <c r="N133" s="214">
        <v>0</v>
      </c>
      <c r="O133" s="215">
        <v>0</v>
      </c>
      <c r="P133" s="214">
        <v>0</v>
      </c>
      <c r="Q133" s="215">
        <v>0</v>
      </c>
      <c r="R133" s="214">
        <v>0</v>
      </c>
      <c r="S133" s="215">
        <v>0</v>
      </c>
      <c r="T133" s="214">
        <v>45</v>
      </c>
      <c r="U133" s="215">
        <v>0.29299999999999998</v>
      </c>
      <c r="V133" s="214">
        <v>108</v>
      </c>
      <c r="W133" s="215">
        <v>0.70699999999999996</v>
      </c>
      <c r="X133" s="214">
        <v>0</v>
      </c>
      <c r="Y133" s="215">
        <v>0</v>
      </c>
      <c r="Z133" s="214">
        <v>0</v>
      </c>
      <c r="AA133" s="215">
        <v>0</v>
      </c>
      <c r="AB133" s="214">
        <v>18</v>
      </c>
      <c r="AC133" s="215">
        <v>1</v>
      </c>
      <c r="AD133" s="214">
        <v>0</v>
      </c>
      <c r="AE133" s="215">
        <v>0</v>
      </c>
      <c r="AF133" s="214">
        <v>6367</v>
      </c>
      <c r="AG133" s="215">
        <v>0.153</v>
      </c>
      <c r="AH133" s="214">
        <v>25311</v>
      </c>
      <c r="AI133" s="215">
        <v>0.60799999999999998</v>
      </c>
      <c r="AJ133" s="214">
        <v>9928</v>
      </c>
      <c r="AK133" s="215">
        <v>0.23899999999999999</v>
      </c>
      <c r="AL133" s="214">
        <v>0</v>
      </c>
      <c r="AM133" s="215">
        <v>0</v>
      </c>
      <c r="AN133" s="214">
        <v>46</v>
      </c>
      <c r="AO133" s="215">
        <v>0.78500000000000003</v>
      </c>
      <c r="AP133" s="214">
        <v>13</v>
      </c>
      <c r="AQ133" s="215">
        <v>0.215</v>
      </c>
      <c r="AR133" s="214">
        <v>0</v>
      </c>
      <c r="AS133" s="215">
        <v>0</v>
      </c>
      <c r="AT133" s="214">
        <v>0</v>
      </c>
      <c r="AU133" s="215">
        <v>0</v>
      </c>
      <c r="AV133" s="214">
        <v>156</v>
      </c>
      <c r="AW133" s="215">
        <v>1</v>
      </c>
      <c r="AX133" s="214">
        <v>0</v>
      </c>
      <c r="AY133" s="215">
        <v>0</v>
      </c>
      <c r="AZ133" s="214">
        <v>0</v>
      </c>
      <c r="BA133" s="215">
        <v>0</v>
      </c>
      <c r="BB133" s="214">
        <v>0</v>
      </c>
      <c r="BC133" s="215">
        <v>0</v>
      </c>
      <c r="BD133" s="214">
        <v>0</v>
      </c>
      <c r="BE133" s="215">
        <v>0</v>
      </c>
      <c r="BF133" s="214">
        <v>0</v>
      </c>
      <c r="BG133" s="215">
        <v>0</v>
      </c>
      <c r="BH133" s="214">
        <v>0</v>
      </c>
      <c r="BI133" s="215">
        <v>0</v>
      </c>
      <c r="BJ133" s="214">
        <v>13</v>
      </c>
      <c r="BK133" s="215">
        <v>4.7E-2</v>
      </c>
      <c r="BL133" s="214">
        <v>156</v>
      </c>
      <c r="BM133" s="215">
        <v>0.58199999999999996</v>
      </c>
      <c r="BN133" s="214">
        <v>100</v>
      </c>
      <c r="BO133" s="215">
        <v>0.371</v>
      </c>
      <c r="BP133" s="214">
        <v>0</v>
      </c>
      <c r="BQ133" s="215">
        <v>0</v>
      </c>
      <c r="BR133" s="214">
        <v>0</v>
      </c>
      <c r="BS133" s="215">
        <v>0</v>
      </c>
      <c r="BT133" s="214">
        <v>0</v>
      </c>
      <c r="BU133" s="213">
        <v>0</v>
      </c>
      <c r="BV133" s="207"/>
      <c r="BW133" s="206"/>
      <c r="BX133" s="207"/>
      <c r="BY133" s="206"/>
      <c r="BZ133" s="207"/>
      <c r="CA133" s="206"/>
    </row>
    <row r="134" spans="1:79" s="205" customFormat="1" ht="15.75" thickBot="1">
      <c r="A134" s="160" t="s">
        <v>0</v>
      </c>
      <c r="B134" s="214">
        <v>66</v>
      </c>
      <c r="C134" s="215">
        <v>0.42299999999999999</v>
      </c>
      <c r="D134" s="214">
        <v>0</v>
      </c>
      <c r="E134" s="215">
        <v>0</v>
      </c>
      <c r="F134" s="214">
        <v>90</v>
      </c>
      <c r="G134" s="215">
        <v>0.57699999999999996</v>
      </c>
      <c r="H134" s="214">
        <v>0</v>
      </c>
      <c r="I134" s="215">
        <v>0</v>
      </c>
      <c r="J134" s="214">
        <v>0</v>
      </c>
      <c r="K134" s="215">
        <v>0</v>
      </c>
      <c r="L134" s="214">
        <v>0</v>
      </c>
      <c r="M134" s="215">
        <v>0</v>
      </c>
      <c r="N134" s="214">
        <v>87</v>
      </c>
      <c r="O134" s="215">
        <v>1</v>
      </c>
      <c r="P134" s="214">
        <v>0</v>
      </c>
      <c r="Q134" s="215">
        <v>0</v>
      </c>
      <c r="R134" s="214">
        <v>0</v>
      </c>
      <c r="S134" s="215">
        <v>0</v>
      </c>
      <c r="T134" s="214">
        <v>95</v>
      </c>
      <c r="U134" s="215">
        <v>8.1000000000000003E-2</v>
      </c>
      <c r="V134" s="214">
        <v>479</v>
      </c>
      <c r="W134" s="215">
        <v>0.40600000000000003</v>
      </c>
      <c r="X134" s="214">
        <v>606</v>
      </c>
      <c r="Y134" s="215">
        <v>0.51300000000000001</v>
      </c>
      <c r="Z134" s="214">
        <v>0</v>
      </c>
      <c r="AA134" s="215">
        <v>0</v>
      </c>
      <c r="AB134" s="214">
        <v>0</v>
      </c>
      <c r="AC134" s="215">
        <v>0</v>
      </c>
      <c r="AD134" s="214">
        <v>0</v>
      </c>
      <c r="AE134" s="215">
        <v>0</v>
      </c>
      <c r="AF134" s="214">
        <v>6610</v>
      </c>
      <c r="AG134" s="215">
        <v>6.6000000000000003E-2</v>
      </c>
      <c r="AH134" s="214">
        <v>51740</v>
      </c>
      <c r="AI134" s="215">
        <v>0.52</v>
      </c>
      <c r="AJ134" s="214">
        <v>41234</v>
      </c>
      <c r="AK134" s="215">
        <v>0.41399999999999998</v>
      </c>
      <c r="AL134" s="214">
        <v>0</v>
      </c>
      <c r="AM134" s="215">
        <v>0</v>
      </c>
      <c r="AN134" s="214">
        <v>0</v>
      </c>
      <c r="AO134" s="215">
        <v>0</v>
      </c>
      <c r="AP134" s="214">
        <v>87</v>
      </c>
      <c r="AQ134" s="215">
        <v>1</v>
      </c>
      <c r="AR134" s="214">
        <v>0</v>
      </c>
      <c r="AS134" s="215">
        <v>0</v>
      </c>
      <c r="AT134" s="214">
        <v>140</v>
      </c>
      <c r="AU134" s="215">
        <v>0.193</v>
      </c>
      <c r="AV134" s="214">
        <v>582</v>
      </c>
      <c r="AW134" s="215">
        <v>0.80700000000000005</v>
      </c>
      <c r="AX134" s="214">
        <v>0</v>
      </c>
      <c r="AY134" s="215">
        <v>0</v>
      </c>
      <c r="AZ134" s="214">
        <v>0</v>
      </c>
      <c r="BA134" s="215">
        <v>0</v>
      </c>
      <c r="BB134" s="214">
        <v>0</v>
      </c>
      <c r="BC134" s="215">
        <v>0</v>
      </c>
      <c r="BD134" s="214">
        <v>90</v>
      </c>
      <c r="BE134" s="215">
        <v>1</v>
      </c>
      <c r="BF134" s="214">
        <v>0</v>
      </c>
      <c r="BG134" s="215">
        <v>0</v>
      </c>
      <c r="BH134" s="214">
        <v>0</v>
      </c>
      <c r="BI134" s="215">
        <v>0</v>
      </c>
      <c r="BJ134" s="214">
        <v>119</v>
      </c>
      <c r="BK134" s="215">
        <v>9.6000000000000002E-2</v>
      </c>
      <c r="BL134" s="214">
        <v>382</v>
      </c>
      <c r="BM134" s="215">
        <v>0.309</v>
      </c>
      <c r="BN134" s="214">
        <v>736</v>
      </c>
      <c r="BO134" s="215">
        <v>0.59499999999999997</v>
      </c>
      <c r="BP134" s="214">
        <v>0</v>
      </c>
      <c r="BQ134" s="215">
        <v>0</v>
      </c>
      <c r="BR134" s="214">
        <v>0</v>
      </c>
      <c r="BS134" s="215">
        <v>0</v>
      </c>
      <c r="BT134" s="214">
        <v>0</v>
      </c>
      <c r="BU134" s="213">
        <v>0</v>
      </c>
      <c r="BV134" s="207"/>
      <c r="BW134" s="206"/>
      <c r="BX134" s="207"/>
      <c r="BY134" s="206"/>
      <c r="BZ134" s="207"/>
      <c r="CA134" s="206"/>
    </row>
    <row r="135" spans="1:79" s="205" customFormat="1">
      <c r="A135" s="219" t="s">
        <v>4</v>
      </c>
      <c r="B135" s="217">
        <v>0</v>
      </c>
      <c r="C135" s="218">
        <v>0</v>
      </c>
      <c r="D135" s="217">
        <v>68</v>
      </c>
      <c r="E135" s="218">
        <v>0.30499999999999999</v>
      </c>
      <c r="F135" s="217">
        <v>154</v>
      </c>
      <c r="G135" s="218">
        <v>0.69499999999999995</v>
      </c>
      <c r="H135" s="217">
        <v>0</v>
      </c>
      <c r="I135" s="218">
        <v>0</v>
      </c>
      <c r="J135" s="217">
        <v>0</v>
      </c>
      <c r="K135" s="218">
        <v>0</v>
      </c>
      <c r="L135" s="217">
        <v>0</v>
      </c>
      <c r="M135" s="218">
        <v>0</v>
      </c>
      <c r="N135" s="217">
        <v>0</v>
      </c>
      <c r="O135" s="218">
        <v>0</v>
      </c>
      <c r="P135" s="217">
        <v>0</v>
      </c>
      <c r="Q135" s="218">
        <v>0</v>
      </c>
      <c r="R135" s="217">
        <v>0</v>
      </c>
      <c r="S135" s="218">
        <v>0</v>
      </c>
      <c r="T135" s="217">
        <v>124</v>
      </c>
      <c r="U135" s="218">
        <v>8.4000000000000005E-2</v>
      </c>
      <c r="V135" s="217">
        <v>621</v>
      </c>
      <c r="W135" s="218">
        <v>0.42299999999999999</v>
      </c>
      <c r="X135" s="217">
        <v>724</v>
      </c>
      <c r="Y135" s="218">
        <v>0.49299999999999999</v>
      </c>
      <c r="Z135" s="217">
        <v>0</v>
      </c>
      <c r="AA135" s="218">
        <v>0</v>
      </c>
      <c r="AB135" s="217">
        <v>0</v>
      </c>
      <c r="AC135" s="218">
        <v>0</v>
      </c>
      <c r="AD135" s="217">
        <v>0</v>
      </c>
      <c r="AE135" s="218">
        <v>0</v>
      </c>
      <c r="AF135" s="217">
        <v>11146</v>
      </c>
      <c r="AG135" s="218">
        <v>8.4000000000000005E-2</v>
      </c>
      <c r="AH135" s="217">
        <v>74562</v>
      </c>
      <c r="AI135" s="218">
        <v>0.55900000000000005</v>
      </c>
      <c r="AJ135" s="217">
        <v>47608</v>
      </c>
      <c r="AK135" s="218">
        <v>0.35699999999999998</v>
      </c>
      <c r="AL135" s="217">
        <v>0</v>
      </c>
      <c r="AM135" s="218">
        <v>0</v>
      </c>
      <c r="AN135" s="217">
        <v>122</v>
      </c>
      <c r="AO135" s="218">
        <v>0.88900000000000001</v>
      </c>
      <c r="AP135" s="217">
        <v>15</v>
      </c>
      <c r="AQ135" s="218">
        <v>0.111</v>
      </c>
      <c r="AR135" s="217">
        <v>107</v>
      </c>
      <c r="AS135" s="218">
        <v>0.20100000000000001</v>
      </c>
      <c r="AT135" s="217">
        <v>132</v>
      </c>
      <c r="AU135" s="218">
        <v>0.248</v>
      </c>
      <c r="AV135" s="217">
        <v>295</v>
      </c>
      <c r="AW135" s="218">
        <v>0.55100000000000005</v>
      </c>
      <c r="AX135" s="217">
        <v>0</v>
      </c>
      <c r="AY135" s="218">
        <v>0</v>
      </c>
      <c r="AZ135" s="217">
        <v>5</v>
      </c>
      <c r="BA135" s="218">
        <v>1</v>
      </c>
      <c r="BB135" s="217">
        <v>0</v>
      </c>
      <c r="BC135" s="218">
        <v>0</v>
      </c>
      <c r="BD135" s="217">
        <v>0</v>
      </c>
      <c r="BE135" s="218">
        <v>0</v>
      </c>
      <c r="BF135" s="217">
        <v>0</v>
      </c>
      <c r="BG135" s="218">
        <v>0</v>
      </c>
      <c r="BH135" s="217">
        <v>0</v>
      </c>
      <c r="BI135" s="218">
        <v>0</v>
      </c>
      <c r="BJ135" s="217">
        <v>167</v>
      </c>
      <c r="BK135" s="218">
        <v>7.1999999999999995E-2</v>
      </c>
      <c r="BL135" s="217">
        <v>1223</v>
      </c>
      <c r="BM135" s="218">
        <v>0.53</v>
      </c>
      <c r="BN135" s="217">
        <v>919</v>
      </c>
      <c r="BO135" s="218">
        <v>0.39800000000000002</v>
      </c>
      <c r="BP135" s="217">
        <v>0</v>
      </c>
      <c r="BQ135" s="218">
        <v>0</v>
      </c>
      <c r="BR135" s="217">
        <v>0</v>
      </c>
      <c r="BS135" s="218">
        <v>0</v>
      </c>
      <c r="BT135" s="217">
        <v>0</v>
      </c>
      <c r="BU135" s="216">
        <v>0</v>
      </c>
      <c r="BV135" s="207"/>
      <c r="BW135" s="206"/>
      <c r="BX135" s="207"/>
      <c r="BY135" s="206"/>
      <c r="BZ135" s="207"/>
      <c r="CA135" s="206"/>
    </row>
    <row r="136" spans="1:79" s="205" customFormat="1">
      <c r="A136" s="160" t="s">
        <v>2</v>
      </c>
      <c r="B136" s="214">
        <v>0</v>
      </c>
      <c r="C136" s="215">
        <v>0</v>
      </c>
      <c r="D136" s="214">
        <v>0</v>
      </c>
      <c r="E136" s="215">
        <v>0</v>
      </c>
      <c r="F136" s="214">
        <v>10</v>
      </c>
      <c r="G136" s="215">
        <v>1</v>
      </c>
      <c r="H136" s="214">
        <v>0</v>
      </c>
      <c r="I136" s="215">
        <v>0</v>
      </c>
      <c r="J136" s="214">
        <v>0</v>
      </c>
      <c r="K136" s="215">
        <v>0</v>
      </c>
      <c r="L136" s="214">
        <v>0</v>
      </c>
      <c r="M136" s="215">
        <v>0</v>
      </c>
      <c r="N136" s="214">
        <v>0</v>
      </c>
      <c r="O136" s="215">
        <v>0</v>
      </c>
      <c r="P136" s="214">
        <v>0</v>
      </c>
      <c r="Q136" s="215">
        <v>0</v>
      </c>
      <c r="R136" s="214">
        <v>0</v>
      </c>
      <c r="S136" s="215">
        <v>0</v>
      </c>
      <c r="T136" s="214">
        <v>6</v>
      </c>
      <c r="U136" s="215">
        <v>0.09</v>
      </c>
      <c r="V136" s="214">
        <v>47</v>
      </c>
      <c r="W136" s="215">
        <v>0.67800000000000005</v>
      </c>
      <c r="X136" s="214">
        <v>16</v>
      </c>
      <c r="Y136" s="215">
        <v>0.23100000000000001</v>
      </c>
      <c r="Z136" s="214">
        <v>0</v>
      </c>
      <c r="AA136" s="215">
        <v>0</v>
      </c>
      <c r="AB136" s="214">
        <v>0</v>
      </c>
      <c r="AC136" s="215">
        <v>0</v>
      </c>
      <c r="AD136" s="214">
        <v>0</v>
      </c>
      <c r="AE136" s="215">
        <v>0</v>
      </c>
      <c r="AF136" s="214">
        <v>653</v>
      </c>
      <c r="AG136" s="215">
        <v>0.129</v>
      </c>
      <c r="AH136" s="214">
        <v>3003</v>
      </c>
      <c r="AI136" s="215">
        <v>0.59199999999999997</v>
      </c>
      <c r="AJ136" s="214">
        <v>1417</v>
      </c>
      <c r="AK136" s="215">
        <v>0.27900000000000003</v>
      </c>
      <c r="AL136" s="214">
        <v>0</v>
      </c>
      <c r="AM136" s="215">
        <v>0</v>
      </c>
      <c r="AN136" s="214">
        <v>0</v>
      </c>
      <c r="AO136" s="215">
        <v>0</v>
      </c>
      <c r="AP136" s="214">
        <v>0</v>
      </c>
      <c r="AQ136" s="215">
        <v>0</v>
      </c>
      <c r="AR136" s="214">
        <v>0</v>
      </c>
      <c r="AS136" s="215">
        <v>0</v>
      </c>
      <c r="AT136" s="214">
        <v>12</v>
      </c>
      <c r="AU136" s="215">
        <v>1</v>
      </c>
      <c r="AV136" s="214">
        <v>0</v>
      </c>
      <c r="AW136" s="215">
        <v>0</v>
      </c>
      <c r="AX136" s="214">
        <v>0</v>
      </c>
      <c r="AY136" s="215">
        <v>0</v>
      </c>
      <c r="AZ136" s="214">
        <v>5</v>
      </c>
      <c r="BA136" s="215">
        <v>1</v>
      </c>
      <c r="BB136" s="214">
        <v>0</v>
      </c>
      <c r="BC136" s="215">
        <v>0</v>
      </c>
      <c r="BD136" s="214">
        <v>0</v>
      </c>
      <c r="BE136" s="215">
        <v>0</v>
      </c>
      <c r="BF136" s="214">
        <v>0</v>
      </c>
      <c r="BG136" s="215">
        <v>0</v>
      </c>
      <c r="BH136" s="214">
        <v>0</v>
      </c>
      <c r="BI136" s="215">
        <v>0</v>
      </c>
      <c r="BJ136" s="214">
        <v>0</v>
      </c>
      <c r="BK136" s="215">
        <v>0</v>
      </c>
      <c r="BL136" s="214">
        <v>40</v>
      </c>
      <c r="BM136" s="215">
        <v>0.63500000000000001</v>
      </c>
      <c r="BN136" s="214">
        <v>23</v>
      </c>
      <c r="BO136" s="215">
        <v>0.36499999999999999</v>
      </c>
      <c r="BP136" s="214">
        <v>0</v>
      </c>
      <c r="BQ136" s="215">
        <v>0</v>
      </c>
      <c r="BR136" s="214">
        <v>0</v>
      </c>
      <c r="BS136" s="215">
        <v>0</v>
      </c>
      <c r="BT136" s="214">
        <v>0</v>
      </c>
      <c r="BU136" s="213">
        <v>0</v>
      </c>
      <c r="BV136" s="207"/>
      <c r="BW136" s="206"/>
      <c r="BX136" s="207"/>
      <c r="BY136" s="206"/>
      <c r="BZ136" s="207"/>
      <c r="CA136" s="206"/>
    </row>
    <row r="137" spans="1:79" s="205" customFormat="1">
      <c r="A137" s="160" t="s">
        <v>1</v>
      </c>
      <c r="B137" s="214">
        <v>0</v>
      </c>
      <c r="C137" s="215">
        <v>0</v>
      </c>
      <c r="D137" s="214">
        <v>0</v>
      </c>
      <c r="E137" s="215">
        <v>0</v>
      </c>
      <c r="F137" s="214">
        <v>0</v>
      </c>
      <c r="G137" s="215">
        <v>0</v>
      </c>
      <c r="H137" s="214">
        <v>0</v>
      </c>
      <c r="I137" s="215">
        <v>0</v>
      </c>
      <c r="J137" s="214">
        <v>0</v>
      </c>
      <c r="K137" s="215">
        <v>0</v>
      </c>
      <c r="L137" s="214">
        <v>0</v>
      </c>
      <c r="M137" s="215">
        <v>0</v>
      </c>
      <c r="N137" s="214">
        <v>0</v>
      </c>
      <c r="O137" s="215">
        <v>0</v>
      </c>
      <c r="P137" s="214">
        <v>0</v>
      </c>
      <c r="Q137" s="215">
        <v>0</v>
      </c>
      <c r="R137" s="214">
        <v>0</v>
      </c>
      <c r="S137" s="215">
        <v>0</v>
      </c>
      <c r="T137" s="214">
        <v>64</v>
      </c>
      <c r="U137" s="215">
        <v>0.17100000000000001</v>
      </c>
      <c r="V137" s="214">
        <v>154</v>
      </c>
      <c r="W137" s="215">
        <v>0.40799999999999997</v>
      </c>
      <c r="X137" s="214">
        <v>158</v>
      </c>
      <c r="Y137" s="215">
        <v>0.42099999999999999</v>
      </c>
      <c r="Z137" s="214">
        <v>0</v>
      </c>
      <c r="AA137" s="215">
        <v>0</v>
      </c>
      <c r="AB137" s="214">
        <v>0</v>
      </c>
      <c r="AC137" s="215">
        <v>0</v>
      </c>
      <c r="AD137" s="214">
        <v>0</v>
      </c>
      <c r="AE137" s="215">
        <v>0</v>
      </c>
      <c r="AF137" s="214">
        <v>4200</v>
      </c>
      <c r="AG137" s="215">
        <v>0.109</v>
      </c>
      <c r="AH137" s="214">
        <v>24970</v>
      </c>
      <c r="AI137" s="215">
        <v>0.64600000000000002</v>
      </c>
      <c r="AJ137" s="214">
        <v>9508</v>
      </c>
      <c r="AK137" s="215">
        <v>0.246</v>
      </c>
      <c r="AL137" s="214">
        <v>0</v>
      </c>
      <c r="AM137" s="215">
        <v>0</v>
      </c>
      <c r="AN137" s="214">
        <v>0</v>
      </c>
      <c r="AO137" s="215">
        <v>0</v>
      </c>
      <c r="AP137" s="214">
        <v>15</v>
      </c>
      <c r="AQ137" s="215">
        <v>1</v>
      </c>
      <c r="AR137" s="214">
        <v>0</v>
      </c>
      <c r="AS137" s="215">
        <v>0</v>
      </c>
      <c r="AT137" s="214">
        <v>41</v>
      </c>
      <c r="AU137" s="215">
        <v>0.5</v>
      </c>
      <c r="AV137" s="214">
        <v>41</v>
      </c>
      <c r="AW137" s="215">
        <v>0.5</v>
      </c>
      <c r="AX137" s="214">
        <v>0</v>
      </c>
      <c r="AY137" s="215">
        <v>0</v>
      </c>
      <c r="AZ137" s="214">
        <v>0</v>
      </c>
      <c r="BA137" s="215">
        <v>0</v>
      </c>
      <c r="BB137" s="214">
        <v>0</v>
      </c>
      <c r="BC137" s="215">
        <v>0</v>
      </c>
      <c r="BD137" s="214">
        <v>0</v>
      </c>
      <c r="BE137" s="215">
        <v>0</v>
      </c>
      <c r="BF137" s="214">
        <v>0</v>
      </c>
      <c r="BG137" s="215">
        <v>0</v>
      </c>
      <c r="BH137" s="214">
        <v>0</v>
      </c>
      <c r="BI137" s="215">
        <v>0</v>
      </c>
      <c r="BJ137" s="214">
        <v>30</v>
      </c>
      <c r="BK137" s="215">
        <v>5.5E-2</v>
      </c>
      <c r="BL137" s="214">
        <v>350</v>
      </c>
      <c r="BM137" s="215">
        <v>0.64200000000000002</v>
      </c>
      <c r="BN137" s="214">
        <v>165</v>
      </c>
      <c r="BO137" s="215">
        <v>0.30299999999999999</v>
      </c>
      <c r="BP137" s="214">
        <v>0</v>
      </c>
      <c r="BQ137" s="215">
        <v>0</v>
      </c>
      <c r="BR137" s="214">
        <v>0</v>
      </c>
      <c r="BS137" s="215">
        <v>0</v>
      </c>
      <c r="BT137" s="214">
        <v>0</v>
      </c>
      <c r="BU137" s="213">
        <v>0</v>
      </c>
      <c r="BV137" s="207"/>
      <c r="BW137" s="206"/>
      <c r="BX137" s="207"/>
      <c r="BY137" s="206"/>
      <c r="BZ137" s="207"/>
      <c r="CA137" s="206"/>
    </row>
    <row r="138" spans="1:79" s="205" customFormat="1" ht="15.75" thickBot="1">
      <c r="A138" s="160" t="s">
        <v>0</v>
      </c>
      <c r="B138" s="214">
        <v>0</v>
      </c>
      <c r="C138" s="215">
        <v>0</v>
      </c>
      <c r="D138" s="214">
        <v>68</v>
      </c>
      <c r="E138" s="215">
        <v>0.32</v>
      </c>
      <c r="F138" s="214">
        <v>144</v>
      </c>
      <c r="G138" s="215">
        <v>0.68</v>
      </c>
      <c r="H138" s="214">
        <v>0</v>
      </c>
      <c r="I138" s="215">
        <v>0</v>
      </c>
      <c r="J138" s="214">
        <v>0</v>
      </c>
      <c r="K138" s="215">
        <v>0</v>
      </c>
      <c r="L138" s="214">
        <v>0</v>
      </c>
      <c r="M138" s="215">
        <v>0</v>
      </c>
      <c r="N138" s="214">
        <v>0</v>
      </c>
      <c r="O138" s="215">
        <v>0</v>
      </c>
      <c r="P138" s="214">
        <v>0</v>
      </c>
      <c r="Q138" s="215">
        <v>0</v>
      </c>
      <c r="R138" s="214">
        <v>0</v>
      </c>
      <c r="S138" s="215">
        <v>0</v>
      </c>
      <c r="T138" s="214">
        <v>53</v>
      </c>
      <c r="U138" s="215">
        <v>5.1999999999999998E-2</v>
      </c>
      <c r="V138" s="214">
        <v>420</v>
      </c>
      <c r="W138" s="215">
        <v>0.41099999999999998</v>
      </c>
      <c r="X138" s="214">
        <v>550</v>
      </c>
      <c r="Y138" s="215">
        <v>0.53800000000000003</v>
      </c>
      <c r="Z138" s="214">
        <v>0</v>
      </c>
      <c r="AA138" s="215">
        <v>0</v>
      </c>
      <c r="AB138" s="214">
        <v>0</v>
      </c>
      <c r="AC138" s="215">
        <v>0</v>
      </c>
      <c r="AD138" s="214">
        <v>0</v>
      </c>
      <c r="AE138" s="215">
        <v>0</v>
      </c>
      <c r="AF138" s="214">
        <v>6294</v>
      </c>
      <c r="AG138" s="215">
        <v>7.0000000000000007E-2</v>
      </c>
      <c r="AH138" s="214">
        <v>46589</v>
      </c>
      <c r="AI138" s="215">
        <v>0.52</v>
      </c>
      <c r="AJ138" s="214">
        <v>36683</v>
      </c>
      <c r="AK138" s="215">
        <v>0.41</v>
      </c>
      <c r="AL138" s="214">
        <v>0</v>
      </c>
      <c r="AM138" s="215">
        <v>0</v>
      </c>
      <c r="AN138" s="214">
        <v>122</v>
      </c>
      <c r="AO138" s="215">
        <v>1</v>
      </c>
      <c r="AP138" s="214">
        <v>0</v>
      </c>
      <c r="AQ138" s="215">
        <v>0</v>
      </c>
      <c r="AR138" s="214">
        <v>107</v>
      </c>
      <c r="AS138" s="215">
        <v>0.24299999999999999</v>
      </c>
      <c r="AT138" s="214">
        <v>80</v>
      </c>
      <c r="AU138" s="215">
        <v>0.18099999999999999</v>
      </c>
      <c r="AV138" s="214">
        <v>254</v>
      </c>
      <c r="AW138" s="215">
        <v>0.57599999999999996</v>
      </c>
      <c r="AX138" s="214">
        <v>0</v>
      </c>
      <c r="AY138" s="215">
        <v>0</v>
      </c>
      <c r="AZ138" s="214">
        <v>0</v>
      </c>
      <c r="BA138" s="215">
        <v>0</v>
      </c>
      <c r="BB138" s="214">
        <v>0</v>
      </c>
      <c r="BC138" s="215">
        <v>0</v>
      </c>
      <c r="BD138" s="214">
        <v>0</v>
      </c>
      <c r="BE138" s="215">
        <v>0</v>
      </c>
      <c r="BF138" s="214">
        <v>0</v>
      </c>
      <c r="BG138" s="215">
        <v>0</v>
      </c>
      <c r="BH138" s="214">
        <v>0</v>
      </c>
      <c r="BI138" s="215">
        <v>0</v>
      </c>
      <c r="BJ138" s="214">
        <v>137</v>
      </c>
      <c r="BK138" s="215">
        <v>0.08</v>
      </c>
      <c r="BL138" s="214">
        <v>833</v>
      </c>
      <c r="BM138" s="215">
        <v>0.49</v>
      </c>
      <c r="BN138" s="214">
        <v>731</v>
      </c>
      <c r="BO138" s="215">
        <v>0.43</v>
      </c>
      <c r="BP138" s="214">
        <v>0</v>
      </c>
      <c r="BQ138" s="215">
        <v>0</v>
      </c>
      <c r="BR138" s="214">
        <v>0</v>
      </c>
      <c r="BS138" s="215">
        <v>0</v>
      </c>
      <c r="BT138" s="214">
        <v>0</v>
      </c>
      <c r="BU138" s="213">
        <v>0</v>
      </c>
      <c r="BV138" s="207"/>
      <c r="BW138" s="206"/>
      <c r="BX138" s="207"/>
      <c r="BY138" s="206"/>
      <c r="BZ138" s="207"/>
      <c r="CA138" s="206"/>
    </row>
    <row r="139" spans="1:79" s="205" customFormat="1">
      <c r="A139" s="219" t="s">
        <v>3</v>
      </c>
      <c r="B139" s="217">
        <v>0</v>
      </c>
      <c r="C139" s="218">
        <v>0</v>
      </c>
      <c r="D139" s="217">
        <v>188</v>
      </c>
      <c r="E139" s="218">
        <v>0.73699999999999999</v>
      </c>
      <c r="F139" s="217">
        <v>67</v>
      </c>
      <c r="G139" s="218">
        <v>0.26300000000000001</v>
      </c>
      <c r="H139" s="217">
        <v>0</v>
      </c>
      <c r="I139" s="218">
        <v>0</v>
      </c>
      <c r="J139" s="217">
        <v>0</v>
      </c>
      <c r="K139" s="218">
        <v>0</v>
      </c>
      <c r="L139" s="217">
        <v>0</v>
      </c>
      <c r="M139" s="218">
        <v>0</v>
      </c>
      <c r="N139" s="217">
        <v>0</v>
      </c>
      <c r="O139" s="218">
        <v>0</v>
      </c>
      <c r="P139" s="217">
        <v>0</v>
      </c>
      <c r="Q139" s="218">
        <v>0</v>
      </c>
      <c r="R139" s="217">
        <v>0</v>
      </c>
      <c r="S139" s="218">
        <v>0</v>
      </c>
      <c r="T139" s="217">
        <v>183</v>
      </c>
      <c r="U139" s="218">
        <v>0.16200000000000001</v>
      </c>
      <c r="V139" s="217">
        <v>625</v>
      </c>
      <c r="W139" s="218">
        <v>0.55300000000000005</v>
      </c>
      <c r="X139" s="217">
        <v>322</v>
      </c>
      <c r="Y139" s="218">
        <v>0.28499999999999998</v>
      </c>
      <c r="Z139" s="217">
        <v>0</v>
      </c>
      <c r="AA139" s="218">
        <v>0</v>
      </c>
      <c r="AB139" s="217">
        <v>0</v>
      </c>
      <c r="AC139" s="218">
        <v>0</v>
      </c>
      <c r="AD139" s="217">
        <v>0</v>
      </c>
      <c r="AE139" s="218">
        <v>0</v>
      </c>
      <c r="AF139" s="217">
        <v>6598</v>
      </c>
      <c r="AG139" s="218">
        <v>7.3999999999999996E-2</v>
      </c>
      <c r="AH139" s="217">
        <v>42819</v>
      </c>
      <c r="AI139" s="218">
        <v>0.47699999999999998</v>
      </c>
      <c r="AJ139" s="217">
        <v>40266</v>
      </c>
      <c r="AK139" s="218">
        <v>0.44900000000000001</v>
      </c>
      <c r="AL139" s="217">
        <v>0</v>
      </c>
      <c r="AM139" s="218">
        <v>0</v>
      </c>
      <c r="AN139" s="217">
        <v>0</v>
      </c>
      <c r="AO139" s="218">
        <v>0</v>
      </c>
      <c r="AP139" s="217">
        <v>0</v>
      </c>
      <c r="AQ139" s="218">
        <v>0</v>
      </c>
      <c r="AR139" s="217">
        <v>0</v>
      </c>
      <c r="AS139" s="218">
        <v>0</v>
      </c>
      <c r="AT139" s="217">
        <v>354</v>
      </c>
      <c r="AU139" s="218">
        <v>0.628</v>
      </c>
      <c r="AV139" s="217">
        <v>209</v>
      </c>
      <c r="AW139" s="218">
        <v>0.372</v>
      </c>
      <c r="AX139" s="217">
        <v>0</v>
      </c>
      <c r="AY139" s="218">
        <v>0</v>
      </c>
      <c r="AZ139" s="217">
        <v>0</v>
      </c>
      <c r="BA139" s="218">
        <v>0</v>
      </c>
      <c r="BB139" s="217">
        <v>0</v>
      </c>
      <c r="BC139" s="218">
        <v>0</v>
      </c>
      <c r="BD139" s="217">
        <v>0</v>
      </c>
      <c r="BE139" s="218">
        <v>0</v>
      </c>
      <c r="BF139" s="217">
        <v>0</v>
      </c>
      <c r="BG139" s="218">
        <v>0</v>
      </c>
      <c r="BH139" s="217">
        <v>0</v>
      </c>
      <c r="BI139" s="218">
        <v>0</v>
      </c>
      <c r="BJ139" s="217">
        <v>150</v>
      </c>
      <c r="BK139" s="218">
        <v>0.10199999999999999</v>
      </c>
      <c r="BL139" s="217">
        <v>526</v>
      </c>
      <c r="BM139" s="218">
        <v>0.35699999999999998</v>
      </c>
      <c r="BN139" s="217">
        <v>798</v>
      </c>
      <c r="BO139" s="218">
        <v>0.54100000000000004</v>
      </c>
      <c r="BP139" s="217">
        <v>0</v>
      </c>
      <c r="BQ139" s="218">
        <v>0</v>
      </c>
      <c r="BR139" s="217">
        <v>72</v>
      </c>
      <c r="BS139" s="218">
        <v>1</v>
      </c>
      <c r="BT139" s="217">
        <v>0</v>
      </c>
      <c r="BU139" s="216">
        <v>0</v>
      </c>
      <c r="BV139" s="207"/>
      <c r="BW139" s="206"/>
      <c r="BX139" s="207"/>
      <c r="BY139" s="206"/>
      <c r="BZ139" s="207"/>
      <c r="CA139" s="206"/>
    </row>
    <row r="140" spans="1:79" s="205" customFormat="1">
      <c r="A140" s="160" t="s">
        <v>2</v>
      </c>
      <c r="B140" s="214">
        <v>0</v>
      </c>
      <c r="C140" s="215">
        <v>0</v>
      </c>
      <c r="D140" s="214">
        <v>13</v>
      </c>
      <c r="E140" s="215">
        <v>1</v>
      </c>
      <c r="F140" s="214">
        <v>0</v>
      </c>
      <c r="G140" s="215">
        <v>0</v>
      </c>
      <c r="H140" s="214">
        <v>0</v>
      </c>
      <c r="I140" s="215">
        <v>0</v>
      </c>
      <c r="J140" s="214">
        <v>0</v>
      </c>
      <c r="K140" s="215">
        <v>0</v>
      </c>
      <c r="L140" s="214">
        <v>0</v>
      </c>
      <c r="M140" s="215">
        <v>0</v>
      </c>
      <c r="N140" s="214">
        <v>0</v>
      </c>
      <c r="O140" s="215">
        <v>0</v>
      </c>
      <c r="P140" s="214">
        <v>0</v>
      </c>
      <c r="Q140" s="215">
        <v>0</v>
      </c>
      <c r="R140" s="214">
        <v>0</v>
      </c>
      <c r="S140" s="215">
        <v>0</v>
      </c>
      <c r="T140" s="214">
        <v>6</v>
      </c>
      <c r="U140" s="215">
        <v>0.13</v>
      </c>
      <c r="V140" s="214">
        <v>19</v>
      </c>
      <c r="W140" s="215">
        <v>0.40699999999999997</v>
      </c>
      <c r="X140" s="214">
        <v>21</v>
      </c>
      <c r="Y140" s="215">
        <v>0.46300000000000002</v>
      </c>
      <c r="Z140" s="214">
        <v>0</v>
      </c>
      <c r="AA140" s="215">
        <v>0</v>
      </c>
      <c r="AB140" s="214">
        <v>0</v>
      </c>
      <c r="AC140" s="215">
        <v>0</v>
      </c>
      <c r="AD140" s="214">
        <v>0</v>
      </c>
      <c r="AE140" s="215">
        <v>0</v>
      </c>
      <c r="AF140" s="214">
        <v>365</v>
      </c>
      <c r="AG140" s="215">
        <v>8.7999999999999995E-2</v>
      </c>
      <c r="AH140" s="214">
        <v>2430</v>
      </c>
      <c r="AI140" s="215">
        <v>0.58699999999999997</v>
      </c>
      <c r="AJ140" s="214">
        <v>1345</v>
      </c>
      <c r="AK140" s="215">
        <v>0.32500000000000001</v>
      </c>
      <c r="AL140" s="214">
        <v>0</v>
      </c>
      <c r="AM140" s="215">
        <v>0</v>
      </c>
      <c r="AN140" s="214">
        <v>0</v>
      </c>
      <c r="AO140" s="215">
        <v>0</v>
      </c>
      <c r="AP140" s="214">
        <v>0</v>
      </c>
      <c r="AQ140" s="215">
        <v>0</v>
      </c>
      <c r="AR140" s="214">
        <v>0</v>
      </c>
      <c r="AS140" s="215">
        <v>0</v>
      </c>
      <c r="AT140" s="214">
        <v>0</v>
      </c>
      <c r="AU140" s="215">
        <v>0</v>
      </c>
      <c r="AV140" s="214">
        <v>5</v>
      </c>
      <c r="AW140" s="215">
        <v>1</v>
      </c>
      <c r="AX140" s="214">
        <v>0</v>
      </c>
      <c r="AY140" s="215">
        <v>0</v>
      </c>
      <c r="AZ140" s="214">
        <v>0</v>
      </c>
      <c r="BA140" s="215">
        <v>0</v>
      </c>
      <c r="BB140" s="214">
        <v>0</v>
      </c>
      <c r="BC140" s="215">
        <v>0</v>
      </c>
      <c r="BD140" s="214">
        <v>0</v>
      </c>
      <c r="BE140" s="215">
        <v>0</v>
      </c>
      <c r="BF140" s="214">
        <v>0</v>
      </c>
      <c r="BG140" s="215">
        <v>0</v>
      </c>
      <c r="BH140" s="214">
        <v>0</v>
      </c>
      <c r="BI140" s="215">
        <v>0</v>
      </c>
      <c r="BJ140" s="214">
        <v>20</v>
      </c>
      <c r="BK140" s="215">
        <v>0.44700000000000001</v>
      </c>
      <c r="BL140" s="214">
        <v>18</v>
      </c>
      <c r="BM140" s="215">
        <v>0.40300000000000002</v>
      </c>
      <c r="BN140" s="214">
        <v>7</v>
      </c>
      <c r="BO140" s="215">
        <v>0.15</v>
      </c>
      <c r="BP140" s="214">
        <v>0</v>
      </c>
      <c r="BQ140" s="215">
        <v>0</v>
      </c>
      <c r="BR140" s="214">
        <v>0</v>
      </c>
      <c r="BS140" s="215">
        <v>0</v>
      </c>
      <c r="BT140" s="214">
        <v>0</v>
      </c>
      <c r="BU140" s="213">
        <v>0</v>
      </c>
      <c r="BV140" s="207"/>
      <c r="BW140" s="206"/>
      <c r="BX140" s="207"/>
      <c r="BY140" s="206"/>
      <c r="BZ140" s="207"/>
      <c r="CA140" s="206"/>
    </row>
    <row r="141" spans="1:79">
      <c r="A141" s="160" t="s">
        <v>1</v>
      </c>
      <c r="B141" s="214">
        <v>0</v>
      </c>
      <c r="C141" s="215">
        <v>0</v>
      </c>
      <c r="D141" s="214">
        <v>11</v>
      </c>
      <c r="E141" s="215">
        <v>0.5</v>
      </c>
      <c r="F141" s="214">
        <v>11</v>
      </c>
      <c r="G141" s="215">
        <v>0.5</v>
      </c>
      <c r="H141" s="214">
        <v>0</v>
      </c>
      <c r="I141" s="215">
        <v>0</v>
      </c>
      <c r="J141" s="214">
        <v>0</v>
      </c>
      <c r="K141" s="215">
        <v>0</v>
      </c>
      <c r="L141" s="214">
        <v>0</v>
      </c>
      <c r="M141" s="215">
        <v>0</v>
      </c>
      <c r="N141" s="214">
        <v>0</v>
      </c>
      <c r="O141" s="215">
        <v>0</v>
      </c>
      <c r="P141" s="214">
        <v>0</v>
      </c>
      <c r="Q141" s="215">
        <v>0</v>
      </c>
      <c r="R141" s="214">
        <v>0</v>
      </c>
      <c r="S141" s="215">
        <v>0</v>
      </c>
      <c r="T141" s="214">
        <v>26</v>
      </c>
      <c r="U141" s="215">
        <v>0.246</v>
      </c>
      <c r="V141" s="214">
        <v>39</v>
      </c>
      <c r="W141" s="215">
        <v>0.378</v>
      </c>
      <c r="X141" s="214">
        <v>39</v>
      </c>
      <c r="Y141" s="215">
        <v>0.377</v>
      </c>
      <c r="Z141" s="214">
        <v>0</v>
      </c>
      <c r="AA141" s="215">
        <v>0</v>
      </c>
      <c r="AB141" s="214">
        <v>0</v>
      </c>
      <c r="AC141" s="215">
        <v>0</v>
      </c>
      <c r="AD141" s="214">
        <v>0</v>
      </c>
      <c r="AE141" s="215">
        <v>0</v>
      </c>
      <c r="AF141" s="214">
        <v>1104</v>
      </c>
      <c r="AG141" s="215">
        <v>9.8000000000000004E-2</v>
      </c>
      <c r="AH141" s="214">
        <v>7047</v>
      </c>
      <c r="AI141" s="215">
        <v>0.623</v>
      </c>
      <c r="AJ141" s="214">
        <v>3164</v>
      </c>
      <c r="AK141" s="215">
        <v>0.28000000000000003</v>
      </c>
      <c r="AL141" s="214">
        <v>0</v>
      </c>
      <c r="AM141" s="215">
        <v>0</v>
      </c>
      <c r="AN141" s="214">
        <v>0</v>
      </c>
      <c r="AO141" s="215">
        <v>0</v>
      </c>
      <c r="AP141" s="214">
        <v>0</v>
      </c>
      <c r="AQ141" s="215">
        <v>0</v>
      </c>
      <c r="AR141" s="214">
        <v>0</v>
      </c>
      <c r="AS141" s="215">
        <v>0</v>
      </c>
      <c r="AT141" s="214">
        <v>77</v>
      </c>
      <c r="AU141" s="215">
        <v>0.7</v>
      </c>
      <c r="AV141" s="214">
        <v>33</v>
      </c>
      <c r="AW141" s="215">
        <v>0.3</v>
      </c>
      <c r="AX141" s="214">
        <v>0</v>
      </c>
      <c r="AY141" s="215">
        <v>0</v>
      </c>
      <c r="AZ141" s="214">
        <v>0</v>
      </c>
      <c r="BA141" s="215">
        <v>0</v>
      </c>
      <c r="BB141" s="214">
        <v>0</v>
      </c>
      <c r="BC141" s="215">
        <v>0</v>
      </c>
      <c r="BD141" s="214">
        <v>0</v>
      </c>
      <c r="BE141" s="215">
        <v>0</v>
      </c>
      <c r="BF141" s="214">
        <v>0</v>
      </c>
      <c r="BG141" s="215">
        <v>0</v>
      </c>
      <c r="BH141" s="214">
        <v>0</v>
      </c>
      <c r="BI141" s="215">
        <v>0</v>
      </c>
      <c r="BJ141" s="214">
        <v>0</v>
      </c>
      <c r="BK141" s="215">
        <v>0</v>
      </c>
      <c r="BL141" s="214">
        <v>49</v>
      </c>
      <c r="BM141" s="215">
        <v>0.61799999999999999</v>
      </c>
      <c r="BN141" s="214">
        <v>31</v>
      </c>
      <c r="BO141" s="215">
        <v>0.38200000000000001</v>
      </c>
      <c r="BP141" s="214">
        <v>0</v>
      </c>
      <c r="BQ141" s="215">
        <v>0</v>
      </c>
      <c r="BR141" s="214">
        <v>0</v>
      </c>
      <c r="BS141" s="215">
        <v>0</v>
      </c>
      <c r="BT141" s="214">
        <v>0</v>
      </c>
      <c r="BU141" s="213">
        <v>0</v>
      </c>
    </row>
    <row r="142" spans="1:79" ht="15.75" thickBot="1">
      <c r="A142" s="159" t="s">
        <v>0</v>
      </c>
      <c r="B142" s="211">
        <v>0</v>
      </c>
      <c r="C142" s="212">
        <v>0</v>
      </c>
      <c r="D142" s="211">
        <v>164</v>
      </c>
      <c r="E142" s="212">
        <v>0.745</v>
      </c>
      <c r="F142" s="211">
        <v>56</v>
      </c>
      <c r="G142" s="212">
        <v>0.255</v>
      </c>
      <c r="H142" s="211">
        <v>0</v>
      </c>
      <c r="I142" s="212">
        <v>0</v>
      </c>
      <c r="J142" s="211">
        <v>0</v>
      </c>
      <c r="K142" s="212">
        <v>0</v>
      </c>
      <c r="L142" s="211">
        <v>0</v>
      </c>
      <c r="M142" s="212">
        <v>0</v>
      </c>
      <c r="N142" s="211">
        <v>0</v>
      </c>
      <c r="O142" s="212">
        <v>0</v>
      </c>
      <c r="P142" s="211">
        <v>0</v>
      </c>
      <c r="Q142" s="212">
        <v>0</v>
      </c>
      <c r="R142" s="211">
        <v>0</v>
      </c>
      <c r="S142" s="212">
        <v>0</v>
      </c>
      <c r="T142" s="211">
        <v>152</v>
      </c>
      <c r="U142" s="212">
        <v>0.155</v>
      </c>
      <c r="V142" s="211">
        <v>567</v>
      </c>
      <c r="W142" s="212">
        <v>0.57799999999999996</v>
      </c>
      <c r="X142" s="211">
        <v>262</v>
      </c>
      <c r="Y142" s="212">
        <v>0.26700000000000002</v>
      </c>
      <c r="Z142" s="211">
        <v>0</v>
      </c>
      <c r="AA142" s="212">
        <v>0</v>
      </c>
      <c r="AB142" s="211">
        <v>0</v>
      </c>
      <c r="AC142" s="212">
        <v>0</v>
      </c>
      <c r="AD142" s="211">
        <v>0</v>
      </c>
      <c r="AE142" s="212">
        <v>0</v>
      </c>
      <c r="AF142" s="211">
        <v>5130</v>
      </c>
      <c r="AG142" s="212">
        <v>6.9000000000000006E-2</v>
      </c>
      <c r="AH142" s="211">
        <v>33342</v>
      </c>
      <c r="AI142" s="212">
        <v>0.44900000000000001</v>
      </c>
      <c r="AJ142" s="211">
        <v>35756</v>
      </c>
      <c r="AK142" s="212">
        <v>0.48199999999999998</v>
      </c>
      <c r="AL142" s="211">
        <v>0</v>
      </c>
      <c r="AM142" s="212">
        <v>0</v>
      </c>
      <c r="AN142" s="211">
        <v>0</v>
      </c>
      <c r="AO142" s="212">
        <v>0</v>
      </c>
      <c r="AP142" s="211">
        <v>0</v>
      </c>
      <c r="AQ142" s="212">
        <v>0</v>
      </c>
      <c r="AR142" s="211">
        <v>0</v>
      </c>
      <c r="AS142" s="212">
        <v>0</v>
      </c>
      <c r="AT142" s="211">
        <v>277</v>
      </c>
      <c r="AU142" s="212">
        <v>0.61699999999999999</v>
      </c>
      <c r="AV142" s="211">
        <v>172</v>
      </c>
      <c r="AW142" s="212">
        <v>0.38300000000000001</v>
      </c>
      <c r="AX142" s="211">
        <v>0</v>
      </c>
      <c r="AY142" s="212">
        <v>0</v>
      </c>
      <c r="AZ142" s="211">
        <v>0</v>
      </c>
      <c r="BA142" s="212">
        <v>0</v>
      </c>
      <c r="BB142" s="211">
        <v>0</v>
      </c>
      <c r="BC142" s="212">
        <v>0</v>
      </c>
      <c r="BD142" s="211">
        <v>0</v>
      </c>
      <c r="BE142" s="212">
        <v>0</v>
      </c>
      <c r="BF142" s="211">
        <v>0</v>
      </c>
      <c r="BG142" s="212">
        <v>0</v>
      </c>
      <c r="BH142" s="211">
        <v>0</v>
      </c>
      <c r="BI142" s="212">
        <v>0</v>
      </c>
      <c r="BJ142" s="211">
        <v>129</v>
      </c>
      <c r="BK142" s="212">
        <v>9.6000000000000002E-2</v>
      </c>
      <c r="BL142" s="211">
        <v>459</v>
      </c>
      <c r="BM142" s="212">
        <v>0.34</v>
      </c>
      <c r="BN142" s="211">
        <v>760</v>
      </c>
      <c r="BO142" s="212">
        <v>0.56399999999999995</v>
      </c>
      <c r="BP142" s="211">
        <v>0</v>
      </c>
      <c r="BQ142" s="212">
        <v>0</v>
      </c>
      <c r="BR142" s="211">
        <v>72</v>
      </c>
      <c r="BS142" s="212">
        <v>1</v>
      </c>
      <c r="BT142" s="211">
        <v>0</v>
      </c>
      <c r="BU142" s="210">
        <v>0</v>
      </c>
    </row>
    <row r="145" spans="1:79" ht="15.75" thickBot="1"/>
    <row r="146" spans="1:79">
      <c r="A146" s="737" t="s">
        <v>276</v>
      </c>
      <c r="B146" s="746" t="s">
        <v>275</v>
      </c>
      <c r="C146" s="747"/>
      <c r="D146" s="747"/>
      <c r="E146" s="747"/>
      <c r="F146" s="747"/>
      <c r="G146" s="691"/>
      <c r="H146" s="746" t="s">
        <v>274</v>
      </c>
      <c r="I146" s="747"/>
      <c r="J146" s="747"/>
      <c r="K146" s="747"/>
      <c r="L146" s="747"/>
      <c r="M146" s="691"/>
      <c r="N146" s="746" t="s">
        <v>273</v>
      </c>
      <c r="O146" s="747"/>
      <c r="P146" s="747"/>
      <c r="Q146" s="747"/>
      <c r="R146" s="747"/>
      <c r="S146" s="691"/>
      <c r="T146" s="746" t="s">
        <v>272</v>
      </c>
      <c r="U146" s="747"/>
      <c r="V146" s="747"/>
      <c r="W146" s="747"/>
      <c r="X146" s="747"/>
      <c r="Y146" s="691"/>
      <c r="Z146" s="746" t="s">
        <v>271</v>
      </c>
      <c r="AA146" s="747"/>
      <c r="AB146" s="747"/>
      <c r="AC146" s="747"/>
      <c r="AD146" s="747"/>
      <c r="AE146" s="691"/>
      <c r="AF146" s="746" t="s">
        <v>270</v>
      </c>
      <c r="AG146" s="747"/>
      <c r="AH146" s="747"/>
      <c r="AI146" s="747"/>
      <c r="AJ146" s="747"/>
      <c r="AK146" s="691"/>
      <c r="AL146" s="746" t="s">
        <v>269</v>
      </c>
      <c r="AM146" s="747"/>
      <c r="AN146" s="747"/>
      <c r="AO146" s="747"/>
      <c r="AP146" s="747"/>
      <c r="AQ146" s="691"/>
      <c r="AR146" s="746" t="s">
        <v>268</v>
      </c>
      <c r="AS146" s="747"/>
      <c r="AT146" s="747"/>
      <c r="AU146" s="747"/>
      <c r="AV146" s="747"/>
      <c r="AW146" s="691"/>
      <c r="AX146" s="746" t="s">
        <v>267</v>
      </c>
      <c r="AY146" s="747"/>
      <c r="AZ146" s="747"/>
      <c r="BA146" s="747"/>
      <c r="BB146" s="747"/>
      <c r="BC146" s="691"/>
      <c r="BD146" s="746" t="s">
        <v>266</v>
      </c>
      <c r="BE146" s="747"/>
      <c r="BF146" s="747"/>
      <c r="BG146" s="747"/>
      <c r="BH146" s="747"/>
      <c r="BI146" s="691"/>
      <c r="BJ146" s="746" t="s">
        <v>265</v>
      </c>
      <c r="BK146" s="747"/>
      <c r="BL146" s="747"/>
      <c r="BM146" s="747"/>
      <c r="BN146" s="747"/>
      <c r="BO146" s="691"/>
      <c r="BP146" s="746" t="s">
        <v>264</v>
      </c>
      <c r="BQ146" s="747"/>
      <c r="BR146" s="747"/>
      <c r="BS146" s="747"/>
      <c r="BT146" s="747"/>
      <c r="BU146" s="751"/>
    </row>
    <row r="147" spans="1:79" ht="27.75" customHeight="1">
      <c r="A147" s="738"/>
      <c r="B147" s="748" t="s">
        <v>263</v>
      </c>
      <c r="C147" s="749"/>
      <c r="D147" s="749"/>
      <c r="E147" s="749"/>
      <c r="F147" s="749"/>
      <c r="G147" s="740"/>
      <c r="H147" s="748" t="s">
        <v>263</v>
      </c>
      <c r="I147" s="749"/>
      <c r="J147" s="749"/>
      <c r="K147" s="749"/>
      <c r="L147" s="749"/>
      <c r="M147" s="740"/>
      <c r="N147" s="748" t="s">
        <v>263</v>
      </c>
      <c r="O147" s="749"/>
      <c r="P147" s="749"/>
      <c r="Q147" s="749"/>
      <c r="R147" s="749"/>
      <c r="S147" s="740"/>
      <c r="T147" s="748" t="s">
        <v>263</v>
      </c>
      <c r="U147" s="749"/>
      <c r="V147" s="749"/>
      <c r="W147" s="749"/>
      <c r="X147" s="749"/>
      <c r="Y147" s="740"/>
      <c r="Z147" s="748" t="s">
        <v>263</v>
      </c>
      <c r="AA147" s="749"/>
      <c r="AB147" s="749"/>
      <c r="AC147" s="749"/>
      <c r="AD147" s="749"/>
      <c r="AE147" s="740"/>
      <c r="AF147" s="748" t="s">
        <v>263</v>
      </c>
      <c r="AG147" s="749"/>
      <c r="AH147" s="749"/>
      <c r="AI147" s="749"/>
      <c r="AJ147" s="749"/>
      <c r="AK147" s="740"/>
      <c r="AL147" s="748" t="s">
        <v>263</v>
      </c>
      <c r="AM147" s="749"/>
      <c r="AN147" s="749"/>
      <c r="AO147" s="749"/>
      <c r="AP147" s="749"/>
      <c r="AQ147" s="740"/>
      <c r="AR147" s="748" t="s">
        <v>263</v>
      </c>
      <c r="AS147" s="749"/>
      <c r="AT147" s="749"/>
      <c r="AU147" s="749"/>
      <c r="AV147" s="749"/>
      <c r="AW147" s="740"/>
      <c r="AX147" s="748" t="s">
        <v>263</v>
      </c>
      <c r="AY147" s="749"/>
      <c r="AZ147" s="749"/>
      <c r="BA147" s="749"/>
      <c r="BB147" s="749"/>
      <c r="BC147" s="740"/>
      <c r="BD147" s="748" t="s">
        <v>263</v>
      </c>
      <c r="BE147" s="749"/>
      <c r="BF147" s="749"/>
      <c r="BG147" s="749"/>
      <c r="BH147" s="749"/>
      <c r="BI147" s="740"/>
      <c r="BJ147" s="748" t="s">
        <v>263</v>
      </c>
      <c r="BK147" s="749"/>
      <c r="BL147" s="749"/>
      <c r="BM147" s="749"/>
      <c r="BN147" s="749"/>
      <c r="BO147" s="740"/>
      <c r="BP147" s="748" t="s">
        <v>263</v>
      </c>
      <c r="BQ147" s="749"/>
      <c r="BR147" s="749"/>
      <c r="BS147" s="749"/>
      <c r="BT147" s="749"/>
      <c r="BU147" s="750"/>
    </row>
    <row r="148" spans="1:79">
      <c r="A148" s="738"/>
      <c r="B148" s="569" t="s">
        <v>30</v>
      </c>
      <c r="C148" s="569"/>
      <c r="D148" s="569" t="s">
        <v>29</v>
      </c>
      <c r="E148" s="569"/>
      <c r="F148" s="569" t="s">
        <v>28</v>
      </c>
      <c r="G148" s="569"/>
      <c r="H148" s="569" t="s">
        <v>30</v>
      </c>
      <c r="I148" s="569"/>
      <c r="J148" s="569" t="s">
        <v>29</v>
      </c>
      <c r="K148" s="569"/>
      <c r="L148" s="569" t="s">
        <v>28</v>
      </c>
      <c r="M148" s="569"/>
      <c r="N148" s="569" t="s">
        <v>30</v>
      </c>
      <c r="O148" s="569"/>
      <c r="P148" s="569" t="s">
        <v>29</v>
      </c>
      <c r="Q148" s="569"/>
      <c r="R148" s="569" t="s">
        <v>28</v>
      </c>
      <c r="S148" s="569"/>
      <c r="T148" s="569" t="s">
        <v>30</v>
      </c>
      <c r="U148" s="569"/>
      <c r="V148" s="569" t="s">
        <v>29</v>
      </c>
      <c r="W148" s="569"/>
      <c r="X148" s="569" t="s">
        <v>28</v>
      </c>
      <c r="Y148" s="569"/>
      <c r="Z148" s="569" t="s">
        <v>30</v>
      </c>
      <c r="AA148" s="569"/>
      <c r="AB148" s="569" t="s">
        <v>29</v>
      </c>
      <c r="AC148" s="569"/>
      <c r="AD148" s="569" t="s">
        <v>28</v>
      </c>
      <c r="AE148" s="569"/>
      <c r="AF148" s="569" t="s">
        <v>30</v>
      </c>
      <c r="AG148" s="569"/>
      <c r="AH148" s="569" t="s">
        <v>29</v>
      </c>
      <c r="AI148" s="569"/>
      <c r="AJ148" s="569" t="s">
        <v>28</v>
      </c>
      <c r="AK148" s="569"/>
      <c r="AL148" s="569" t="s">
        <v>30</v>
      </c>
      <c r="AM148" s="569"/>
      <c r="AN148" s="569" t="s">
        <v>29</v>
      </c>
      <c r="AO148" s="569"/>
      <c r="AP148" s="569" t="s">
        <v>28</v>
      </c>
      <c r="AQ148" s="569"/>
      <c r="AR148" s="569" t="s">
        <v>30</v>
      </c>
      <c r="AS148" s="569"/>
      <c r="AT148" s="569" t="s">
        <v>29</v>
      </c>
      <c r="AU148" s="569"/>
      <c r="AV148" s="569" t="s">
        <v>28</v>
      </c>
      <c r="AW148" s="569"/>
      <c r="AX148" s="569" t="s">
        <v>30</v>
      </c>
      <c r="AY148" s="569"/>
      <c r="AZ148" s="569" t="s">
        <v>29</v>
      </c>
      <c r="BA148" s="569"/>
      <c r="BB148" s="569" t="s">
        <v>28</v>
      </c>
      <c r="BC148" s="569"/>
      <c r="BD148" s="569" t="s">
        <v>30</v>
      </c>
      <c r="BE148" s="569"/>
      <c r="BF148" s="569" t="s">
        <v>29</v>
      </c>
      <c r="BG148" s="569"/>
      <c r="BH148" s="569" t="s">
        <v>28</v>
      </c>
      <c r="BI148" s="569"/>
      <c r="BJ148" s="569" t="s">
        <v>30</v>
      </c>
      <c r="BK148" s="569"/>
      <c r="BL148" s="569" t="s">
        <v>29</v>
      </c>
      <c r="BM148" s="569"/>
      <c r="BN148" s="569" t="s">
        <v>28</v>
      </c>
      <c r="BO148" s="569"/>
      <c r="BP148" s="569" t="s">
        <v>30</v>
      </c>
      <c r="BQ148" s="569"/>
      <c r="BR148" s="569" t="s">
        <v>29</v>
      </c>
      <c r="BS148" s="569"/>
      <c r="BT148" s="569" t="s">
        <v>28</v>
      </c>
      <c r="BU148" s="593"/>
    </row>
    <row r="149" spans="1:79" ht="15.75" thickBot="1">
      <c r="A149" s="738"/>
      <c r="B149" s="224" t="s">
        <v>7</v>
      </c>
      <c r="C149" s="224" t="s">
        <v>8</v>
      </c>
      <c r="D149" s="224" t="s">
        <v>7</v>
      </c>
      <c r="E149" s="224" t="s">
        <v>8</v>
      </c>
      <c r="F149" s="224" t="s">
        <v>7</v>
      </c>
      <c r="G149" s="224" t="s">
        <v>8</v>
      </c>
      <c r="H149" s="224" t="s">
        <v>7</v>
      </c>
      <c r="I149" s="224" t="s">
        <v>8</v>
      </c>
      <c r="J149" s="224" t="s">
        <v>7</v>
      </c>
      <c r="K149" s="224" t="s">
        <v>8</v>
      </c>
      <c r="L149" s="224" t="s">
        <v>7</v>
      </c>
      <c r="M149" s="224" t="s">
        <v>8</v>
      </c>
      <c r="N149" s="224" t="s">
        <v>7</v>
      </c>
      <c r="O149" s="224" t="s">
        <v>8</v>
      </c>
      <c r="P149" s="224" t="s">
        <v>7</v>
      </c>
      <c r="Q149" s="224" t="s">
        <v>8</v>
      </c>
      <c r="R149" s="224" t="s">
        <v>7</v>
      </c>
      <c r="S149" s="224" t="s">
        <v>8</v>
      </c>
      <c r="T149" s="224" t="s">
        <v>7</v>
      </c>
      <c r="U149" s="224" t="s">
        <v>8</v>
      </c>
      <c r="V149" s="224" t="s">
        <v>7</v>
      </c>
      <c r="W149" s="224" t="s">
        <v>8</v>
      </c>
      <c r="X149" s="224" t="s">
        <v>7</v>
      </c>
      <c r="Y149" s="224" t="s">
        <v>8</v>
      </c>
      <c r="Z149" s="224" t="s">
        <v>7</v>
      </c>
      <c r="AA149" s="224" t="s">
        <v>8</v>
      </c>
      <c r="AB149" s="224" t="s">
        <v>7</v>
      </c>
      <c r="AC149" s="224" t="s">
        <v>8</v>
      </c>
      <c r="AD149" s="224" t="s">
        <v>7</v>
      </c>
      <c r="AE149" s="224" t="s">
        <v>8</v>
      </c>
      <c r="AF149" s="224" t="s">
        <v>7</v>
      </c>
      <c r="AG149" s="224" t="s">
        <v>8</v>
      </c>
      <c r="AH149" s="224" t="s">
        <v>7</v>
      </c>
      <c r="AI149" s="224" t="s">
        <v>8</v>
      </c>
      <c r="AJ149" s="224" t="s">
        <v>7</v>
      </c>
      <c r="AK149" s="224" t="s">
        <v>8</v>
      </c>
      <c r="AL149" s="224" t="s">
        <v>7</v>
      </c>
      <c r="AM149" s="224" t="s">
        <v>8</v>
      </c>
      <c r="AN149" s="224" t="s">
        <v>7</v>
      </c>
      <c r="AO149" s="224" t="s">
        <v>8</v>
      </c>
      <c r="AP149" s="224" t="s">
        <v>7</v>
      </c>
      <c r="AQ149" s="224" t="s">
        <v>8</v>
      </c>
      <c r="AR149" s="224" t="s">
        <v>7</v>
      </c>
      <c r="AS149" s="224" t="s">
        <v>8</v>
      </c>
      <c r="AT149" s="224" t="s">
        <v>7</v>
      </c>
      <c r="AU149" s="224" t="s">
        <v>8</v>
      </c>
      <c r="AV149" s="224" t="s">
        <v>7</v>
      </c>
      <c r="AW149" s="224" t="s">
        <v>8</v>
      </c>
      <c r="AX149" s="224" t="s">
        <v>7</v>
      </c>
      <c r="AY149" s="224" t="s">
        <v>8</v>
      </c>
      <c r="AZ149" s="224" t="s">
        <v>7</v>
      </c>
      <c r="BA149" s="224" t="s">
        <v>8</v>
      </c>
      <c r="BB149" s="224" t="s">
        <v>7</v>
      </c>
      <c r="BC149" s="224" t="s">
        <v>8</v>
      </c>
      <c r="BD149" s="224" t="s">
        <v>7</v>
      </c>
      <c r="BE149" s="224" t="s">
        <v>8</v>
      </c>
      <c r="BF149" s="224" t="s">
        <v>7</v>
      </c>
      <c r="BG149" s="224" t="s">
        <v>8</v>
      </c>
      <c r="BH149" s="224" t="s">
        <v>7</v>
      </c>
      <c r="BI149" s="224" t="s">
        <v>8</v>
      </c>
      <c r="BJ149" s="224" t="s">
        <v>7</v>
      </c>
      <c r="BK149" s="224" t="s">
        <v>8</v>
      </c>
      <c r="BL149" s="224" t="s">
        <v>7</v>
      </c>
      <c r="BM149" s="224" t="s">
        <v>8</v>
      </c>
      <c r="BN149" s="224" t="s">
        <v>7</v>
      </c>
      <c r="BO149" s="224" t="s">
        <v>8</v>
      </c>
      <c r="BP149" s="224" t="s">
        <v>7</v>
      </c>
      <c r="BQ149" s="224" t="s">
        <v>8</v>
      </c>
      <c r="BR149" s="224" t="s">
        <v>7</v>
      </c>
      <c r="BS149" s="224" t="s">
        <v>8</v>
      </c>
      <c r="BT149" s="224" t="s">
        <v>7</v>
      </c>
      <c r="BU149" s="223" t="s">
        <v>8</v>
      </c>
    </row>
    <row r="150" spans="1:79">
      <c r="A150" s="219" t="s">
        <v>5</v>
      </c>
      <c r="B150" s="217">
        <v>154</v>
      </c>
      <c r="C150" s="218">
        <v>0.57999999999999996</v>
      </c>
      <c r="D150" s="217">
        <v>17</v>
      </c>
      <c r="E150" s="218">
        <v>6.4000000000000001E-2</v>
      </c>
      <c r="F150" s="217">
        <v>94</v>
      </c>
      <c r="G150" s="218">
        <v>0.35599999999999998</v>
      </c>
      <c r="H150" s="217">
        <v>6</v>
      </c>
      <c r="I150" s="218">
        <v>1</v>
      </c>
      <c r="J150" s="217">
        <v>0</v>
      </c>
      <c r="K150" s="218">
        <v>0</v>
      </c>
      <c r="L150" s="217">
        <v>0</v>
      </c>
      <c r="M150" s="218">
        <v>0</v>
      </c>
      <c r="N150" s="217">
        <v>0</v>
      </c>
      <c r="O150" s="218">
        <v>0</v>
      </c>
      <c r="P150" s="217">
        <v>87</v>
      </c>
      <c r="Q150" s="218">
        <v>1</v>
      </c>
      <c r="R150" s="217">
        <v>0</v>
      </c>
      <c r="S150" s="218">
        <v>0</v>
      </c>
      <c r="T150" s="217">
        <v>220</v>
      </c>
      <c r="U150" s="218">
        <v>0.155</v>
      </c>
      <c r="V150" s="217">
        <v>703</v>
      </c>
      <c r="W150" s="218">
        <v>0.495</v>
      </c>
      <c r="X150" s="217">
        <v>497</v>
      </c>
      <c r="Y150" s="218">
        <v>0.35</v>
      </c>
      <c r="Z150" s="217">
        <v>0</v>
      </c>
      <c r="AA150" s="218">
        <v>0</v>
      </c>
      <c r="AB150" s="217">
        <v>18</v>
      </c>
      <c r="AC150" s="218">
        <v>1</v>
      </c>
      <c r="AD150" s="217">
        <v>0</v>
      </c>
      <c r="AE150" s="218">
        <v>0</v>
      </c>
      <c r="AF150" s="217">
        <v>25023</v>
      </c>
      <c r="AG150" s="218">
        <v>0.17</v>
      </c>
      <c r="AH150" s="217">
        <v>83246</v>
      </c>
      <c r="AI150" s="218">
        <v>0.56599999999999995</v>
      </c>
      <c r="AJ150" s="217">
        <v>38931</v>
      </c>
      <c r="AK150" s="218">
        <v>0.26400000000000001</v>
      </c>
      <c r="AL150" s="217">
        <v>46</v>
      </c>
      <c r="AM150" s="218">
        <v>0.28499999999999998</v>
      </c>
      <c r="AN150" s="217">
        <v>28</v>
      </c>
      <c r="AO150" s="218">
        <v>0.17100000000000001</v>
      </c>
      <c r="AP150" s="217">
        <v>87</v>
      </c>
      <c r="AQ150" s="218">
        <v>0.54400000000000004</v>
      </c>
      <c r="AR150" s="217">
        <v>18</v>
      </c>
      <c r="AS150" s="218">
        <v>1.9E-2</v>
      </c>
      <c r="AT150" s="217">
        <v>320</v>
      </c>
      <c r="AU150" s="218">
        <v>0.35299999999999998</v>
      </c>
      <c r="AV150" s="217">
        <v>570</v>
      </c>
      <c r="AW150" s="218">
        <v>0.628</v>
      </c>
      <c r="AX150" s="217">
        <v>7</v>
      </c>
      <c r="AY150" s="218">
        <v>1</v>
      </c>
      <c r="AZ150" s="217">
        <v>0</v>
      </c>
      <c r="BA150" s="218">
        <v>0</v>
      </c>
      <c r="BB150" s="217">
        <v>0</v>
      </c>
      <c r="BC150" s="218">
        <v>0</v>
      </c>
      <c r="BD150" s="217">
        <v>90</v>
      </c>
      <c r="BE150" s="218">
        <v>1</v>
      </c>
      <c r="BF150" s="217">
        <v>0</v>
      </c>
      <c r="BG150" s="218">
        <v>0</v>
      </c>
      <c r="BH150" s="217">
        <v>0</v>
      </c>
      <c r="BI150" s="218">
        <v>0</v>
      </c>
      <c r="BJ150" s="217">
        <v>414</v>
      </c>
      <c r="BK150" s="218">
        <v>0.25800000000000001</v>
      </c>
      <c r="BL150" s="217">
        <v>690</v>
      </c>
      <c r="BM150" s="218">
        <v>0.43</v>
      </c>
      <c r="BN150" s="217">
        <v>502</v>
      </c>
      <c r="BO150" s="218">
        <v>0.313</v>
      </c>
      <c r="BP150" s="217">
        <v>0</v>
      </c>
      <c r="BQ150" s="218">
        <v>0</v>
      </c>
      <c r="BR150" s="217">
        <v>0</v>
      </c>
      <c r="BS150" s="218">
        <v>0</v>
      </c>
      <c r="BT150" s="217">
        <v>0</v>
      </c>
      <c r="BU150" s="216">
        <v>0</v>
      </c>
    </row>
    <row r="151" spans="1:79" s="205" customFormat="1" ht="14.25" customHeight="1">
      <c r="A151" s="160" t="s">
        <v>2</v>
      </c>
      <c r="B151" s="214">
        <v>7</v>
      </c>
      <c r="C151" s="215">
        <v>0.24399999999999999</v>
      </c>
      <c r="D151" s="214">
        <v>17</v>
      </c>
      <c r="E151" s="215">
        <v>0.59</v>
      </c>
      <c r="F151" s="214">
        <v>5</v>
      </c>
      <c r="G151" s="215">
        <v>0.16600000000000001</v>
      </c>
      <c r="H151" s="214">
        <v>6</v>
      </c>
      <c r="I151" s="215">
        <v>1</v>
      </c>
      <c r="J151" s="214">
        <v>0</v>
      </c>
      <c r="K151" s="215">
        <v>0</v>
      </c>
      <c r="L151" s="214">
        <v>0</v>
      </c>
      <c r="M151" s="215">
        <v>0</v>
      </c>
      <c r="N151" s="214">
        <v>0</v>
      </c>
      <c r="O151" s="215">
        <v>0</v>
      </c>
      <c r="P151" s="214">
        <v>0</v>
      </c>
      <c r="Q151" s="215">
        <v>0</v>
      </c>
      <c r="R151" s="214">
        <v>0</v>
      </c>
      <c r="S151" s="215">
        <v>0</v>
      </c>
      <c r="T151" s="214">
        <v>13</v>
      </c>
      <c r="U151" s="215">
        <v>0.14899999999999999</v>
      </c>
      <c r="V151" s="214">
        <v>66</v>
      </c>
      <c r="W151" s="215">
        <v>0.75</v>
      </c>
      <c r="X151" s="214">
        <v>9</v>
      </c>
      <c r="Y151" s="215">
        <v>0.10100000000000001</v>
      </c>
      <c r="Z151" s="214">
        <v>0</v>
      </c>
      <c r="AA151" s="215">
        <v>0</v>
      </c>
      <c r="AB151" s="214">
        <v>0</v>
      </c>
      <c r="AC151" s="215">
        <v>0</v>
      </c>
      <c r="AD151" s="214">
        <v>0</v>
      </c>
      <c r="AE151" s="215">
        <v>0</v>
      </c>
      <c r="AF151" s="214">
        <v>1175</v>
      </c>
      <c r="AG151" s="215">
        <v>0.19600000000000001</v>
      </c>
      <c r="AH151" s="214">
        <v>3639</v>
      </c>
      <c r="AI151" s="215">
        <v>0.60499999999999998</v>
      </c>
      <c r="AJ151" s="214">
        <v>1197</v>
      </c>
      <c r="AK151" s="215">
        <v>0.19900000000000001</v>
      </c>
      <c r="AL151" s="214">
        <v>0</v>
      </c>
      <c r="AM151" s="215">
        <v>0</v>
      </c>
      <c r="AN151" s="214">
        <v>15</v>
      </c>
      <c r="AO151" s="215">
        <v>1</v>
      </c>
      <c r="AP151" s="214">
        <v>0</v>
      </c>
      <c r="AQ151" s="215">
        <v>0</v>
      </c>
      <c r="AR151" s="214">
        <v>0</v>
      </c>
      <c r="AS151" s="215">
        <v>0</v>
      </c>
      <c r="AT151" s="214">
        <v>18</v>
      </c>
      <c r="AU151" s="215">
        <v>0.628</v>
      </c>
      <c r="AV151" s="214">
        <v>11</v>
      </c>
      <c r="AW151" s="215">
        <v>0.372</v>
      </c>
      <c r="AX151" s="214">
        <v>7</v>
      </c>
      <c r="AY151" s="215">
        <v>1</v>
      </c>
      <c r="AZ151" s="214">
        <v>0</v>
      </c>
      <c r="BA151" s="215">
        <v>0</v>
      </c>
      <c r="BB151" s="214">
        <v>0</v>
      </c>
      <c r="BC151" s="215">
        <v>0</v>
      </c>
      <c r="BD151" s="214">
        <v>0</v>
      </c>
      <c r="BE151" s="215">
        <v>0</v>
      </c>
      <c r="BF151" s="214">
        <v>0</v>
      </c>
      <c r="BG151" s="215">
        <v>0</v>
      </c>
      <c r="BH151" s="214">
        <v>0</v>
      </c>
      <c r="BI151" s="215">
        <v>0</v>
      </c>
      <c r="BJ151" s="214">
        <v>15</v>
      </c>
      <c r="BK151" s="215">
        <v>0.14699999999999999</v>
      </c>
      <c r="BL151" s="214">
        <v>49</v>
      </c>
      <c r="BM151" s="215">
        <v>0.48499999999999999</v>
      </c>
      <c r="BN151" s="214">
        <v>37</v>
      </c>
      <c r="BO151" s="215">
        <v>0.36799999999999999</v>
      </c>
      <c r="BP151" s="214">
        <v>0</v>
      </c>
      <c r="BQ151" s="215">
        <v>0</v>
      </c>
      <c r="BR151" s="214">
        <v>0</v>
      </c>
      <c r="BS151" s="215">
        <v>0</v>
      </c>
      <c r="BT151" s="214">
        <v>0</v>
      </c>
      <c r="BU151" s="213">
        <v>0</v>
      </c>
      <c r="BV151" s="221"/>
      <c r="BW151" s="221"/>
      <c r="BX151" s="221"/>
      <c r="BY151" s="221"/>
      <c r="BZ151" s="221"/>
      <c r="CA151" s="221"/>
    </row>
    <row r="152" spans="1:79" s="205" customFormat="1" ht="14.25" customHeight="1">
      <c r="A152" s="160" t="s">
        <v>1</v>
      </c>
      <c r="B152" s="214">
        <v>81</v>
      </c>
      <c r="C152" s="215">
        <v>1</v>
      </c>
      <c r="D152" s="214">
        <v>0</v>
      </c>
      <c r="E152" s="215">
        <v>0</v>
      </c>
      <c r="F152" s="214">
        <v>0</v>
      </c>
      <c r="G152" s="215">
        <v>0</v>
      </c>
      <c r="H152" s="214">
        <v>0</v>
      </c>
      <c r="I152" s="215">
        <v>0</v>
      </c>
      <c r="J152" s="214">
        <v>0</v>
      </c>
      <c r="K152" s="215">
        <v>0</v>
      </c>
      <c r="L152" s="214">
        <v>0</v>
      </c>
      <c r="M152" s="215">
        <v>0</v>
      </c>
      <c r="N152" s="214">
        <v>0</v>
      </c>
      <c r="O152" s="215">
        <v>0</v>
      </c>
      <c r="P152" s="214">
        <v>0</v>
      </c>
      <c r="Q152" s="215">
        <v>0</v>
      </c>
      <c r="R152" s="214">
        <v>0</v>
      </c>
      <c r="S152" s="215">
        <v>0</v>
      </c>
      <c r="T152" s="214">
        <v>153</v>
      </c>
      <c r="U152" s="215">
        <v>1</v>
      </c>
      <c r="V152" s="214">
        <v>0</v>
      </c>
      <c r="W152" s="215">
        <v>0</v>
      </c>
      <c r="X152" s="214">
        <v>0</v>
      </c>
      <c r="Y152" s="215">
        <v>0</v>
      </c>
      <c r="Z152" s="214">
        <v>0</v>
      </c>
      <c r="AA152" s="215">
        <v>0</v>
      </c>
      <c r="AB152" s="214">
        <v>18</v>
      </c>
      <c r="AC152" s="215">
        <v>1</v>
      </c>
      <c r="AD152" s="214">
        <v>0</v>
      </c>
      <c r="AE152" s="215">
        <v>0</v>
      </c>
      <c r="AF152" s="214">
        <v>9569</v>
      </c>
      <c r="AG152" s="215">
        <v>0.23</v>
      </c>
      <c r="AH152" s="214">
        <v>24750</v>
      </c>
      <c r="AI152" s="215">
        <v>0.59499999999999997</v>
      </c>
      <c r="AJ152" s="214">
        <v>7287</v>
      </c>
      <c r="AK152" s="215">
        <v>0.17499999999999999</v>
      </c>
      <c r="AL152" s="214">
        <v>46</v>
      </c>
      <c r="AM152" s="215">
        <v>0.78500000000000003</v>
      </c>
      <c r="AN152" s="214">
        <v>13</v>
      </c>
      <c r="AO152" s="215">
        <v>0.215</v>
      </c>
      <c r="AP152" s="214">
        <v>0</v>
      </c>
      <c r="AQ152" s="215">
        <v>0</v>
      </c>
      <c r="AR152" s="214">
        <v>18</v>
      </c>
      <c r="AS152" s="215">
        <v>0.112</v>
      </c>
      <c r="AT152" s="214">
        <v>46</v>
      </c>
      <c r="AU152" s="215">
        <v>0.29199999999999998</v>
      </c>
      <c r="AV152" s="214">
        <v>93</v>
      </c>
      <c r="AW152" s="215">
        <v>0.59599999999999997</v>
      </c>
      <c r="AX152" s="214">
        <v>0</v>
      </c>
      <c r="AY152" s="215">
        <v>0</v>
      </c>
      <c r="AZ152" s="214">
        <v>0</v>
      </c>
      <c r="BA152" s="215">
        <v>0</v>
      </c>
      <c r="BB152" s="214">
        <v>0</v>
      </c>
      <c r="BC152" s="215">
        <v>0</v>
      </c>
      <c r="BD152" s="214">
        <v>0</v>
      </c>
      <c r="BE152" s="215">
        <v>0</v>
      </c>
      <c r="BF152" s="214">
        <v>0</v>
      </c>
      <c r="BG152" s="215">
        <v>0</v>
      </c>
      <c r="BH152" s="214">
        <v>0</v>
      </c>
      <c r="BI152" s="215">
        <v>0</v>
      </c>
      <c r="BJ152" s="214">
        <v>48</v>
      </c>
      <c r="BK152" s="215">
        <v>0.18</v>
      </c>
      <c r="BL152" s="214">
        <v>162</v>
      </c>
      <c r="BM152" s="215">
        <v>0.60399999999999998</v>
      </c>
      <c r="BN152" s="214">
        <v>58</v>
      </c>
      <c r="BO152" s="215">
        <v>0.216</v>
      </c>
      <c r="BP152" s="214">
        <v>0</v>
      </c>
      <c r="BQ152" s="215">
        <v>0</v>
      </c>
      <c r="BR152" s="214">
        <v>0</v>
      </c>
      <c r="BS152" s="215">
        <v>0</v>
      </c>
      <c r="BT152" s="214">
        <v>0</v>
      </c>
      <c r="BU152" s="213">
        <v>0</v>
      </c>
      <c r="BV152" s="222"/>
      <c r="BW152" s="222"/>
      <c r="BX152" s="222"/>
      <c r="BY152" s="222"/>
      <c r="BZ152" s="222"/>
      <c r="CA152" s="222"/>
    </row>
    <row r="153" spans="1:79" s="205" customFormat="1" ht="14.25" customHeight="1" thickBot="1">
      <c r="A153" s="160" t="s">
        <v>0</v>
      </c>
      <c r="B153" s="214">
        <v>66</v>
      </c>
      <c r="C153" s="215">
        <v>0.42299999999999999</v>
      </c>
      <c r="D153" s="214">
        <v>0</v>
      </c>
      <c r="E153" s="215">
        <v>0</v>
      </c>
      <c r="F153" s="214">
        <v>90</v>
      </c>
      <c r="G153" s="215">
        <v>0.57699999999999996</v>
      </c>
      <c r="H153" s="214">
        <v>0</v>
      </c>
      <c r="I153" s="215">
        <v>0</v>
      </c>
      <c r="J153" s="214">
        <v>0</v>
      </c>
      <c r="K153" s="215">
        <v>0</v>
      </c>
      <c r="L153" s="214">
        <v>0</v>
      </c>
      <c r="M153" s="215">
        <v>0</v>
      </c>
      <c r="N153" s="214">
        <v>0</v>
      </c>
      <c r="O153" s="215">
        <v>0</v>
      </c>
      <c r="P153" s="214">
        <v>87</v>
      </c>
      <c r="Q153" s="215">
        <v>1</v>
      </c>
      <c r="R153" s="214">
        <v>0</v>
      </c>
      <c r="S153" s="215">
        <v>0</v>
      </c>
      <c r="T153" s="214">
        <v>54</v>
      </c>
      <c r="U153" s="215">
        <v>4.5999999999999999E-2</v>
      </c>
      <c r="V153" s="214">
        <v>637</v>
      </c>
      <c r="W153" s="215">
        <v>0.54</v>
      </c>
      <c r="X153" s="214">
        <v>489</v>
      </c>
      <c r="Y153" s="215">
        <v>0.41399999999999998</v>
      </c>
      <c r="Z153" s="214">
        <v>0</v>
      </c>
      <c r="AA153" s="215">
        <v>0</v>
      </c>
      <c r="AB153" s="214">
        <v>0</v>
      </c>
      <c r="AC153" s="215">
        <v>0</v>
      </c>
      <c r="AD153" s="214">
        <v>0</v>
      </c>
      <c r="AE153" s="215">
        <v>0</v>
      </c>
      <c r="AF153" s="214">
        <v>14279</v>
      </c>
      <c r="AG153" s="215">
        <v>0.14299999999999999</v>
      </c>
      <c r="AH153" s="214">
        <v>54857</v>
      </c>
      <c r="AI153" s="215">
        <v>0.55100000000000005</v>
      </c>
      <c r="AJ153" s="214">
        <v>30448</v>
      </c>
      <c r="AK153" s="215">
        <v>0.30599999999999999</v>
      </c>
      <c r="AL153" s="214">
        <v>0</v>
      </c>
      <c r="AM153" s="215">
        <v>0</v>
      </c>
      <c r="AN153" s="214">
        <v>0</v>
      </c>
      <c r="AO153" s="215">
        <v>0</v>
      </c>
      <c r="AP153" s="214">
        <v>87</v>
      </c>
      <c r="AQ153" s="215">
        <v>1</v>
      </c>
      <c r="AR153" s="214">
        <v>0</v>
      </c>
      <c r="AS153" s="215">
        <v>0</v>
      </c>
      <c r="AT153" s="214">
        <v>256</v>
      </c>
      <c r="AU153" s="215">
        <v>0.35499999999999998</v>
      </c>
      <c r="AV153" s="214">
        <v>466</v>
      </c>
      <c r="AW153" s="215">
        <v>0.64500000000000002</v>
      </c>
      <c r="AX153" s="214">
        <v>0</v>
      </c>
      <c r="AY153" s="215">
        <v>0</v>
      </c>
      <c r="AZ153" s="214">
        <v>0</v>
      </c>
      <c r="BA153" s="215">
        <v>0</v>
      </c>
      <c r="BB153" s="214">
        <v>0</v>
      </c>
      <c r="BC153" s="215">
        <v>0</v>
      </c>
      <c r="BD153" s="214">
        <v>90</v>
      </c>
      <c r="BE153" s="215">
        <v>1</v>
      </c>
      <c r="BF153" s="214">
        <v>0</v>
      </c>
      <c r="BG153" s="215">
        <v>0</v>
      </c>
      <c r="BH153" s="214">
        <v>0</v>
      </c>
      <c r="BI153" s="215">
        <v>0</v>
      </c>
      <c r="BJ153" s="214">
        <v>351</v>
      </c>
      <c r="BK153" s="215">
        <v>0.28299999999999997</v>
      </c>
      <c r="BL153" s="214">
        <v>479</v>
      </c>
      <c r="BM153" s="215">
        <v>0.38700000000000001</v>
      </c>
      <c r="BN153" s="214">
        <v>407</v>
      </c>
      <c r="BO153" s="215">
        <v>0.32900000000000001</v>
      </c>
      <c r="BP153" s="214">
        <v>0</v>
      </c>
      <c r="BQ153" s="215">
        <v>0</v>
      </c>
      <c r="BR153" s="214">
        <v>0</v>
      </c>
      <c r="BS153" s="215">
        <v>0</v>
      </c>
      <c r="BT153" s="214">
        <v>0</v>
      </c>
      <c r="BU153" s="213">
        <v>0</v>
      </c>
      <c r="BV153" s="221"/>
      <c r="BW153" s="221"/>
      <c r="BX153" s="221"/>
      <c r="BY153" s="221"/>
      <c r="BZ153" s="221"/>
      <c r="CA153" s="221"/>
    </row>
    <row r="154" spans="1:79" s="205" customFormat="1" ht="14.25" customHeight="1">
      <c r="A154" s="219" t="s">
        <v>4</v>
      </c>
      <c r="B154" s="217">
        <v>0</v>
      </c>
      <c r="C154" s="218">
        <v>0</v>
      </c>
      <c r="D154" s="217">
        <v>142</v>
      </c>
      <c r="E154" s="218">
        <v>0.64200000000000002</v>
      </c>
      <c r="F154" s="217">
        <v>79</v>
      </c>
      <c r="G154" s="218">
        <v>0.35799999999999998</v>
      </c>
      <c r="H154" s="217">
        <v>0</v>
      </c>
      <c r="I154" s="218">
        <v>0</v>
      </c>
      <c r="J154" s="217">
        <v>0</v>
      </c>
      <c r="K154" s="218">
        <v>0</v>
      </c>
      <c r="L154" s="217">
        <v>0</v>
      </c>
      <c r="M154" s="218">
        <v>0</v>
      </c>
      <c r="N154" s="217">
        <v>0</v>
      </c>
      <c r="O154" s="218">
        <v>0</v>
      </c>
      <c r="P154" s="217">
        <v>0</v>
      </c>
      <c r="Q154" s="218">
        <v>0</v>
      </c>
      <c r="R154" s="217">
        <v>0</v>
      </c>
      <c r="S154" s="218">
        <v>0</v>
      </c>
      <c r="T154" s="217">
        <v>151</v>
      </c>
      <c r="U154" s="218">
        <v>0.10199999999999999</v>
      </c>
      <c r="V154" s="217">
        <v>826</v>
      </c>
      <c r="W154" s="218">
        <v>0.56299999999999994</v>
      </c>
      <c r="X154" s="217">
        <v>492</v>
      </c>
      <c r="Y154" s="218">
        <v>0.33500000000000002</v>
      </c>
      <c r="Z154" s="217">
        <v>0</v>
      </c>
      <c r="AA154" s="218">
        <v>0</v>
      </c>
      <c r="AB154" s="217">
        <v>0</v>
      </c>
      <c r="AC154" s="218">
        <v>0</v>
      </c>
      <c r="AD154" s="217">
        <v>0</v>
      </c>
      <c r="AE154" s="218">
        <v>0</v>
      </c>
      <c r="AF154" s="217">
        <v>21631</v>
      </c>
      <c r="AG154" s="218">
        <v>0.16200000000000001</v>
      </c>
      <c r="AH154" s="217">
        <v>80297</v>
      </c>
      <c r="AI154" s="218">
        <v>0.60199999999999998</v>
      </c>
      <c r="AJ154" s="217">
        <v>31387</v>
      </c>
      <c r="AK154" s="218">
        <v>0.23499999999999999</v>
      </c>
      <c r="AL154" s="217">
        <v>69</v>
      </c>
      <c r="AM154" s="218">
        <v>0.503</v>
      </c>
      <c r="AN154" s="217">
        <v>53</v>
      </c>
      <c r="AO154" s="218">
        <v>0.38600000000000001</v>
      </c>
      <c r="AP154" s="217">
        <v>15</v>
      </c>
      <c r="AQ154" s="218">
        <v>0.111</v>
      </c>
      <c r="AR154" s="217">
        <v>148</v>
      </c>
      <c r="AS154" s="218">
        <v>0.27700000000000002</v>
      </c>
      <c r="AT154" s="217">
        <v>286</v>
      </c>
      <c r="AU154" s="218">
        <v>0.53500000000000003</v>
      </c>
      <c r="AV154" s="217">
        <v>100</v>
      </c>
      <c r="AW154" s="218">
        <v>0.188</v>
      </c>
      <c r="AX154" s="217">
        <v>0</v>
      </c>
      <c r="AY154" s="218">
        <v>0</v>
      </c>
      <c r="AZ154" s="217">
        <v>5</v>
      </c>
      <c r="BA154" s="218">
        <v>1</v>
      </c>
      <c r="BB154" s="217">
        <v>0</v>
      </c>
      <c r="BC154" s="218">
        <v>0</v>
      </c>
      <c r="BD154" s="217">
        <v>0</v>
      </c>
      <c r="BE154" s="218">
        <v>0</v>
      </c>
      <c r="BF154" s="217">
        <v>0</v>
      </c>
      <c r="BG154" s="218">
        <v>0</v>
      </c>
      <c r="BH154" s="217">
        <v>0</v>
      </c>
      <c r="BI154" s="218">
        <v>0</v>
      </c>
      <c r="BJ154" s="217">
        <v>491</v>
      </c>
      <c r="BK154" s="218">
        <v>0.21299999999999999</v>
      </c>
      <c r="BL154" s="217">
        <v>1536</v>
      </c>
      <c r="BM154" s="218">
        <v>0.66500000000000004</v>
      </c>
      <c r="BN154" s="217">
        <v>281</v>
      </c>
      <c r="BO154" s="218">
        <v>0.122</v>
      </c>
      <c r="BP154" s="217">
        <v>0</v>
      </c>
      <c r="BQ154" s="218">
        <v>0</v>
      </c>
      <c r="BR154" s="217">
        <v>0</v>
      </c>
      <c r="BS154" s="218">
        <v>0</v>
      </c>
      <c r="BT154" s="217">
        <v>0</v>
      </c>
      <c r="BU154" s="216">
        <v>0</v>
      </c>
      <c r="BV154" s="220"/>
      <c r="BW154" s="220"/>
      <c r="BX154" s="220"/>
      <c r="BY154" s="220"/>
      <c r="BZ154" s="220"/>
      <c r="CA154" s="220"/>
    </row>
    <row r="155" spans="1:79" s="205" customFormat="1" ht="14.25" customHeight="1">
      <c r="A155" s="160" t="s">
        <v>2</v>
      </c>
      <c r="B155" s="214">
        <v>0</v>
      </c>
      <c r="C155" s="215">
        <v>0</v>
      </c>
      <c r="D155" s="214">
        <v>0</v>
      </c>
      <c r="E155" s="215">
        <v>0</v>
      </c>
      <c r="F155" s="214">
        <v>10</v>
      </c>
      <c r="G155" s="215">
        <v>1</v>
      </c>
      <c r="H155" s="214">
        <v>0</v>
      </c>
      <c r="I155" s="215">
        <v>0</v>
      </c>
      <c r="J155" s="214">
        <v>0</v>
      </c>
      <c r="K155" s="215">
        <v>0</v>
      </c>
      <c r="L155" s="214">
        <v>0</v>
      </c>
      <c r="M155" s="215">
        <v>0</v>
      </c>
      <c r="N155" s="214">
        <v>0</v>
      </c>
      <c r="O155" s="215">
        <v>0</v>
      </c>
      <c r="P155" s="214">
        <v>0</v>
      </c>
      <c r="Q155" s="215">
        <v>0</v>
      </c>
      <c r="R155" s="214">
        <v>0</v>
      </c>
      <c r="S155" s="215">
        <v>0</v>
      </c>
      <c r="T155" s="214">
        <v>18</v>
      </c>
      <c r="U155" s="215">
        <v>0.25800000000000001</v>
      </c>
      <c r="V155" s="214">
        <v>41</v>
      </c>
      <c r="W155" s="215">
        <v>0.58799999999999997</v>
      </c>
      <c r="X155" s="214">
        <v>11</v>
      </c>
      <c r="Y155" s="215">
        <v>0.154</v>
      </c>
      <c r="Z155" s="214">
        <v>0</v>
      </c>
      <c r="AA155" s="215">
        <v>0</v>
      </c>
      <c r="AB155" s="214">
        <v>0</v>
      </c>
      <c r="AC155" s="215">
        <v>0</v>
      </c>
      <c r="AD155" s="214">
        <v>0</v>
      </c>
      <c r="AE155" s="215">
        <v>0</v>
      </c>
      <c r="AF155" s="214">
        <v>1063</v>
      </c>
      <c r="AG155" s="215">
        <v>0.21</v>
      </c>
      <c r="AH155" s="214">
        <v>3038</v>
      </c>
      <c r="AI155" s="215">
        <v>0.59899999999999998</v>
      </c>
      <c r="AJ155" s="214">
        <v>971</v>
      </c>
      <c r="AK155" s="215">
        <v>0.191</v>
      </c>
      <c r="AL155" s="214">
        <v>0</v>
      </c>
      <c r="AM155" s="215">
        <v>0</v>
      </c>
      <c r="AN155" s="214">
        <v>0</v>
      </c>
      <c r="AO155" s="215">
        <v>0</v>
      </c>
      <c r="AP155" s="214">
        <v>0</v>
      </c>
      <c r="AQ155" s="215">
        <v>0</v>
      </c>
      <c r="AR155" s="214">
        <v>0</v>
      </c>
      <c r="AS155" s="215">
        <v>0</v>
      </c>
      <c r="AT155" s="214">
        <v>12</v>
      </c>
      <c r="AU155" s="215">
        <v>1</v>
      </c>
      <c r="AV155" s="214">
        <v>0</v>
      </c>
      <c r="AW155" s="215">
        <v>0</v>
      </c>
      <c r="AX155" s="214">
        <v>0</v>
      </c>
      <c r="AY155" s="215">
        <v>0</v>
      </c>
      <c r="AZ155" s="214">
        <v>5</v>
      </c>
      <c r="BA155" s="215">
        <v>1</v>
      </c>
      <c r="BB155" s="214">
        <v>0</v>
      </c>
      <c r="BC155" s="215">
        <v>0</v>
      </c>
      <c r="BD155" s="214">
        <v>0</v>
      </c>
      <c r="BE155" s="215">
        <v>0</v>
      </c>
      <c r="BF155" s="214">
        <v>0</v>
      </c>
      <c r="BG155" s="215">
        <v>0</v>
      </c>
      <c r="BH155" s="214">
        <v>0</v>
      </c>
      <c r="BI155" s="215">
        <v>0</v>
      </c>
      <c r="BJ155" s="214">
        <v>12</v>
      </c>
      <c r="BK155" s="215">
        <v>0.185</v>
      </c>
      <c r="BL155" s="214">
        <v>45</v>
      </c>
      <c r="BM155" s="215">
        <v>0.71499999999999997</v>
      </c>
      <c r="BN155" s="214">
        <v>6</v>
      </c>
      <c r="BO155" s="215">
        <v>0.1</v>
      </c>
      <c r="BP155" s="214">
        <v>0</v>
      </c>
      <c r="BQ155" s="215">
        <v>0</v>
      </c>
      <c r="BR155" s="214">
        <v>0</v>
      </c>
      <c r="BS155" s="215">
        <v>0</v>
      </c>
      <c r="BT155" s="214">
        <v>0</v>
      </c>
      <c r="BU155" s="213">
        <v>0</v>
      </c>
      <c r="BV155" s="207"/>
      <c r="BW155" s="206"/>
      <c r="BX155" s="207"/>
      <c r="BY155" s="206"/>
      <c r="BZ155" s="207"/>
      <c r="CA155" s="206"/>
    </row>
    <row r="156" spans="1:79" s="205" customFormat="1" ht="14.25" customHeight="1">
      <c r="A156" s="160" t="s">
        <v>1</v>
      </c>
      <c r="B156" s="214">
        <v>0</v>
      </c>
      <c r="C156" s="215">
        <v>0</v>
      </c>
      <c r="D156" s="214">
        <v>0</v>
      </c>
      <c r="E156" s="215">
        <v>0</v>
      </c>
      <c r="F156" s="214">
        <v>0</v>
      </c>
      <c r="G156" s="215">
        <v>0</v>
      </c>
      <c r="H156" s="214">
        <v>0</v>
      </c>
      <c r="I156" s="215">
        <v>0</v>
      </c>
      <c r="J156" s="214">
        <v>0</v>
      </c>
      <c r="K156" s="215">
        <v>0</v>
      </c>
      <c r="L156" s="214">
        <v>0</v>
      </c>
      <c r="M156" s="215">
        <v>0</v>
      </c>
      <c r="N156" s="214">
        <v>0</v>
      </c>
      <c r="O156" s="215">
        <v>0</v>
      </c>
      <c r="P156" s="214">
        <v>0</v>
      </c>
      <c r="Q156" s="215">
        <v>0</v>
      </c>
      <c r="R156" s="214">
        <v>0</v>
      </c>
      <c r="S156" s="215">
        <v>0</v>
      </c>
      <c r="T156" s="214">
        <v>80</v>
      </c>
      <c r="U156" s="215">
        <v>0.21099999999999999</v>
      </c>
      <c r="V156" s="214">
        <v>206</v>
      </c>
      <c r="W156" s="215">
        <v>0.54800000000000004</v>
      </c>
      <c r="X156" s="214">
        <v>91</v>
      </c>
      <c r="Y156" s="215">
        <v>0.24099999999999999</v>
      </c>
      <c r="Z156" s="214">
        <v>0</v>
      </c>
      <c r="AA156" s="215">
        <v>0</v>
      </c>
      <c r="AB156" s="214">
        <v>0</v>
      </c>
      <c r="AC156" s="215">
        <v>0</v>
      </c>
      <c r="AD156" s="214">
        <v>0</v>
      </c>
      <c r="AE156" s="215">
        <v>0</v>
      </c>
      <c r="AF156" s="214">
        <v>7615</v>
      </c>
      <c r="AG156" s="215">
        <v>0.19700000000000001</v>
      </c>
      <c r="AH156" s="214">
        <v>24348</v>
      </c>
      <c r="AI156" s="215">
        <v>0.63</v>
      </c>
      <c r="AJ156" s="214">
        <v>6715</v>
      </c>
      <c r="AK156" s="215">
        <v>0.17399999999999999</v>
      </c>
      <c r="AL156" s="214">
        <v>0</v>
      </c>
      <c r="AM156" s="215">
        <v>0</v>
      </c>
      <c r="AN156" s="214">
        <v>0</v>
      </c>
      <c r="AO156" s="215">
        <v>0</v>
      </c>
      <c r="AP156" s="214">
        <v>15</v>
      </c>
      <c r="AQ156" s="215">
        <v>1</v>
      </c>
      <c r="AR156" s="214">
        <v>41</v>
      </c>
      <c r="AS156" s="215">
        <v>0.5</v>
      </c>
      <c r="AT156" s="214">
        <v>41</v>
      </c>
      <c r="AU156" s="215">
        <v>0.5</v>
      </c>
      <c r="AV156" s="214">
        <v>0</v>
      </c>
      <c r="AW156" s="215">
        <v>0</v>
      </c>
      <c r="AX156" s="214">
        <v>0</v>
      </c>
      <c r="AY156" s="215">
        <v>0</v>
      </c>
      <c r="AZ156" s="214">
        <v>0</v>
      </c>
      <c r="BA156" s="215">
        <v>0</v>
      </c>
      <c r="BB156" s="214">
        <v>0</v>
      </c>
      <c r="BC156" s="215">
        <v>0</v>
      </c>
      <c r="BD156" s="214">
        <v>0</v>
      </c>
      <c r="BE156" s="215">
        <v>0</v>
      </c>
      <c r="BF156" s="214">
        <v>0</v>
      </c>
      <c r="BG156" s="215">
        <v>0</v>
      </c>
      <c r="BH156" s="214">
        <v>0</v>
      </c>
      <c r="BI156" s="215">
        <v>0</v>
      </c>
      <c r="BJ156" s="214">
        <v>73</v>
      </c>
      <c r="BK156" s="215">
        <v>0.13500000000000001</v>
      </c>
      <c r="BL156" s="214">
        <v>348</v>
      </c>
      <c r="BM156" s="215">
        <v>0.63900000000000001</v>
      </c>
      <c r="BN156" s="214">
        <v>123</v>
      </c>
      <c r="BO156" s="215">
        <v>0.22700000000000001</v>
      </c>
      <c r="BP156" s="214">
        <v>0</v>
      </c>
      <c r="BQ156" s="215">
        <v>0</v>
      </c>
      <c r="BR156" s="214">
        <v>0</v>
      </c>
      <c r="BS156" s="215">
        <v>0</v>
      </c>
      <c r="BT156" s="214">
        <v>0</v>
      </c>
      <c r="BU156" s="213">
        <v>0</v>
      </c>
      <c r="BV156" s="207"/>
      <c r="BW156" s="206"/>
      <c r="BX156" s="207"/>
      <c r="BY156" s="206"/>
      <c r="BZ156" s="207"/>
      <c r="CA156" s="206"/>
    </row>
    <row r="157" spans="1:79" s="205" customFormat="1" ht="14.25" customHeight="1" thickBot="1">
      <c r="A157" s="160" t="s">
        <v>0</v>
      </c>
      <c r="B157" s="214">
        <v>0</v>
      </c>
      <c r="C157" s="215">
        <v>0</v>
      </c>
      <c r="D157" s="214">
        <v>142</v>
      </c>
      <c r="E157" s="215">
        <v>0.67400000000000004</v>
      </c>
      <c r="F157" s="214">
        <v>69</v>
      </c>
      <c r="G157" s="215">
        <v>0.32600000000000001</v>
      </c>
      <c r="H157" s="214">
        <v>0</v>
      </c>
      <c r="I157" s="215">
        <v>0</v>
      </c>
      <c r="J157" s="214">
        <v>0</v>
      </c>
      <c r="K157" s="215">
        <v>0</v>
      </c>
      <c r="L157" s="214">
        <v>0</v>
      </c>
      <c r="M157" s="215">
        <v>0</v>
      </c>
      <c r="N157" s="214">
        <v>0</v>
      </c>
      <c r="O157" s="215">
        <v>0</v>
      </c>
      <c r="P157" s="214">
        <v>0</v>
      </c>
      <c r="Q157" s="215">
        <v>0</v>
      </c>
      <c r="R157" s="214">
        <v>0</v>
      </c>
      <c r="S157" s="215">
        <v>0</v>
      </c>
      <c r="T157" s="214">
        <v>53</v>
      </c>
      <c r="U157" s="215">
        <v>5.1999999999999998E-2</v>
      </c>
      <c r="V157" s="214">
        <v>579</v>
      </c>
      <c r="W157" s="215">
        <v>0.56599999999999995</v>
      </c>
      <c r="X157" s="214">
        <v>391</v>
      </c>
      <c r="Y157" s="215">
        <v>0.38200000000000001</v>
      </c>
      <c r="Z157" s="214">
        <v>0</v>
      </c>
      <c r="AA157" s="215">
        <v>0</v>
      </c>
      <c r="AB157" s="214">
        <v>0</v>
      </c>
      <c r="AC157" s="215">
        <v>0</v>
      </c>
      <c r="AD157" s="214">
        <v>0</v>
      </c>
      <c r="AE157" s="215">
        <v>0</v>
      </c>
      <c r="AF157" s="214">
        <v>12953</v>
      </c>
      <c r="AG157" s="215">
        <v>0.14499999999999999</v>
      </c>
      <c r="AH157" s="214">
        <v>52912</v>
      </c>
      <c r="AI157" s="215">
        <v>0.59099999999999997</v>
      </c>
      <c r="AJ157" s="214">
        <v>23701</v>
      </c>
      <c r="AK157" s="215">
        <v>0.26500000000000001</v>
      </c>
      <c r="AL157" s="214">
        <v>69</v>
      </c>
      <c r="AM157" s="215">
        <v>0.56599999999999995</v>
      </c>
      <c r="AN157" s="214">
        <v>53</v>
      </c>
      <c r="AO157" s="215">
        <v>0.434</v>
      </c>
      <c r="AP157" s="214">
        <v>0</v>
      </c>
      <c r="AQ157" s="215">
        <v>0</v>
      </c>
      <c r="AR157" s="214">
        <v>107</v>
      </c>
      <c r="AS157" s="215">
        <v>0.24299999999999999</v>
      </c>
      <c r="AT157" s="214">
        <v>233</v>
      </c>
      <c r="AU157" s="215">
        <v>0.52900000000000003</v>
      </c>
      <c r="AV157" s="214">
        <v>100</v>
      </c>
      <c r="AW157" s="215">
        <v>0.22800000000000001</v>
      </c>
      <c r="AX157" s="214">
        <v>0</v>
      </c>
      <c r="AY157" s="215">
        <v>0</v>
      </c>
      <c r="AZ157" s="214">
        <v>0</v>
      </c>
      <c r="BA157" s="215">
        <v>0</v>
      </c>
      <c r="BB157" s="214">
        <v>0</v>
      </c>
      <c r="BC157" s="215">
        <v>0</v>
      </c>
      <c r="BD157" s="214">
        <v>0</v>
      </c>
      <c r="BE157" s="215">
        <v>0</v>
      </c>
      <c r="BF157" s="214">
        <v>0</v>
      </c>
      <c r="BG157" s="215">
        <v>0</v>
      </c>
      <c r="BH157" s="214">
        <v>0</v>
      </c>
      <c r="BI157" s="215">
        <v>0</v>
      </c>
      <c r="BJ157" s="214">
        <v>406</v>
      </c>
      <c r="BK157" s="215">
        <v>0.23899999999999999</v>
      </c>
      <c r="BL157" s="214">
        <v>1143</v>
      </c>
      <c r="BM157" s="215">
        <v>0.67200000000000004</v>
      </c>
      <c r="BN157" s="214">
        <v>152</v>
      </c>
      <c r="BO157" s="215">
        <v>8.8999999999999996E-2</v>
      </c>
      <c r="BP157" s="214">
        <v>0</v>
      </c>
      <c r="BQ157" s="215">
        <v>0</v>
      </c>
      <c r="BR157" s="214">
        <v>0</v>
      </c>
      <c r="BS157" s="215">
        <v>0</v>
      </c>
      <c r="BT157" s="214">
        <v>0</v>
      </c>
      <c r="BU157" s="213">
        <v>0</v>
      </c>
      <c r="BV157" s="207"/>
      <c r="BW157" s="206"/>
      <c r="BX157" s="207"/>
      <c r="BY157" s="206"/>
      <c r="BZ157" s="207"/>
      <c r="CA157" s="206"/>
    </row>
    <row r="158" spans="1:79" s="205" customFormat="1" ht="14.25" customHeight="1">
      <c r="A158" s="219" t="s">
        <v>3</v>
      </c>
      <c r="B158" s="217">
        <v>0</v>
      </c>
      <c r="C158" s="218">
        <v>0</v>
      </c>
      <c r="D158" s="217">
        <v>188</v>
      </c>
      <c r="E158" s="218">
        <v>0.73699999999999999</v>
      </c>
      <c r="F158" s="217">
        <v>67</v>
      </c>
      <c r="G158" s="218">
        <v>0.26300000000000001</v>
      </c>
      <c r="H158" s="217">
        <v>0</v>
      </c>
      <c r="I158" s="218">
        <v>0</v>
      </c>
      <c r="J158" s="217">
        <v>0</v>
      </c>
      <c r="K158" s="218">
        <v>0</v>
      </c>
      <c r="L158" s="217">
        <v>0</v>
      </c>
      <c r="M158" s="218">
        <v>0</v>
      </c>
      <c r="N158" s="217">
        <v>0</v>
      </c>
      <c r="O158" s="218">
        <v>0</v>
      </c>
      <c r="P158" s="217">
        <v>0</v>
      </c>
      <c r="Q158" s="218">
        <v>0</v>
      </c>
      <c r="R158" s="217">
        <v>0</v>
      </c>
      <c r="S158" s="218">
        <v>0</v>
      </c>
      <c r="T158" s="217">
        <v>229</v>
      </c>
      <c r="U158" s="218">
        <v>0.20300000000000001</v>
      </c>
      <c r="V158" s="217">
        <v>589</v>
      </c>
      <c r="W158" s="218">
        <v>0.52100000000000002</v>
      </c>
      <c r="X158" s="217">
        <v>311</v>
      </c>
      <c r="Y158" s="218">
        <v>0.27500000000000002</v>
      </c>
      <c r="Z158" s="217">
        <v>0</v>
      </c>
      <c r="AA158" s="218">
        <v>0</v>
      </c>
      <c r="AB158" s="217">
        <v>0</v>
      </c>
      <c r="AC158" s="218">
        <v>0</v>
      </c>
      <c r="AD158" s="217">
        <v>0</v>
      </c>
      <c r="AE158" s="218">
        <v>0</v>
      </c>
      <c r="AF158" s="217">
        <v>14149</v>
      </c>
      <c r="AG158" s="218">
        <v>0.158</v>
      </c>
      <c r="AH158" s="217">
        <v>48638</v>
      </c>
      <c r="AI158" s="218">
        <v>0.54200000000000004</v>
      </c>
      <c r="AJ158" s="217">
        <v>26896</v>
      </c>
      <c r="AK158" s="218">
        <v>0.3</v>
      </c>
      <c r="AL158" s="217">
        <v>0</v>
      </c>
      <c r="AM158" s="218">
        <v>0</v>
      </c>
      <c r="AN158" s="217">
        <v>0</v>
      </c>
      <c r="AO158" s="218">
        <v>0</v>
      </c>
      <c r="AP158" s="217">
        <v>0</v>
      </c>
      <c r="AQ158" s="218">
        <v>0</v>
      </c>
      <c r="AR158" s="217">
        <v>105</v>
      </c>
      <c r="AS158" s="218">
        <v>0.187</v>
      </c>
      <c r="AT158" s="217">
        <v>272</v>
      </c>
      <c r="AU158" s="218">
        <v>0.48299999999999998</v>
      </c>
      <c r="AV158" s="217">
        <v>186</v>
      </c>
      <c r="AW158" s="218">
        <v>0.33100000000000002</v>
      </c>
      <c r="AX158" s="217">
        <v>0</v>
      </c>
      <c r="AY158" s="218">
        <v>0</v>
      </c>
      <c r="AZ158" s="217">
        <v>0</v>
      </c>
      <c r="BA158" s="218">
        <v>0</v>
      </c>
      <c r="BB158" s="217">
        <v>0</v>
      </c>
      <c r="BC158" s="218">
        <v>0</v>
      </c>
      <c r="BD158" s="217">
        <v>0</v>
      </c>
      <c r="BE158" s="218">
        <v>0</v>
      </c>
      <c r="BF158" s="217">
        <v>0</v>
      </c>
      <c r="BG158" s="218">
        <v>0</v>
      </c>
      <c r="BH158" s="217">
        <v>0</v>
      </c>
      <c r="BI158" s="218">
        <v>0</v>
      </c>
      <c r="BJ158" s="217">
        <v>236</v>
      </c>
      <c r="BK158" s="218">
        <v>0.16</v>
      </c>
      <c r="BL158" s="217">
        <v>787</v>
      </c>
      <c r="BM158" s="218">
        <v>0.53400000000000003</v>
      </c>
      <c r="BN158" s="217">
        <v>451</v>
      </c>
      <c r="BO158" s="218">
        <v>0.30599999999999999</v>
      </c>
      <c r="BP158" s="217">
        <v>0</v>
      </c>
      <c r="BQ158" s="218">
        <v>0</v>
      </c>
      <c r="BR158" s="217">
        <v>72</v>
      </c>
      <c r="BS158" s="218">
        <v>1</v>
      </c>
      <c r="BT158" s="217">
        <v>0</v>
      </c>
      <c r="BU158" s="216">
        <v>0</v>
      </c>
      <c r="BV158" s="207"/>
      <c r="BW158" s="206"/>
      <c r="BX158" s="207"/>
      <c r="BY158" s="206"/>
      <c r="BZ158" s="207"/>
      <c r="CA158" s="206"/>
    </row>
    <row r="159" spans="1:79" s="205" customFormat="1" ht="14.25" customHeight="1">
      <c r="A159" s="160" t="s">
        <v>2</v>
      </c>
      <c r="B159" s="214">
        <v>0</v>
      </c>
      <c r="C159" s="215">
        <v>0</v>
      </c>
      <c r="D159" s="214">
        <v>13</v>
      </c>
      <c r="E159" s="215">
        <v>1</v>
      </c>
      <c r="F159" s="214">
        <v>0</v>
      </c>
      <c r="G159" s="215">
        <v>0</v>
      </c>
      <c r="H159" s="214">
        <v>0</v>
      </c>
      <c r="I159" s="215">
        <v>0</v>
      </c>
      <c r="J159" s="214">
        <v>0</v>
      </c>
      <c r="K159" s="215">
        <v>0</v>
      </c>
      <c r="L159" s="214">
        <v>0</v>
      </c>
      <c r="M159" s="215">
        <v>0</v>
      </c>
      <c r="N159" s="214">
        <v>0</v>
      </c>
      <c r="O159" s="215">
        <v>0</v>
      </c>
      <c r="P159" s="214">
        <v>0</v>
      </c>
      <c r="Q159" s="215">
        <v>0</v>
      </c>
      <c r="R159" s="214">
        <v>0</v>
      </c>
      <c r="S159" s="215">
        <v>0</v>
      </c>
      <c r="T159" s="214">
        <v>6</v>
      </c>
      <c r="U159" s="215">
        <v>0.13</v>
      </c>
      <c r="V159" s="214">
        <v>32</v>
      </c>
      <c r="W159" s="215">
        <v>0.70399999999999996</v>
      </c>
      <c r="X159" s="214">
        <v>8</v>
      </c>
      <c r="Y159" s="215">
        <v>0.16700000000000001</v>
      </c>
      <c r="Z159" s="214">
        <v>0</v>
      </c>
      <c r="AA159" s="215">
        <v>0</v>
      </c>
      <c r="AB159" s="214">
        <v>0</v>
      </c>
      <c r="AC159" s="215">
        <v>0</v>
      </c>
      <c r="AD159" s="214">
        <v>0</v>
      </c>
      <c r="AE159" s="215">
        <v>0</v>
      </c>
      <c r="AF159" s="214">
        <v>649</v>
      </c>
      <c r="AG159" s="215">
        <v>0.157</v>
      </c>
      <c r="AH159" s="214">
        <v>2536</v>
      </c>
      <c r="AI159" s="215">
        <v>0.61299999999999999</v>
      </c>
      <c r="AJ159" s="214">
        <v>955</v>
      </c>
      <c r="AK159" s="215">
        <v>0.23100000000000001</v>
      </c>
      <c r="AL159" s="214">
        <v>0</v>
      </c>
      <c r="AM159" s="215">
        <v>0</v>
      </c>
      <c r="AN159" s="214">
        <v>0</v>
      </c>
      <c r="AO159" s="215">
        <v>0</v>
      </c>
      <c r="AP159" s="214">
        <v>0</v>
      </c>
      <c r="AQ159" s="215">
        <v>0</v>
      </c>
      <c r="AR159" s="214">
        <v>0</v>
      </c>
      <c r="AS159" s="215">
        <v>0</v>
      </c>
      <c r="AT159" s="214">
        <v>5</v>
      </c>
      <c r="AU159" s="215">
        <v>1</v>
      </c>
      <c r="AV159" s="214">
        <v>0</v>
      </c>
      <c r="AW159" s="215">
        <v>0</v>
      </c>
      <c r="AX159" s="214">
        <v>0</v>
      </c>
      <c r="AY159" s="215">
        <v>0</v>
      </c>
      <c r="AZ159" s="214">
        <v>0</v>
      </c>
      <c r="BA159" s="215">
        <v>0</v>
      </c>
      <c r="BB159" s="214">
        <v>0</v>
      </c>
      <c r="BC159" s="215">
        <v>0</v>
      </c>
      <c r="BD159" s="214">
        <v>0</v>
      </c>
      <c r="BE159" s="215">
        <v>0</v>
      </c>
      <c r="BF159" s="214">
        <v>0</v>
      </c>
      <c r="BG159" s="215">
        <v>0</v>
      </c>
      <c r="BH159" s="214">
        <v>0</v>
      </c>
      <c r="BI159" s="215">
        <v>0</v>
      </c>
      <c r="BJ159" s="214">
        <v>29</v>
      </c>
      <c r="BK159" s="215">
        <v>0.63900000000000001</v>
      </c>
      <c r="BL159" s="214">
        <v>16</v>
      </c>
      <c r="BM159" s="215">
        <v>0.36099999999999999</v>
      </c>
      <c r="BN159" s="214">
        <v>0</v>
      </c>
      <c r="BO159" s="215">
        <v>0</v>
      </c>
      <c r="BP159" s="214">
        <v>0</v>
      </c>
      <c r="BQ159" s="215">
        <v>0</v>
      </c>
      <c r="BR159" s="214">
        <v>0</v>
      </c>
      <c r="BS159" s="215">
        <v>0</v>
      </c>
      <c r="BT159" s="214">
        <v>0</v>
      </c>
      <c r="BU159" s="213">
        <v>0</v>
      </c>
      <c r="BV159" s="207"/>
      <c r="BW159" s="206"/>
      <c r="BX159" s="207"/>
      <c r="BY159" s="206"/>
      <c r="BZ159" s="207"/>
      <c r="CA159" s="206"/>
    </row>
    <row r="160" spans="1:79" s="205" customFormat="1" ht="14.25" customHeight="1">
      <c r="A160" s="160" t="s">
        <v>1</v>
      </c>
      <c r="B160" s="214">
        <v>0</v>
      </c>
      <c r="C160" s="215">
        <v>0</v>
      </c>
      <c r="D160" s="214">
        <v>11</v>
      </c>
      <c r="E160" s="215">
        <v>0.5</v>
      </c>
      <c r="F160" s="214">
        <v>11</v>
      </c>
      <c r="G160" s="215">
        <v>0.5</v>
      </c>
      <c r="H160" s="214">
        <v>0</v>
      </c>
      <c r="I160" s="215">
        <v>0</v>
      </c>
      <c r="J160" s="214">
        <v>0</v>
      </c>
      <c r="K160" s="215">
        <v>0</v>
      </c>
      <c r="L160" s="214">
        <v>0</v>
      </c>
      <c r="M160" s="215">
        <v>0</v>
      </c>
      <c r="N160" s="214">
        <v>0</v>
      </c>
      <c r="O160" s="215">
        <v>0</v>
      </c>
      <c r="P160" s="214">
        <v>0</v>
      </c>
      <c r="Q160" s="215">
        <v>0</v>
      </c>
      <c r="R160" s="214">
        <v>0</v>
      </c>
      <c r="S160" s="215">
        <v>0</v>
      </c>
      <c r="T160" s="214">
        <v>26</v>
      </c>
      <c r="U160" s="215">
        <v>0.246</v>
      </c>
      <c r="V160" s="214">
        <v>49</v>
      </c>
      <c r="W160" s="215">
        <v>0.46899999999999997</v>
      </c>
      <c r="X160" s="214">
        <v>30</v>
      </c>
      <c r="Y160" s="215">
        <v>0.28499999999999998</v>
      </c>
      <c r="Z160" s="214">
        <v>0</v>
      </c>
      <c r="AA160" s="215">
        <v>0</v>
      </c>
      <c r="AB160" s="214">
        <v>0</v>
      </c>
      <c r="AC160" s="215">
        <v>0</v>
      </c>
      <c r="AD160" s="214">
        <v>0</v>
      </c>
      <c r="AE160" s="215">
        <v>0</v>
      </c>
      <c r="AF160" s="214">
        <v>2190</v>
      </c>
      <c r="AG160" s="215">
        <v>0.19400000000000001</v>
      </c>
      <c r="AH160" s="214">
        <v>6991</v>
      </c>
      <c r="AI160" s="215">
        <v>0.61799999999999999</v>
      </c>
      <c r="AJ160" s="214">
        <v>2135</v>
      </c>
      <c r="AK160" s="215">
        <v>0.189</v>
      </c>
      <c r="AL160" s="214">
        <v>0</v>
      </c>
      <c r="AM160" s="215">
        <v>0</v>
      </c>
      <c r="AN160" s="214">
        <v>0</v>
      </c>
      <c r="AO160" s="215">
        <v>0</v>
      </c>
      <c r="AP160" s="214">
        <v>0</v>
      </c>
      <c r="AQ160" s="215">
        <v>0</v>
      </c>
      <c r="AR160" s="214">
        <v>10</v>
      </c>
      <c r="AS160" s="215">
        <v>8.6999999999999994E-2</v>
      </c>
      <c r="AT160" s="214">
        <v>86</v>
      </c>
      <c r="AU160" s="215">
        <v>0.78200000000000003</v>
      </c>
      <c r="AV160" s="214">
        <v>15</v>
      </c>
      <c r="AW160" s="215">
        <v>0.13100000000000001</v>
      </c>
      <c r="AX160" s="214">
        <v>0</v>
      </c>
      <c r="AY160" s="215">
        <v>0</v>
      </c>
      <c r="AZ160" s="214">
        <v>0</v>
      </c>
      <c r="BA160" s="215">
        <v>0</v>
      </c>
      <c r="BB160" s="214">
        <v>0</v>
      </c>
      <c r="BC160" s="215">
        <v>0</v>
      </c>
      <c r="BD160" s="214">
        <v>0</v>
      </c>
      <c r="BE160" s="215">
        <v>0</v>
      </c>
      <c r="BF160" s="214">
        <v>0</v>
      </c>
      <c r="BG160" s="215">
        <v>0</v>
      </c>
      <c r="BH160" s="214">
        <v>0</v>
      </c>
      <c r="BI160" s="215">
        <v>0</v>
      </c>
      <c r="BJ160" s="214">
        <v>18</v>
      </c>
      <c r="BK160" s="215">
        <v>0.22600000000000001</v>
      </c>
      <c r="BL160" s="214">
        <v>62</v>
      </c>
      <c r="BM160" s="215">
        <v>0.77400000000000002</v>
      </c>
      <c r="BN160" s="214">
        <v>0</v>
      </c>
      <c r="BO160" s="215">
        <v>0</v>
      </c>
      <c r="BP160" s="214">
        <v>0</v>
      </c>
      <c r="BQ160" s="215">
        <v>0</v>
      </c>
      <c r="BR160" s="214">
        <v>0</v>
      </c>
      <c r="BS160" s="215">
        <v>0</v>
      </c>
      <c r="BT160" s="214">
        <v>0</v>
      </c>
      <c r="BU160" s="213">
        <v>0</v>
      </c>
      <c r="BV160" s="207"/>
      <c r="BW160" s="206"/>
      <c r="BX160" s="207"/>
      <c r="BY160" s="206"/>
      <c r="BZ160" s="207"/>
      <c r="CA160" s="206"/>
    </row>
    <row r="161" spans="1:79" s="205" customFormat="1" ht="14.25" customHeight="1" thickBot="1">
      <c r="A161" s="159" t="s">
        <v>0</v>
      </c>
      <c r="B161" s="211">
        <v>0</v>
      </c>
      <c r="C161" s="212">
        <v>0</v>
      </c>
      <c r="D161" s="211">
        <v>164</v>
      </c>
      <c r="E161" s="212">
        <v>0.745</v>
      </c>
      <c r="F161" s="211">
        <v>56</v>
      </c>
      <c r="G161" s="212">
        <v>0.255</v>
      </c>
      <c r="H161" s="211">
        <v>0</v>
      </c>
      <c r="I161" s="212">
        <v>0</v>
      </c>
      <c r="J161" s="211">
        <v>0</v>
      </c>
      <c r="K161" s="212">
        <v>0</v>
      </c>
      <c r="L161" s="211">
        <v>0</v>
      </c>
      <c r="M161" s="212">
        <v>0</v>
      </c>
      <c r="N161" s="211">
        <v>0</v>
      </c>
      <c r="O161" s="212">
        <v>0</v>
      </c>
      <c r="P161" s="211">
        <v>0</v>
      </c>
      <c r="Q161" s="212">
        <v>0</v>
      </c>
      <c r="R161" s="211">
        <v>0</v>
      </c>
      <c r="S161" s="212">
        <v>0</v>
      </c>
      <c r="T161" s="211">
        <v>198</v>
      </c>
      <c r="U161" s="212">
        <v>0.20200000000000001</v>
      </c>
      <c r="V161" s="211">
        <v>508</v>
      </c>
      <c r="W161" s="212">
        <v>0.51900000000000002</v>
      </c>
      <c r="X161" s="211">
        <v>274</v>
      </c>
      <c r="Y161" s="212">
        <v>0.28000000000000003</v>
      </c>
      <c r="Z161" s="211">
        <v>0</v>
      </c>
      <c r="AA161" s="212">
        <v>0</v>
      </c>
      <c r="AB161" s="211">
        <v>0</v>
      </c>
      <c r="AC161" s="212">
        <v>0</v>
      </c>
      <c r="AD161" s="211">
        <v>0</v>
      </c>
      <c r="AE161" s="212">
        <v>0</v>
      </c>
      <c r="AF161" s="211">
        <v>11310</v>
      </c>
      <c r="AG161" s="212">
        <v>0.152</v>
      </c>
      <c r="AH161" s="211">
        <v>39111</v>
      </c>
      <c r="AI161" s="212">
        <v>0.52700000000000002</v>
      </c>
      <c r="AJ161" s="211">
        <v>23806</v>
      </c>
      <c r="AK161" s="212">
        <v>0.32100000000000001</v>
      </c>
      <c r="AL161" s="211">
        <v>0</v>
      </c>
      <c r="AM161" s="212">
        <v>0</v>
      </c>
      <c r="AN161" s="211">
        <v>0</v>
      </c>
      <c r="AO161" s="212">
        <v>0</v>
      </c>
      <c r="AP161" s="211">
        <v>0</v>
      </c>
      <c r="AQ161" s="212">
        <v>0</v>
      </c>
      <c r="AR161" s="211">
        <v>96</v>
      </c>
      <c r="AS161" s="212">
        <v>0.21299999999999999</v>
      </c>
      <c r="AT161" s="211">
        <v>181</v>
      </c>
      <c r="AU161" s="212">
        <v>0.40400000000000003</v>
      </c>
      <c r="AV161" s="211">
        <v>172</v>
      </c>
      <c r="AW161" s="212">
        <v>0.38300000000000001</v>
      </c>
      <c r="AX161" s="211">
        <v>0</v>
      </c>
      <c r="AY161" s="212">
        <v>0</v>
      </c>
      <c r="AZ161" s="211">
        <v>0</v>
      </c>
      <c r="BA161" s="212">
        <v>0</v>
      </c>
      <c r="BB161" s="211">
        <v>0</v>
      </c>
      <c r="BC161" s="212">
        <v>0</v>
      </c>
      <c r="BD161" s="211">
        <v>0</v>
      </c>
      <c r="BE161" s="212">
        <v>0</v>
      </c>
      <c r="BF161" s="211">
        <v>0</v>
      </c>
      <c r="BG161" s="212">
        <v>0</v>
      </c>
      <c r="BH161" s="211">
        <v>0</v>
      </c>
      <c r="BI161" s="212">
        <v>0</v>
      </c>
      <c r="BJ161" s="211">
        <v>189</v>
      </c>
      <c r="BK161" s="212">
        <v>0.14000000000000001</v>
      </c>
      <c r="BL161" s="211">
        <v>709</v>
      </c>
      <c r="BM161" s="212">
        <v>0.52600000000000002</v>
      </c>
      <c r="BN161" s="211">
        <v>451</v>
      </c>
      <c r="BO161" s="212">
        <v>0.33500000000000002</v>
      </c>
      <c r="BP161" s="211">
        <v>0</v>
      </c>
      <c r="BQ161" s="212">
        <v>0</v>
      </c>
      <c r="BR161" s="211">
        <v>72</v>
      </c>
      <c r="BS161" s="212">
        <v>1</v>
      </c>
      <c r="BT161" s="211">
        <v>0</v>
      </c>
      <c r="BU161" s="210">
        <v>0</v>
      </c>
      <c r="BV161" s="207"/>
      <c r="BW161" s="206"/>
      <c r="BX161" s="207"/>
      <c r="BY161" s="206"/>
      <c r="BZ161" s="207"/>
      <c r="CA161" s="206"/>
    </row>
    <row r="162" spans="1:79" s="205" customFormat="1" ht="14.25" customHeight="1">
      <c r="B162" s="207"/>
      <c r="C162" s="206"/>
      <c r="D162" s="207"/>
      <c r="E162" s="206"/>
      <c r="F162" s="207"/>
      <c r="G162" s="206"/>
      <c r="H162" s="207"/>
      <c r="I162" s="206"/>
      <c r="J162" s="207"/>
      <c r="K162" s="206"/>
      <c r="L162" s="207"/>
      <c r="M162" s="206"/>
      <c r="N162" s="207"/>
      <c r="O162" s="206"/>
      <c r="P162" s="207"/>
      <c r="Q162" s="206"/>
      <c r="R162" s="207"/>
      <c r="S162" s="206"/>
      <c r="T162" s="207"/>
      <c r="U162" s="206"/>
      <c r="V162" s="207"/>
      <c r="W162" s="206"/>
      <c r="X162" s="207"/>
      <c r="Y162" s="206"/>
      <c r="Z162" s="207"/>
      <c r="AA162" s="206"/>
      <c r="AB162" s="207"/>
      <c r="AC162" s="206"/>
      <c r="AD162" s="207"/>
      <c r="AE162" s="206"/>
      <c r="AF162" s="207"/>
      <c r="AG162" s="206"/>
      <c r="AH162" s="207"/>
      <c r="AI162" s="206"/>
      <c r="AJ162" s="207"/>
      <c r="AK162" s="206"/>
      <c r="AL162" s="207"/>
      <c r="AM162" s="206"/>
      <c r="AN162" s="207"/>
      <c r="AO162" s="206"/>
      <c r="AP162" s="207"/>
      <c r="AQ162" s="206"/>
      <c r="AR162" s="207"/>
      <c r="AS162" s="206"/>
      <c r="AT162" s="207"/>
      <c r="AU162" s="206"/>
      <c r="AV162" s="207"/>
      <c r="AW162" s="206"/>
      <c r="AX162" s="207"/>
      <c r="AY162" s="206"/>
      <c r="AZ162" s="207"/>
      <c r="BA162" s="206"/>
      <c r="BB162" s="207"/>
      <c r="BC162" s="206"/>
      <c r="BD162" s="207"/>
      <c r="BE162" s="206"/>
      <c r="BF162" s="207"/>
      <c r="BG162" s="206"/>
      <c r="BH162" s="207"/>
      <c r="BI162" s="206"/>
      <c r="BJ162" s="207"/>
      <c r="BK162" s="206"/>
      <c r="BL162" s="207"/>
      <c r="BM162" s="206"/>
      <c r="BN162" s="207"/>
      <c r="BO162" s="206"/>
      <c r="BP162" s="207"/>
      <c r="BQ162" s="206"/>
      <c r="BR162" s="207"/>
      <c r="BS162" s="206"/>
      <c r="BT162" s="207"/>
      <c r="BU162" s="206"/>
      <c r="BV162" s="207"/>
      <c r="BW162" s="206"/>
      <c r="BX162" s="207"/>
      <c r="BY162" s="206"/>
      <c r="BZ162" s="207"/>
      <c r="CA162" s="206"/>
    </row>
    <row r="163" spans="1:79" s="205" customFormat="1" ht="14.25" customHeight="1">
      <c r="B163" s="207"/>
      <c r="C163" s="206"/>
      <c r="D163" s="207"/>
      <c r="E163" s="206"/>
      <c r="F163" s="207"/>
      <c r="G163" s="206"/>
      <c r="H163" s="207"/>
      <c r="I163" s="206"/>
      <c r="J163" s="207"/>
      <c r="K163" s="206"/>
      <c r="L163" s="207"/>
      <c r="M163" s="206"/>
      <c r="N163" s="207"/>
      <c r="O163" s="206"/>
      <c r="P163" s="207"/>
      <c r="Q163" s="206"/>
      <c r="R163" s="207"/>
      <c r="S163" s="206"/>
      <c r="T163" s="207"/>
      <c r="U163" s="206"/>
      <c r="V163" s="207"/>
      <c r="W163" s="206"/>
      <c r="X163" s="207"/>
      <c r="Y163" s="206"/>
      <c r="Z163" s="207"/>
      <c r="AA163" s="206"/>
      <c r="AB163" s="207"/>
      <c r="AC163" s="206"/>
      <c r="AD163" s="207"/>
      <c r="AE163" s="206"/>
      <c r="AF163" s="207"/>
      <c r="AG163" s="206"/>
      <c r="AH163" s="207"/>
      <c r="AI163" s="206"/>
      <c r="AJ163" s="207"/>
      <c r="AK163" s="206"/>
      <c r="AL163" s="207"/>
      <c r="AM163" s="206"/>
      <c r="AN163" s="207"/>
      <c r="AO163" s="206"/>
      <c r="AP163" s="207"/>
      <c r="AQ163" s="206"/>
      <c r="AR163" s="207"/>
      <c r="AS163" s="206"/>
      <c r="AT163" s="207"/>
      <c r="AU163" s="206"/>
      <c r="AV163" s="207"/>
      <c r="AW163" s="206"/>
      <c r="AX163" s="207"/>
      <c r="AY163" s="206"/>
      <c r="AZ163" s="207"/>
      <c r="BA163" s="206"/>
      <c r="BB163" s="207"/>
      <c r="BC163" s="206"/>
      <c r="BD163" s="207"/>
      <c r="BE163" s="206"/>
      <c r="BF163" s="207"/>
      <c r="BG163" s="206"/>
      <c r="BH163" s="207"/>
      <c r="BI163" s="206"/>
      <c r="BJ163" s="207"/>
      <c r="BK163" s="206"/>
      <c r="BL163" s="207"/>
      <c r="BM163" s="206"/>
      <c r="BN163" s="207"/>
      <c r="BO163" s="206"/>
      <c r="BP163" s="207"/>
      <c r="BQ163" s="206"/>
      <c r="BR163" s="207"/>
      <c r="BS163" s="206"/>
      <c r="BT163" s="207"/>
      <c r="BU163" s="206"/>
      <c r="BV163" s="207"/>
      <c r="BW163" s="206"/>
      <c r="BX163" s="207"/>
      <c r="BY163" s="206"/>
      <c r="BZ163" s="207"/>
      <c r="CA163" s="206"/>
    </row>
    <row r="164" spans="1:79" s="205" customFormat="1" ht="27.75" customHeight="1" thickBot="1">
      <c r="A164" s="677" t="s">
        <v>317</v>
      </c>
      <c r="B164" s="677"/>
      <c r="C164" s="677"/>
      <c r="D164" s="677"/>
      <c r="E164" s="677"/>
      <c r="F164" s="677"/>
      <c r="L164" s="206"/>
      <c r="M164" s="207"/>
      <c r="N164" s="206"/>
      <c r="O164" s="207"/>
      <c r="P164" s="206"/>
      <c r="Q164" s="207"/>
      <c r="R164" s="206"/>
      <c r="S164" s="207"/>
      <c r="T164" s="206"/>
      <c r="U164" s="207"/>
      <c r="V164" s="206"/>
      <c r="W164" s="207"/>
      <c r="X164" s="206"/>
      <c r="Y164" s="207"/>
      <c r="Z164" s="206"/>
      <c r="AA164" s="207"/>
      <c r="AB164" s="206"/>
      <c r="AC164" s="207"/>
      <c r="AD164" s="206"/>
      <c r="AE164" s="207"/>
      <c r="AF164" s="206"/>
      <c r="AG164" s="207"/>
      <c r="AH164" s="206"/>
      <c r="AI164" s="207"/>
      <c r="AJ164" s="206"/>
      <c r="AK164" s="207"/>
      <c r="AL164" s="206"/>
      <c r="AM164" s="207"/>
      <c r="AN164" s="206"/>
      <c r="AO164" s="207"/>
      <c r="AP164" s="206"/>
      <c r="AQ164" s="207"/>
      <c r="AR164" s="206"/>
      <c r="AS164" s="207"/>
      <c r="AT164" s="206"/>
      <c r="AU164" s="207"/>
      <c r="AV164" s="206"/>
      <c r="AW164" s="207"/>
      <c r="AX164" s="206"/>
      <c r="AY164" s="207"/>
      <c r="AZ164" s="206"/>
      <c r="BA164" s="207"/>
      <c r="BB164" s="206"/>
      <c r="BC164" s="207"/>
      <c r="BD164" s="206"/>
      <c r="BE164" s="207"/>
      <c r="BF164" s="206"/>
      <c r="BG164" s="207"/>
      <c r="BH164" s="206"/>
      <c r="BI164" s="207"/>
      <c r="BJ164" s="206"/>
      <c r="BK164" s="207"/>
      <c r="BL164" s="206"/>
      <c r="BM164" s="207"/>
      <c r="BN164" s="206"/>
      <c r="BO164" s="207"/>
      <c r="BP164" s="206"/>
      <c r="BQ164" s="207"/>
      <c r="BR164" s="206"/>
      <c r="BS164" s="207"/>
      <c r="BT164" s="206"/>
      <c r="BU164" s="207"/>
      <c r="BV164" s="206"/>
      <c r="BW164" s="207"/>
      <c r="BX164" s="206"/>
      <c r="BY164" s="207"/>
      <c r="BZ164" s="206"/>
    </row>
    <row r="165" spans="1:79" s="205" customFormat="1" ht="14.25" customHeight="1">
      <c r="A165" s="576" t="s">
        <v>262</v>
      </c>
      <c r="B165" s="577"/>
      <c r="C165" s="580" t="s">
        <v>261</v>
      </c>
      <c r="D165" s="581"/>
      <c r="E165" s="582"/>
      <c r="F165" s="695" t="s">
        <v>260</v>
      </c>
      <c r="L165" s="206"/>
      <c r="M165" s="207"/>
      <c r="N165" s="206"/>
      <c r="O165" s="207"/>
      <c r="P165" s="206"/>
      <c r="Q165" s="207"/>
      <c r="R165" s="206"/>
      <c r="S165" s="207"/>
      <c r="T165" s="206"/>
      <c r="U165" s="207"/>
      <c r="V165" s="206"/>
      <c r="W165" s="207"/>
      <c r="X165" s="206"/>
      <c r="Y165" s="207"/>
      <c r="Z165" s="206"/>
      <c r="AA165" s="207"/>
      <c r="AB165" s="206"/>
      <c r="AC165" s="207"/>
      <c r="AD165" s="206"/>
      <c r="AE165" s="207"/>
      <c r="AF165" s="206"/>
      <c r="AG165" s="207"/>
      <c r="AH165" s="206"/>
      <c r="AI165" s="207"/>
      <c r="AJ165" s="206"/>
      <c r="AK165" s="207"/>
      <c r="AL165" s="206"/>
      <c r="AM165" s="207"/>
      <c r="AN165" s="206"/>
      <c r="AO165" s="207"/>
      <c r="AP165" s="206"/>
      <c r="AQ165" s="207"/>
      <c r="AR165" s="206"/>
      <c r="AS165" s="207"/>
      <c r="AT165" s="206"/>
      <c r="AU165" s="207"/>
      <c r="AV165" s="206"/>
      <c r="AW165" s="207"/>
      <c r="AX165" s="206"/>
      <c r="AY165" s="207"/>
      <c r="AZ165" s="206"/>
      <c r="BA165" s="207"/>
      <c r="BB165" s="206"/>
      <c r="BC165" s="207"/>
      <c r="BD165" s="206"/>
      <c r="BE165" s="207"/>
      <c r="BF165" s="206"/>
      <c r="BG165" s="207"/>
      <c r="BH165" s="206"/>
      <c r="BI165" s="207"/>
      <c r="BJ165" s="206"/>
      <c r="BK165" s="207"/>
      <c r="BL165" s="206"/>
      <c r="BM165" s="207"/>
      <c r="BN165" s="206"/>
      <c r="BO165" s="207"/>
      <c r="BP165" s="206"/>
      <c r="BQ165" s="207"/>
      <c r="BR165" s="206"/>
      <c r="BS165" s="207"/>
      <c r="BT165" s="206"/>
      <c r="BU165" s="207"/>
      <c r="BV165" s="206"/>
      <c r="BW165" s="207"/>
      <c r="BX165" s="206"/>
      <c r="BY165" s="207"/>
      <c r="BZ165" s="206"/>
    </row>
    <row r="166" spans="1:79" s="205" customFormat="1" ht="14.25" customHeight="1" thickBot="1">
      <c r="A166" s="578"/>
      <c r="B166" s="579"/>
      <c r="C166" s="209" t="s">
        <v>259</v>
      </c>
      <c r="D166" s="208" t="s">
        <v>258</v>
      </c>
      <c r="E166" s="208" t="s">
        <v>257</v>
      </c>
      <c r="F166" s="696"/>
      <c r="L166" s="206"/>
      <c r="M166" s="207"/>
      <c r="N166" s="206"/>
      <c r="O166" s="207"/>
      <c r="P166" s="206"/>
      <c r="Q166" s="207"/>
      <c r="R166" s="206"/>
      <c r="S166" s="207"/>
      <c r="T166" s="206"/>
      <c r="U166" s="207"/>
      <c r="V166" s="206"/>
      <c r="W166" s="207"/>
      <c r="X166" s="206"/>
      <c r="Y166" s="207"/>
      <c r="Z166" s="206"/>
      <c r="AA166" s="207"/>
      <c r="AB166" s="206"/>
      <c r="AC166" s="207"/>
      <c r="AD166" s="206"/>
      <c r="AE166" s="207"/>
      <c r="AF166" s="206"/>
      <c r="AG166" s="207"/>
      <c r="AH166" s="206"/>
      <c r="AI166" s="207"/>
      <c r="AJ166" s="206"/>
      <c r="AK166" s="207"/>
      <c r="AL166" s="206"/>
      <c r="AM166" s="207"/>
      <c r="AN166" s="206"/>
      <c r="AO166" s="207"/>
      <c r="AP166" s="206"/>
      <c r="AQ166" s="207"/>
      <c r="AR166" s="206"/>
      <c r="AS166" s="207"/>
      <c r="AT166" s="206"/>
      <c r="AU166" s="207"/>
      <c r="AV166" s="206"/>
      <c r="AW166" s="207"/>
      <c r="AX166" s="206"/>
      <c r="AY166" s="207"/>
      <c r="AZ166" s="206"/>
      <c r="BA166" s="207"/>
      <c r="BB166" s="206"/>
      <c r="BC166" s="207"/>
      <c r="BD166" s="206"/>
      <c r="BE166" s="207"/>
      <c r="BF166" s="206"/>
      <c r="BG166" s="207"/>
      <c r="BH166" s="206"/>
      <c r="BI166" s="207"/>
      <c r="BJ166" s="206"/>
      <c r="BK166" s="207"/>
      <c r="BL166" s="206"/>
      <c r="BM166" s="207"/>
      <c r="BN166" s="206"/>
      <c r="BO166" s="207"/>
      <c r="BP166" s="206"/>
      <c r="BQ166" s="207"/>
      <c r="BR166" s="206"/>
      <c r="BS166" s="207"/>
      <c r="BT166" s="206"/>
      <c r="BU166" s="207"/>
      <c r="BV166" s="206"/>
      <c r="BW166" s="207"/>
      <c r="BX166" s="206"/>
      <c r="BY166" s="207"/>
      <c r="BZ166" s="206"/>
    </row>
    <row r="167" spans="1:79" ht="19.5" customHeight="1">
      <c r="A167" s="573" t="s">
        <v>256</v>
      </c>
      <c r="B167" s="200" t="s">
        <v>7</v>
      </c>
      <c r="C167" s="199">
        <v>2142.6619071793734</v>
      </c>
      <c r="D167" s="198">
        <v>2446.3882989171607</v>
      </c>
      <c r="E167" s="198">
        <v>1457.1776945557872</v>
      </c>
      <c r="F167" s="197">
        <v>6046.2279006523213</v>
      </c>
    </row>
    <row r="168" spans="1:79" ht="15" customHeight="1">
      <c r="A168" s="574"/>
      <c r="B168" s="196" t="s">
        <v>248</v>
      </c>
      <c r="C168" s="193">
        <v>0.35437994438618559</v>
      </c>
      <c r="D168" s="8">
        <v>0.40461397405367772</v>
      </c>
      <c r="E168" s="8">
        <v>0.24100608156013667</v>
      </c>
      <c r="F168" s="195"/>
    </row>
    <row r="169" spans="1:79" ht="15.75" thickBot="1">
      <c r="A169" s="575"/>
      <c r="B169" s="204" t="s">
        <v>246</v>
      </c>
      <c r="C169" s="203">
        <v>2.0486693419145062E-3</v>
      </c>
      <c r="D169" s="202">
        <v>2.3390721091446558E-3</v>
      </c>
      <c r="E169" s="202">
        <v>1.3932553981360293E-3</v>
      </c>
      <c r="F169" s="201">
        <v>5.7809968491951916E-3</v>
      </c>
    </row>
    <row r="170" spans="1:79" ht="15" customHeight="1">
      <c r="A170" s="573" t="s">
        <v>255</v>
      </c>
      <c r="B170" s="200" t="s">
        <v>7</v>
      </c>
      <c r="C170" s="199">
        <v>2588.9420493319399</v>
      </c>
      <c r="D170" s="198">
        <v>2841.366164600613</v>
      </c>
      <c r="E170" s="198">
        <v>1380.9510315156529</v>
      </c>
      <c r="F170" s="197">
        <v>6811.2592454482055</v>
      </c>
    </row>
    <row r="171" spans="1:79" ht="26.25" customHeight="1">
      <c r="A171" s="574"/>
      <c r="B171" s="196" t="s">
        <v>248</v>
      </c>
      <c r="C171" s="193">
        <v>0.38009741753143006</v>
      </c>
      <c r="D171" s="8">
        <v>0.41715724834573387</v>
      </c>
      <c r="E171" s="8">
        <v>0.2027453341228361</v>
      </c>
      <c r="F171" s="195"/>
    </row>
    <row r="172" spans="1:79" ht="15.75" thickBot="1">
      <c r="A172" s="575"/>
      <c r="B172" s="204" t="s">
        <v>246</v>
      </c>
      <c r="C172" s="203">
        <v>2.4753724265541076E-3</v>
      </c>
      <c r="D172" s="202">
        <v>2.7167234042226214E-3</v>
      </c>
      <c r="E172" s="202">
        <v>1.3203725849009976E-3</v>
      </c>
      <c r="F172" s="201">
        <v>6.512468415677727E-3</v>
      </c>
    </row>
    <row r="173" spans="1:79" ht="15.75" customHeight="1">
      <c r="A173" s="573" t="s">
        <v>254</v>
      </c>
      <c r="B173" s="200" t="s">
        <v>7</v>
      </c>
      <c r="C173" s="199">
        <v>44491.431751945354</v>
      </c>
      <c r="D173" s="198">
        <v>31247.162184524568</v>
      </c>
      <c r="E173" s="198">
        <v>10888.544767115256</v>
      </c>
      <c r="F173" s="197">
        <v>86627.13870358518</v>
      </c>
    </row>
    <row r="174" spans="1:79" ht="15" customHeight="1">
      <c r="A174" s="574"/>
      <c r="B174" s="196" t="s">
        <v>248</v>
      </c>
      <c r="C174" s="193">
        <v>0.513596921447251</v>
      </c>
      <c r="D174" s="8">
        <v>0.3607086953598222</v>
      </c>
      <c r="E174" s="8">
        <v>0.12569438319292681</v>
      </c>
      <c r="F174" s="195"/>
    </row>
    <row r="175" spans="1:79" ht="15.75" thickBot="1">
      <c r="A175" s="575"/>
      <c r="B175" s="204" t="s">
        <v>246</v>
      </c>
      <c r="C175" s="203">
        <v>4.2539717490045224E-2</v>
      </c>
      <c r="D175" s="202">
        <v>2.987643686331086E-2</v>
      </c>
      <c r="E175" s="202">
        <v>1.0410894862931454E-2</v>
      </c>
      <c r="F175" s="201">
        <v>8.2827049216287543E-2</v>
      </c>
    </row>
    <row r="176" spans="1:79" ht="15" customHeight="1">
      <c r="A176" s="573" t="s">
        <v>253</v>
      </c>
      <c r="B176" s="200" t="s">
        <v>7</v>
      </c>
      <c r="C176" s="199">
        <v>100022.10412973832</v>
      </c>
      <c r="D176" s="198">
        <v>105886.78192330852</v>
      </c>
      <c r="E176" s="198">
        <v>68655.266438274906</v>
      </c>
      <c r="F176" s="197">
        <v>274564.15249132173</v>
      </c>
    </row>
    <row r="177" spans="1:6" ht="23.25" customHeight="1">
      <c r="A177" s="574"/>
      <c r="B177" s="196" t="s">
        <v>248</v>
      </c>
      <c r="C177" s="193">
        <v>0.36429411203962531</v>
      </c>
      <c r="D177" s="8">
        <v>0.38565406649965106</v>
      </c>
      <c r="E177" s="8">
        <v>0.25005182146072369</v>
      </c>
      <c r="F177" s="195"/>
    </row>
    <row r="178" spans="1:6" ht="15.75" customHeight="1" thickBot="1">
      <c r="A178" s="575"/>
      <c r="B178" s="204" t="s">
        <v>246</v>
      </c>
      <c r="C178" s="203">
        <v>9.5634415097304915E-2</v>
      </c>
      <c r="D178" s="202">
        <v>0.10124182593316117</v>
      </c>
      <c r="E178" s="202">
        <v>6.5643552555718729E-2</v>
      </c>
      <c r="F178" s="201">
        <v>0.26251979358618482</v>
      </c>
    </row>
    <row r="179" spans="1:6" ht="15.75" customHeight="1">
      <c r="A179" s="573" t="s">
        <v>252</v>
      </c>
      <c r="B179" s="200" t="s">
        <v>7</v>
      </c>
      <c r="C179" s="199">
        <v>53795.399787813854</v>
      </c>
      <c r="D179" s="198">
        <v>46675.95044256893</v>
      </c>
      <c r="E179" s="198">
        <v>29216.221962901138</v>
      </c>
      <c r="F179" s="197">
        <v>129687.57219328392</v>
      </c>
    </row>
    <row r="180" spans="1:6" ht="23.25" customHeight="1">
      <c r="A180" s="574"/>
      <c r="B180" s="196" t="s">
        <v>248</v>
      </c>
      <c r="C180" s="193">
        <v>0.41480767106687916</v>
      </c>
      <c r="D180" s="8">
        <v>0.35991074281970498</v>
      </c>
      <c r="E180" s="8">
        <v>0.22528158611341592</v>
      </c>
      <c r="F180" s="195"/>
    </row>
    <row r="181" spans="1:6" ht="15.75" thickBot="1">
      <c r="A181" s="575"/>
      <c r="B181" s="204" t="s">
        <v>246</v>
      </c>
      <c r="C181" s="203">
        <v>5.1435546556390148E-2</v>
      </c>
      <c r="D181" s="202">
        <v>4.4628407475770106E-2</v>
      </c>
      <c r="E181" s="202">
        <v>2.7934588290113326E-2</v>
      </c>
      <c r="F181" s="201">
        <v>0.12399854232227359</v>
      </c>
    </row>
    <row r="182" spans="1:6" ht="15" customHeight="1">
      <c r="A182" s="573" t="s">
        <v>251</v>
      </c>
      <c r="B182" s="200" t="s">
        <v>7</v>
      </c>
      <c r="C182" s="199">
        <v>88910.763720627685</v>
      </c>
      <c r="D182" s="198">
        <v>85672.952015599862</v>
      </c>
      <c r="E182" s="198">
        <v>53568.06509066101</v>
      </c>
      <c r="F182" s="197">
        <v>228151.78082688857</v>
      </c>
    </row>
    <row r="183" spans="1:6" ht="24.75" customHeight="1">
      <c r="A183" s="574"/>
      <c r="B183" s="196" t="s">
        <v>248</v>
      </c>
      <c r="C183" s="193">
        <v>0.38970006457275574</v>
      </c>
      <c r="D183" s="8">
        <v>0.37550858338732268</v>
      </c>
      <c r="E183" s="8">
        <v>0.23479135203992152</v>
      </c>
      <c r="F183" s="195"/>
    </row>
    <row r="184" spans="1:6" ht="15.75" thickBot="1">
      <c r="A184" s="575"/>
      <c r="B184" s="204" t="s">
        <v>246</v>
      </c>
      <c r="C184" s="203">
        <v>8.5010498011997282E-2</v>
      </c>
      <c r="D184" s="202">
        <v>8.1914720020725459E-2</v>
      </c>
      <c r="E184" s="202">
        <v>5.1218184394469068E-2</v>
      </c>
      <c r="F184" s="201">
        <v>0.21814340242719182</v>
      </c>
    </row>
    <row r="185" spans="1:6" ht="15.75" customHeight="1">
      <c r="A185" s="573" t="s">
        <v>250</v>
      </c>
      <c r="B185" s="200" t="s">
        <v>7</v>
      </c>
      <c r="C185" s="199">
        <v>31082.014320907751</v>
      </c>
      <c r="D185" s="198">
        <v>24117.877343920431</v>
      </c>
      <c r="E185" s="198">
        <v>12792.459224946913</v>
      </c>
      <c r="F185" s="197">
        <v>67992.350889775087</v>
      </c>
    </row>
    <row r="186" spans="1:6" ht="23.25" customHeight="1">
      <c r="A186" s="574"/>
      <c r="B186" s="196" t="s">
        <v>248</v>
      </c>
      <c r="C186" s="193">
        <v>0.45713986814922686</v>
      </c>
      <c r="D186" s="8">
        <v>0.35471456756979641</v>
      </c>
      <c r="E186" s="8">
        <v>0.18814556428097684</v>
      </c>
      <c r="F186" s="195"/>
    </row>
    <row r="187" spans="1:6" ht="15.75" thickBot="1">
      <c r="A187" s="575"/>
      <c r="B187" s="204" t="s">
        <v>246</v>
      </c>
      <c r="C187" s="203">
        <v>2.9718533573043361E-2</v>
      </c>
      <c r="D187" s="202">
        <v>2.3059893742913267E-2</v>
      </c>
      <c r="E187" s="202">
        <v>1.2231289936143051E-2</v>
      </c>
      <c r="F187" s="201">
        <v>6.5009717252099669E-2</v>
      </c>
    </row>
    <row r="188" spans="1:6" ht="15" customHeight="1">
      <c r="A188" s="573" t="s">
        <v>249</v>
      </c>
      <c r="B188" s="200" t="s">
        <v>7</v>
      </c>
      <c r="C188" s="199">
        <v>84788.368098014733</v>
      </c>
      <c r="D188" s="198">
        <v>80091.84752542428</v>
      </c>
      <c r="E188" s="198">
        <v>49572.150623994734</v>
      </c>
      <c r="F188" s="197">
        <v>214452.36624743376</v>
      </c>
    </row>
    <row r="189" spans="1:6" ht="24" customHeight="1">
      <c r="A189" s="574"/>
      <c r="B189" s="196" t="s">
        <v>248</v>
      </c>
      <c r="C189" s="193">
        <v>0.3953715670368797</v>
      </c>
      <c r="D189" s="8">
        <v>0.37347150291181597</v>
      </c>
      <c r="E189" s="8">
        <v>0.23115693005130428</v>
      </c>
      <c r="F189" s="195"/>
    </row>
    <row r="190" spans="1:6" ht="15.75" thickBot="1">
      <c r="A190" s="575"/>
      <c r="B190" s="204" t="s">
        <v>246</v>
      </c>
      <c r="C190" s="203">
        <v>8.1068940317341034E-2</v>
      </c>
      <c r="D190" s="202">
        <v>7.6578442923189452E-2</v>
      </c>
      <c r="E190" s="202">
        <v>4.7397559482371572E-2</v>
      </c>
      <c r="F190" s="201">
        <v>0.20504494272290208</v>
      </c>
    </row>
    <row r="191" spans="1:6">
      <c r="A191" s="573" t="s">
        <v>172</v>
      </c>
      <c r="B191" s="200" t="s">
        <v>7</v>
      </c>
      <c r="C191" s="199">
        <v>13071.952549658259</v>
      </c>
      <c r="D191" s="198">
        <v>9565.9041122760809</v>
      </c>
      <c r="E191" s="198">
        <v>8909.1073315406629</v>
      </c>
      <c r="F191" s="197">
        <v>31546.963993475001</v>
      </c>
    </row>
    <row r="192" spans="1:6" ht="36">
      <c r="A192" s="574"/>
      <c r="B192" s="196" t="s">
        <v>247</v>
      </c>
      <c r="C192" s="193">
        <v>0.414364835626084</v>
      </c>
      <c r="D192" s="8">
        <v>0.30322740769142287</v>
      </c>
      <c r="E192" s="8">
        <v>0.28240775668249324</v>
      </c>
      <c r="F192" s="195"/>
    </row>
    <row r="193" spans="1:11" ht="15.75" thickBot="1">
      <c r="A193" s="574"/>
      <c r="B193" s="194" t="s">
        <v>246</v>
      </c>
      <c r="C193" s="193">
        <v>1.24985226729959E-2</v>
      </c>
      <c r="D193" s="8">
        <v>9.1462747421090489E-3</v>
      </c>
      <c r="E193" s="8">
        <v>8.5182897930826725E-3</v>
      </c>
      <c r="F193" s="192">
        <v>3.0163087208187622E-2</v>
      </c>
    </row>
    <row r="194" spans="1:11" ht="15.75" thickBot="1">
      <c r="A194" s="191" t="s">
        <v>9</v>
      </c>
      <c r="B194" s="190" t="s">
        <v>7</v>
      </c>
      <c r="C194" s="189">
        <v>420893.63831521728</v>
      </c>
      <c r="D194" s="188">
        <v>388546.23001114046</v>
      </c>
      <c r="E194" s="188">
        <v>236439.94416550605</v>
      </c>
      <c r="F194" s="187">
        <v>1045879.8124918637</v>
      </c>
    </row>
    <row r="195" spans="1:11">
      <c r="A195" s="1"/>
      <c r="B195" s="1"/>
      <c r="C195" s="1"/>
      <c r="D195" s="1"/>
      <c r="E195" s="1"/>
      <c r="F195" s="44"/>
      <c r="G195" s="43"/>
      <c r="H195" s="186"/>
      <c r="I195" s="186"/>
      <c r="J195" s="186"/>
      <c r="K195" s="186"/>
    </row>
    <row r="196" spans="1:11" ht="15.75" thickBot="1"/>
    <row r="197" spans="1:11" ht="33" customHeight="1">
      <c r="A197" s="585" t="s">
        <v>13</v>
      </c>
      <c r="B197" s="588" t="s">
        <v>318</v>
      </c>
      <c r="C197" s="589"/>
      <c r="D197" s="589"/>
      <c r="E197" s="589"/>
      <c r="F197" s="589"/>
      <c r="G197" s="590"/>
      <c r="H197" s="1"/>
    </row>
    <row r="198" spans="1:11" ht="15" customHeight="1">
      <c r="A198" s="586"/>
      <c r="B198" s="591" t="s">
        <v>245</v>
      </c>
      <c r="C198" s="592"/>
      <c r="D198" s="661" t="s">
        <v>26</v>
      </c>
      <c r="E198" s="592"/>
      <c r="F198" s="662" t="s">
        <v>9</v>
      </c>
      <c r="G198" s="663"/>
      <c r="H198" s="1"/>
    </row>
    <row r="199" spans="1:11" ht="15.75" thickBot="1">
      <c r="A199" s="587"/>
      <c r="B199" s="185" t="s">
        <v>7</v>
      </c>
      <c r="C199" s="185" t="s">
        <v>8</v>
      </c>
      <c r="D199" s="185" t="s">
        <v>7</v>
      </c>
      <c r="E199" s="185" t="s">
        <v>8</v>
      </c>
      <c r="F199" s="185" t="s">
        <v>7</v>
      </c>
      <c r="G199" s="185" t="s">
        <v>6</v>
      </c>
      <c r="H199" s="1"/>
    </row>
    <row r="200" spans="1:11" ht="15.75" customHeight="1">
      <c r="A200" s="165" t="s">
        <v>5</v>
      </c>
      <c r="B200" s="145">
        <v>10676.338827500003</v>
      </c>
      <c r="C200" s="12">
        <v>4.1696467845665372E-2</v>
      </c>
      <c r="D200" s="145">
        <v>245372.65954370968</v>
      </c>
      <c r="E200" s="12">
        <v>0.95830353215433151</v>
      </c>
      <c r="F200" s="145">
        <v>256048.9983712105</v>
      </c>
      <c r="G200" s="10">
        <v>1</v>
      </c>
      <c r="H200" s="1"/>
    </row>
    <row r="201" spans="1:11">
      <c r="A201" s="160" t="s">
        <v>2</v>
      </c>
      <c r="B201" s="144">
        <v>341.33970949999997</v>
      </c>
      <c r="C201" s="8">
        <v>2.804533054837758E-2</v>
      </c>
      <c r="D201" s="144">
        <v>11829.659983700127</v>
      </c>
      <c r="E201" s="8">
        <v>0.97195466945162157</v>
      </c>
      <c r="F201" s="144">
        <v>12170.999693200138</v>
      </c>
      <c r="G201" s="6">
        <v>4.7533869574272129E-2</v>
      </c>
      <c r="H201" s="1"/>
    </row>
    <row r="202" spans="1:11">
      <c r="A202" s="160" t="s">
        <v>1</v>
      </c>
      <c r="B202" s="144">
        <v>1487.079393</v>
      </c>
      <c r="C202" s="8">
        <v>1.6965141122195163E-2</v>
      </c>
      <c r="D202" s="144">
        <v>86167.917538000052</v>
      </c>
      <c r="E202" s="8">
        <v>0.98303485887780484</v>
      </c>
      <c r="F202" s="144">
        <v>87654.99693100006</v>
      </c>
      <c r="G202" s="6">
        <v>0.34233680853506421</v>
      </c>
      <c r="H202" s="1"/>
    </row>
    <row r="203" spans="1:11">
      <c r="A203" s="160" t="s">
        <v>0</v>
      </c>
      <c r="B203" s="144">
        <v>8847.9197249999979</v>
      </c>
      <c r="C203" s="8">
        <v>5.6636472389187648E-2</v>
      </c>
      <c r="D203" s="144">
        <v>147375.08202199987</v>
      </c>
      <c r="E203" s="8">
        <v>0.94336352761080944</v>
      </c>
      <c r="F203" s="144">
        <v>156223.00174700032</v>
      </c>
      <c r="G203" s="6">
        <v>0.61012932189062463</v>
      </c>
      <c r="H203" s="1"/>
    </row>
    <row r="204" spans="1:11" ht="15" customHeight="1">
      <c r="A204" s="165" t="s">
        <v>4</v>
      </c>
      <c r="B204" s="184">
        <v>14684.314522543327</v>
      </c>
      <c r="C204" s="163">
        <v>6.5372283362314751E-2</v>
      </c>
      <c r="D204" s="184">
        <v>209941.68547745657</v>
      </c>
      <c r="E204" s="163">
        <v>0.93462771663768396</v>
      </c>
      <c r="F204" s="184">
        <v>224626.0000000002</v>
      </c>
      <c r="G204" s="161">
        <v>1</v>
      </c>
      <c r="H204" s="1"/>
    </row>
    <row r="205" spans="1:11">
      <c r="A205" s="160" t="s">
        <v>2</v>
      </c>
      <c r="B205" s="144">
        <v>394.58281387275053</v>
      </c>
      <c r="C205" s="8">
        <v>3.7344578257879193E-2</v>
      </c>
      <c r="D205" s="144">
        <v>10171.417186127219</v>
      </c>
      <c r="E205" s="8">
        <v>0.96265542174212049</v>
      </c>
      <c r="F205" s="144">
        <v>10565.999999999973</v>
      </c>
      <c r="G205" s="6">
        <v>4.7038187921255616E-2</v>
      </c>
      <c r="H205" s="1"/>
    </row>
    <row r="206" spans="1:11">
      <c r="A206" s="160" t="s">
        <v>1</v>
      </c>
      <c r="B206" s="144">
        <v>2468.5227248124056</v>
      </c>
      <c r="C206" s="8">
        <v>3.2166934556656937E-2</v>
      </c>
      <c r="D206" s="144">
        <v>74272.477275187339</v>
      </c>
      <c r="E206" s="8">
        <v>0.96783306544334136</v>
      </c>
      <c r="F206" s="144">
        <v>76740.999999999869</v>
      </c>
      <c r="G206" s="6">
        <v>0.34163899103398448</v>
      </c>
      <c r="H206" s="1"/>
    </row>
    <row r="207" spans="1:11">
      <c r="A207" s="160" t="s">
        <v>0</v>
      </c>
      <c r="B207" s="144">
        <v>11821.208983858181</v>
      </c>
      <c r="C207" s="8">
        <v>8.6085749123269717E-2</v>
      </c>
      <c r="D207" s="144">
        <v>125497.7910161405</v>
      </c>
      <c r="E207" s="8">
        <v>0.91391425087672862</v>
      </c>
      <c r="F207" s="144">
        <v>137318.99999999892</v>
      </c>
      <c r="G207" s="6">
        <v>0.61132282104475355</v>
      </c>
      <c r="H207" s="1"/>
    </row>
    <row r="208" spans="1:11" ht="15.75" customHeight="1">
      <c r="A208" s="165" t="s">
        <v>3</v>
      </c>
      <c r="B208" s="184">
        <v>12535.78987351861</v>
      </c>
      <c r="C208" s="163">
        <v>8.4109673670457144E-2</v>
      </c>
      <c r="D208" s="184">
        <v>136505.21012647988</v>
      </c>
      <c r="E208" s="163">
        <v>0.91589032632953216</v>
      </c>
      <c r="F208" s="184">
        <v>149041.00000000009</v>
      </c>
      <c r="G208" s="161">
        <v>1</v>
      </c>
      <c r="H208" s="1"/>
    </row>
    <row r="209" spans="1:109">
      <c r="A209" s="160" t="s">
        <v>2</v>
      </c>
      <c r="B209" s="144">
        <v>360.8942180941915</v>
      </c>
      <c r="C209" s="8">
        <v>4.1113490327432167E-2</v>
      </c>
      <c r="D209" s="144">
        <v>8417.1057819056296</v>
      </c>
      <c r="E209" s="8">
        <v>0.95888650967256983</v>
      </c>
      <c r="F209" s="144">
        <v>8777.9999999998035</v>
      </c>
      <c r="G209" s="6">
        <v>5.8896545245937688E-2</v>
      </c>
      <c r="H209" s="1"/>
    </row>
    <row r="210" spans="1:109">
      <c r="A210" s="160" t="s">
        <v>1</v>
      </c>
      <c r="B210" s="144">
        <v>1172.0782976643347</v>
      </c>
      <c r="C210" s="8">
        <v>5.0627545145537009E-2</v>
      </c>
      <c r="D210" s="144">
        <v>21978.921702335796</v>
      </c>
      <c r="E210" s="8">
        <v>0.94937245485446242</v>
      </c>
      <c r="F210" s="144">
        <v>23151.000000000146</v>
      </c>
      <c r="G210" s="6">
        <v>0.15533309626210326</v>
      </c>
      <c r="H210" s="1"/>
    </row>
    <row r="211" spans="1:109" ht="15.75" thickBot="1">
      <c r="A211" s="159" t="s">
        <v>0</v>
      </c>
      <c r="B211" s="143">
        <v>11002.81735776011</v>
      </c>
      <c r="C211" s="4">
        <v>9.3951237770340409E-2</v>
      </c>
      <c r="D211" s="143">
        <v>106109.18264224002</v>
      </c>
      <c r="E211" s="4">
        <v>0.90604876222966024</v>
      </c>
      <c r="F211" s="143">
        <v>117112.00000000006</v>
      </c>
      <c r="G211" s="2">
        <v>0.78577035849195853</v>
      </c>
      <c r="H211" s="1"/>
    </row>
    <row r="212" spans="1:109">
      <c r="A212" s="183"/>
      <c r="B212" s="182"/>
      <c r="C212" s="181"/>
      <c r="D212" s="182"/>
      <c r="E212" s="181"/>
      <c r="F212" s="182"/>
      <c r="G212" s="181"/>
      <c r="H212" s="1"/>
    </row>
    <row r="213" spans="1:109">
      <c r="A213" s="183"/>
      <c r="B213" s="182"/>
      <c r="C213" s="181"/>
      <c r="D213" s="182"/>
      <c r="E213" s="181"/>
      <c r="F213" s="182"/>
      <c r="G213" s="181"/>
      <c r="H213" s="1"/>
    </row>
    <row r="215" spans="1:109" ht="15.75" thickBot="1"/>
    <row r="216" spans="1:109">
      <c r="A216" s="570" t="s">
        <v>13</v>
      </c>
      <c r="B216" s="583" t="s">
        <v>316</v>
      </c>
      <c r="C216" s="583"/>
      <c r="D216" s="583"/>
      <c r="E216" s="583"/>
      <c r="F216" s="583"/>
      <c r="G216" s="583"/>
      <c r="H216" s="583"/>
      <c r="I216" s="583"/>
      <c r="J216" s="583"/>
      <c r="K216" s="583"/>
      <c r="L216" s="583"/>
      <c r="M216" s="583"/>
      <c r="N216" s="583"/>
      <c r="O216" s="583"/>
      <c r="P216" s="583"/>
      <c r="Q216" s="583"/>
      <c r="R216" s="583"/>
      <c r="S216" s="583"/>
      <c r="T216" s="583"/>
      <c r="U216" s="583"/>
      <c r="V216" s="583"/>
      <c r="W216" s="583"/>
      <c r="X216" s="583"/>
      <c r="Y216" s="583"/>
      <c r="Z216" s="583"/>
      <c r="AA216" s="583"/>
      <c r="AB216" s="583"/>
      <c r="AC216" s="583"/>
      <c r="AD216" s="583"/>
      <c r="AE216" s="583"/>
      <c r="AF216" s="583"/>
      <c r="AG216" s="583"/>
      <c r="AH216" s="583"/>
      <c r="AI216" s="583"/>
      <c r="AJ216" s="583"/>
      <c r="AK216" s="583"/>
      <c r="AL216" s="583"/>
      <c r="AM216" s="583"/>
      <c r="AN216" s="583"/>
      <c r="AO216" s="583"/>
      <c r="AP216" s="583"/>
      <c r="AQ216" s="583"/>
      <c r="AR216" s="583"/>
      <c r="AS216" s="583"/>
      <c r="AT216" s="583"/>
      <c r="AU216" s="583"/>
      <c r="AV216" s="583"/>
      <c r="AW216" s="583"/>
      <c r="AX216" s="583"/>
      <c r="AY216" s="583"/>
      <c r="AZ216" s="583"/>
      <c r="BA216" s="583"/>
      <c r="BB216" s="583"/>
      <c r="BC216" s="583"/>
      <c r="BD216" s="583"/>
      <c r="BE216" s="583"/>
      <c r="BF216" s="583"/>
      <c r="BG216" s="583"/>
      <c r="BH216" s="583"/>
      <c r="BI216" s="583"/>
      <c r="BJ216" s="583"/>
      <c r="BK216" s="583"/>
      <c r="BL216" s="583"/>
      <c r="BM216" s="583"/>
      <c r="BN216" s="583"/>
      <c r="BO216" s="583"/>
      <c r="BP216" s="583"/>
      <c r="BQ216" s="583"/>
      <c r="BR216" s="583"/>
      <c r="BS216" s="583"/>
      <c r="BT216" s="583"/>
      <c r="BU216" s="583"/>
      <c r="BV216" s="583"/>
      <c r="BW216" s="583"/>
      <c r="BX216" s="583"/>
      <c r="BY216" s="583"/>
      <c r="BZ216" s="583"/>
      <c r="CA216" s="583"/>
      <c r="CB216" s="583"/>
      <c r="CC216" s="583"/>
      <c r="CD216" s="583"/>
      <c r="CE216" s="583"/>
      <c r="CF216" s="583"/>
      <c r="CG216" s="583"/>
      <c r="CH216" s="583"/>
      <c r="CI216" s="583"/>
      <c r="CJ216" s="583"/>
      <c r="CK216" s="583"/>
      <c r="CL216" s="583"/>
      <c r="CM216" s="583"/>
      <c r="CN216" s="583"/>
      <c r="CO216" s="583"/>
      <c r="CP216" s="583"/>
      <c r="CQ216" s="583"/>
      <c r="CR216" s="583"/>
      <c r="CS216" s="583"/>
      <c r="CT216" s="583"/>
      <c r="CU216" s="583"/>
      <c r="CV216" s="583"/>
      <c r="CW216" s="583"/>
      <c r="CX216" s="583"/>
      <c r="CY216" s="583"/>
      <c r="CZ216" s="583"/>
      <c r="DA216" s="583"/>
      <c r="DB216" s="583"/>
      <c r="DC216" s="583"/>
      <c r="DD216" s="583"/>
      <c r="DE216" s="584"/>
    </row>
    <row r="217" spans="1:109">
      <c r="A217" s="571"/>
      <c r="B217" s="569" t="s">
        <v>244</v>
      </c>
      <c r="C217" s="569"/>
      <c r="D217" s="569" t="s">
        <v>243</v>
      </c>
      <c r="E217" s="569"/>
      <c r="F217" s="569" t="s">
        <v>242</v>
      </c>
      <c r="G217" s="569"/>
      <c r="H217" s="569" t="s">
        <v>241</v>
      </c>
      <c r="I217" s="569"/>
      <c r="J217" s="569" t="s">
        <v>240</v>
      </c>
      <c r="K217" s="569"/>
      <c r="L217" s="569" t="s">
        <v>239</v>
      </c>
      <c r="M217" s="569"/>
      <c r="N217" s="569" t="s">
        <v>238</v>
      </c>
      <c r="O217" s="569"/>
      <c r="P217" s="569" t="s">
        <v>237</v>
      </c>
      <c r="Q217" s="569"/>
      <c r="R217" s="569" t="s">
        <v>236</v>
      </c>
      <c r="S217" s="569"/>
      <c r="T217" s="569" t="s">
        <v>235</v>
      </c>
      <c r="U217" s="569"/>
      <c r="V217" s="569" t="s">
        <v>234</v>
      </c>
      <c r="W217" s="569"/>
      <c r="X217" s="569" t="s">
        <v>233</v>
      </c>
      <c r="Y217" s="569"/>
      <c r="Z217" s="569" t="s">
        <v>232</v>
      </c>
      <c r="AA217" s="569"/>
      <c r="AB217" s="569" t="s">
        <v>231</v>
      </c>
      <c r="AC217" s="569"/>
      <c r="AD217" s="569" t="s">
        <v>230</v>
      </c>
      <c r="AE217" s="569"/>
      <c r="AF217" s="569" t="s">
        <v>229</v>
      </c>
      <c r="AG217" s="569"/>
      <c r="AH217" s="569" t="s">
        <v>228</v>
      </c>
      <c r="AI217" s="569"/>
      <c r="AJ217" s="569" t="s">
        <v>227</v>
      </c>
      <c r="AK217" s="569"/>
      <c r="AL217" s="569" t="s">
        <v>226</v>
      </c>
      <c r="AM217" s="569"/>
      <c r="AN217" s="569" t="s">
        <v>225</v>
      </c>
      <c r="AO217" s="569"/>
      <c r="AP217" s="569" t="s">
        <v>224</v>
      </c>
      <c r="AQ217" s="569"/>
      <c r="AR217" s="569" t="s">
        <v>223</v>
      </c>
      <c r="AS217" s="569"/>
      <c r="AT217" s="569" t="s">
        <v>222</v>
      </c>
      <c r="AU217" s="569"/>
      <c r="AV217" s="569" t="s">
        <v>221</v>
      </c>
      <c r="AW217" s="569"/>
      <c r="AX217" s="569" t="s">
        <v>220</v>
      </c>
      <c r="AY217" s="569"/>
      <c r="AZ217" s="569" t="s">
        <v>219</v>
      </c>
      <c r="BA217" s="569"/>
      <c r="BB217" s="569" t="s">
        <v>218</v>
      </c>
      <c r="BC217" s="569"/>
      <c r="BD217" s="569" t="s">
        <v>217</v>
      </c>
      <c r="BE217" s="569"/>
      <c r="BF217" s="569" t="s">
        <v>216</v>
      </c>
      <c r="BG217" s="569"/>
      <c r="BH217" s="569" t="s">
        <v>215</v>
      </c>
      <c r="BI217" s="569"/>
      <c r="BJ217" s="569" t="s">
        <v>214</v>
      </c>
      <c r="BK217" s="569"/>
      <c r="BL217" s="569" t="s">
        <v>213</v>
      </c>
      <c r="BM217" s="569"/>
      <c r="BN217" s="569" t="s">
        <v>212</v>
      </c>
      <c r="BO217" s="569"/>
      <c r="BP217" s="569" t="s">
        <v>211</v>
      </c>
      <c r="BQ217" s="569"/>
      <c r="BR217" s="569" t="s">
        <v>210</v>
      </c>
      <c r="BS217" s="569"/>
      <c r="BT217" s="569" t="s">
        <v>209</v>
      </c>
      <c r="BU217" s="569"/>
      <c r="BV217" s="569" t="s">
        <v>208</v>
      </c>
      <c r="BW217" s="569"/>
      <c r="BX217" s="569" t="s">
        <v>207</v>
      </c>
      <c r="BY217" s="569"/>
      <c r="BZ217" s="569" t="s">
        <v>206</v>
      </c>
      <c r="CA217" s="569"/>
      <c r="CB217" s="569" t="s">
        <v>205</v>
      </c>
      <c r="CC217" s="569"/>
      <c r="CD217" s="569" t="s">
        <v>204</v>
      </c>
      <c r="CE217" s="569"/>
      <c r="CF217" s="569" t="s">
        <v>203</v>
      </c>
      <c r="CG217" s="569"/>
      <c r="CH217" s="569" t="s">
        <v>202</v>
      </c>
      <c r="CI217" s="569"/>
      <c r="CJ217" s="569" t="s">
        <v>201</v>
      </c>
      <c r="CK217" s="569"/>
      <c r="CL217" s="569" t="s">
        <v>200</v>
      </c>
      <c r="CM217" s="569"/>
      <c r="CN217" s="569" t="s">
        <v>199</v>
      </c>
      <c r="CO217" s="569"/>
      <c r="CP217" s="569" t="s">
        <v>198</v>
      </c>
      <c r="CQ217" s="569"/>
      <c r="CR217" s="569" t="s">
        <v>197</v>
      </c>
      <c r="CS217" s="569"/>
      <c r="CT217" s="569" t="s">
        <v>196</v>
      </c>
      <c r="CU217" s="569"/>
      <c r="CV217" s="569" t="s">
        <v>195</v>
      </c>
      <c r="CW217" s="569"/>
      <c r="CX217" s="569" t="s">
        <v>194</v>
      </c>
      <c r="CY217" s="569"/>
      <c r="CZ217" s="569" t="s">
        <v>193</v>
      </c>
      <c r="DA217" s="569"/>
      <c r="DB217" s="569" t="s">
        <v>192</v>
      </c>
      <c r="DC217" s="569"/>
      <c r="DD217" s="569" t="s">
        <v>9</v>
      </c>
      <c r="DE217" s="593"/>
    </row>
    <row r="218" spans="1:109" ht="15.75" thickBot="1">
      <c r="A218" s="572"/>
      <c r="B218" s="179" t="s">
        <v>7</v>
      </c>
      <c r="C218" s="180" t="s">
        <v>8</v>
      </c>
      <c r="D218" s="179" t="s">
        <v>7</v>
      </c>
      <c r="E218" s="180" t="s">
        <v>8</v>
      </c>
      <c r="F218" s="179" t="s">
        <v>7</v>
      </c>
      <c r="G218" s="180" t="s">
        <v>8</v>
      </c>
      <c r="H218" s="179" t="s">
        <v>7</v>
      </c>
      <c r="I218" s="180" t="s">
        <v>8</v>
      </c>
      <c r="J218" s="179" t="s">
        <v>7</v>
      </c>
      <c r="K218" s="180" t="s">
        <v>8</v>
      </c>
      <c r="L218" s="179" t="s">
        <v>7</v>
      </c>
      <c r="M218" s="180" t="s">
        <v>8</v>
      </c>
      <c r="N218" s="179" t="s">
        <v>7</v>
      </c>
      <c r="O218" s="180" t="s">
        <v>8</v>
      </c>
      <c r="P218" s="179" t="s">
        <v>7</v>
      </c>
      <c r="Q218" s="180" t="s">
        <v>8</v>
      </c>
      <c r="R218" s="179" t="s">
        <v>7</v>
      </c>
      <c r="S218" s="180" t="s">
        <v>8</v>
      </c>
      <c r="T218" s="179" t="s">
        <v>7</v>
      </c>
      <c r="U218" s="180" t="s">
        <v>8</v>
      </c>
      <c r="V218" s="179" t="s">
        <v>7</v>
      </c>
      <c r="W218" s="180" t="s">
        <v>8</v>
      </c>
      <c r="X218" s="179" t="s">
        <v>7</v>
      </c>
      <c r="Y218" s="180" t="s">
        <v>8</v>
      </c>
      <c r="Z218" s="179" t="s">
        <v>7</v>
      </c>
      <c r="AA218" s="180" t="s">
        <v>8</v>
      </c>
      <c r="AB218" s="179" t="s">
        <v>7</v>
      </c>
      <c r="AC218" s="180" t="s">
        <v>8</v>
      </c>
      <c r="AD218" s="179" t="s">
        <v>7</v>
      </c>
      <c r="AE218" s="180" t="s">
        <v>8</v>
      </c>
      <c r="AF218" s="179" t="s">
        <v>7</v>
      </c>
      <c r="AG218" s="180" t="s">
        <v>8</v>
      </c>
      <c r="AH218" s="179" t="s">
        <v>7</v>
      </c>
      <c r="AI218" s="180" t="s">
        <v>8</v>
      </c>
      <c r="AJ218" s="179" t="s">
        <v>7</v>
      </c>
      <c r="AK218" s="180" t="s">
        <v>8</v>
      </c>
      <c r="AL218" s="179" t="s">
        <v>7</v>
      </c>
      <c r="AM218" s="180" t="s">
        <v>8</v>
      </c>
      <c r="AN218" s="179" t="s">
        <v>7</v>
      </c>
      <c r="AO218" s="180" t="s">
        <v>8</v>
      </c>
      <c r="AP218" s="179" t="s">
        <v>7</v>
      </c>
      <c r="AQ218" s="180" t="s">
        <v>8</v>
      </c>
      <c r="AR218" s="179" t="s">
        <v>7</v>
      </c>
      <c r="AS218" s="180" t="s">
        <v>8</v>
      </c>
      <c r="AT218" s="179" t="s">
        <v>7</v>
      </c>
      <c r="AU218" s="180" t="s">
        <v>8</v>
      </c>
      <c r="AV218" s="179" t="s">
        <v>7</v>
      </c>
      <c r="AW218" s="180" t="s">
        <v>8</v>
      </c>
      <c r="AX218" s="179" t="s">
        <v>7</v>
      </c>
      <c r="AY218" s="180" t="s">
        <v>8</v>
      </c>
      <c r="AZ218" s="179" t="s">
        <v>7</v>
      </c>
      <c r="BA218" s="180" t="s">
        <v>8</v>
      </c>
      <c r="BB218" s="179" t="s">
        <v>7</v>
      </c>
      <c r="BC218" s="180" t="s">
        <v>8</v>
      </c>
      <c r="BD218" s="179" t="s">
        <v>7</v>
      </c>
      <c r="BE218" s="180" t="s">
        <v>8</v>
      </c>
      <c r="BF218" s="179" t="s">
        <v>7</v>
      </c>
      <c r="BG218" s="180" t="s">
        <v>8</v>
      </c>
      <c r="BH218" s="179" t="s">
        <v>7</v>
      </c>
      <c r="BI218" s="180" t="s">
        <v>8</v>
      </c>
      <c r="BJ218" s="179" t="s">
        <v>7</v>
      </c>
      <c r="BK218" s="180" t="s">
        <v>8</v>
      </c>
      <c r="BL218" s="179" t="s">
        <v>7</v>
      </c>
      <c r="BM218" s="180" t="s">
        <v>8</v>
      </c>
      <c r="BN218" s="179" t="s">
        <v>7</v>
      </c>
      <c r="BO218" s="180" t="s">
        <v>8</v>
      </c>
      <c r="BP218" s="179" t="s">
        <v>7</v>
      </c>
      <c r="BQ218" s="180" t="s">
        <v>8</v>
      </c>
      <c r="BR218" s="179" t="s">
        <v>7</v>
      </c>
      <c r="BS218" s="180" t="s">
        <v>8</v>
      </c>
      <c r="BT218" s="179" t="s">
        <v>7</v>
      </c>
      <c r="BU218" s="180" t="s">
        <v>8</v>
      </c>
      <c r="BV218" s="179" t="s">
        <v>7</v>
      </c>
      <c r="BW218" s="180" t="s">
        <v>8</v>
      </c>
      <c r="BX218" s="179" t="s">
        <v>7</v>
      </c>
      <c r="BY218" s="180" t="s">
        <v>8</v>
      </c>
      <c r="BZ218" s="179" t="s">
        <v>7</v>
      </c>
      <c r="CA218" s="180" t="s">
        <v>8</v>
      </c>
      <c r="CB218" s="179" t="s">
        <v>7</v>
      </c>
      <c r="CC218" s="180" t="s">
        <v>8</v>
      </c>
      <c r="CD218" s="179" t="s">
        <v>7</v>
      </c>
      <c r="CE218" s="180" t="s">
        <v>8</v>
      </c>
      <c r="CF218" s="179" t="s">
        <v>7</v>
      </c>
      <c r="CG218" s="180" t="s">
        <v>8</v>
      </c>
      <c r="CH218" s="179" t="s">
        <v>7</v>
      </c>
      <c r="CI218" s="180" t="s">
        <v>8</v>
      </c>
      <c r="CJ218" s="179" t="s">
        <v>7</v>
      </c>
      <c r="CK218" s="180" t="s">
        <v>8</v>
      </c>
      <c r="CL218" s="179" t="s">
        <v>7</v>
      </c>
      <c r="CM218" s="180" t="s">
        <v>8</v>
      </c>
      <c r="CN218" s="179" t="s">
        <v>7</v>
      </c>
      <c r="CO218" s="180" t="s">
        <v>8</v>
      </c>
      <c r="CP218" s="179" t="s">
        <v>7</v>
      </c>
      <c r="CQ218" s="180" t="s">
        <v>8</v>
      </c>
      <c r="CR218" s="179" t="s">
        <v>7</v>
      </c>
      <c r="CS218" s="180" t="s">
        <v>8</v>
      </c>
      <c r="CT218" s="179" t="s">
        <v>7</v>
      </c>
      <c r="CU218" s="180" t="s">
        <v>8</v>
      </c>
      <c r="CV218" s="179" t="s">
        <v>7</v>
      </c>
      <c r="CW218" s="180" t="s">
        <v>8</v>
      </c>
      <c r="CX218" s="179" t="s">
        <v>7</v>
      </c>
      <c r="CY218" s="180" t="s">
        <v>8</v>
      </c>
      <c r="CZ218" s="179" t="s">
        <v>7</v>
      </c>
      <c r="DA218" s="180" t="s">
        <v>8</v>
      </c>
      <c r="DB218" s="179" t="s">
        <v>7</v>
      </c>
      <c r="DC218" s="180" t="s">
        <v>8</v>
      </c>
      <c r="DD218" s="179" t="s">
        <v>7</v>
      </c>
      <c r="DE218" s="178" t="s">
        <v>6</v>
      </c>
    </row>
    <row r="219" spans="1:109">
      <c r="A219" s="165" t="s">
        <v>5</v>
      </c>
      <c r="B219" s="177">
        <v>768</v>
      </c>
      <c r="C219" s="172">
        <v>7.1999999999999995E-2</v>
      </c>
      <c r="D219" s="177">
        <v>450</v>
      </c>
      <c r="E219" s="172">
        <v>4.2000000000000003E-2</v>
      </c>
      <c r="F219" s="177">
        <v>66</v>
      </c>
      <c r="G219" s="172">
        <v>6.0000000000000001E-3</v>
      </c>
      <c r="H219" s="177">
        <v>13</v>
      </c>
      <c r="I219" s="172">
        <v>1E-3</v>
      </c>
      <c r="J219" s="177">
        <v>301</v>
      </c>
      <c r="K219" s="172">
        <v>2.8000000000000001E-2</v>
      </c>
      <c r="L219" s="177">
        <v>272</v>
      </c>
      <c r="M219" s="172">
        <v>2.5000000000000001E-2</v>
      </c>
      <c r="N219" s="177">
        <v>226</v>
      </c>
      <c r="O219" s="172">
        <v>2.1000000000000001E-2</v>
      </c>
      <c r="P219" s="177">
        <v>66</v>
      </c>
      <c r="Q219" s="172">
        <v>6.0000000000000001E-3</v>
      </c>
      <c r="R219" s="177">
        <v>6</v>
      </c>
      <c r="S219" s="172">
        <v>1E-3</v>
      </c>
      <c r="T219" s="177">
        <v>25</v>
      </c>
      <c r="U219" s="172">
        <v>2E-3</v>
      </c>
      <c r="V219" s="177">
        <v>0</v>
      </c>
      <c r="W219" s="172">
        <v>0</v>
      </c>
      <c r="X219" s="177">
        <v>0</v>
      </c>
      <c r="Y219" s="172">
        <v>0</v>
      </c>
      <c r="Z219" s="177">
        <v>180</v>
      </c>
      <c r="AA219" s="172">
        <v>1.7000000000000001E-2</v>
      </c>
      <c r="AB219" s="177">
        <v>0</v>
      </c>
      <c r="AC219" s="172">
        <v>0</v>
      </c>
      <c r="AD219" s="177">
        <v>7</v>
      </c>
      <c r="AE219" s="172">
        <v>1E-3</v>
      </c>
      <c r="AF219" s="177">
        <v>247</v>
      </c>
      <c r="AG219" s="172">
        <v>2.3E-2</v>
      </c>
      <c r="AH219" s="177">
        <v>46</v>
      </c>
      <c r="AI219" s="172">
        <v>4.0000000000000001E-3</v>
      </c>
      <c r="AJ219" s="177">
        <v>163</v>
      </c>
      <c r="AK219" s="172">
        <v>1.4999999999999999E-2</v>
      </c>
      <c r="AL219" s="177">
        <v>0</v>
      </c>
      <c r="AM219" s="172">
        <v>0</v>
      </c>
      <c r="AN219" s="177">
        <v>0</v>
      </c>
      <c r="AO219" s="172">
        <v>0</v>
      </c>
      <c r="AP219" s="177">
        <v>87</v>
      </c>
      <c r="AQ219" s="172">
        <v>8.0000000000000002E-3</v>
      </c>
      <c r="AR219" s="177">
        <v>87</v>
      </c>
      <c r="AS219" s="172">
        <v>8.0000000000000002E-3</v>
      </c>
      <c r="AT219" s="177">
        <v>0</v>
      </c>
      <c r="AU219" s="172">
        <v>0</v>
      </c>
      <c r="AV219" s="177">
        <v>0</v>
      </c>
      <c r="AW219" s="172">
        <v>0</v>
      </c>
      <c r="AX219" s="177">
        <v>323</v>
      </c>
      <c r="AY219" s="172">
        <v>0.03</v>
      </c>
      <c r="AZ219" s="177">
        <v>0</v>
      </c>
      <c r="BA219" s="172">
        <v>0</v>
      </c>
      <c r="BB219" s="177">
        <v>0</v>
      </c>
      <c r="BC219" s="172">
        <v>0</v>
      </c>
      <c r="BD219" s="177">
        <v>67</v>
      </c>
      <c r="BE219" s="172">
        <v>6.0000000000000001E-3</v>
      </c>
      <c r="BF219" s="177">
        <v>612</v>
      </c>
      <c r="BG219" s="172">
        <v>5.7000000000000002E-2</v>
      </c>
      <c r="BH219" s="177">
        <v>0</v>
      </c>
      <c r="BI219" s="172">
        <v>0</v>
      </c>
      <c r="BJ219" s="177">
        <v>0</v>
      </c>
      <c r="BK219" s="172">
        <v>0</v>
      </c>
      <c r="BL219" s="177">
        <v>66</v>
      </c>
      <c r="BM219" s="172">
        <v>6.0000000000000001E-3</v>
      </c>
      <c r="BN219" s="177">
        <v>0</v>
      </c>
      <c r="BO219" s="172">
        <v>0</v>
      </c>
      <c r="BP219" s="177">
        <v>46</v>
      </c>
      <c r="BQ219" s="172">
        <v>4.0000000000000001E-3</v>
      </c>
      <c r="BR219" s="177">
        <v>579</v>
      </c>
      <c r="BS219" s="172">
        <v>5.3999999999999999E-2</v>
      </c>
      <c r="BT219" s="177">
        <v>217</v>
      </c>
      <c r="BU219" s="172">
        <v>0.02</v>
      </c>
      <c r="BV219" s="177">
        <v>87</v>
      </c>
      <c r="BW219" s="172">
        <v>8.0000000000000002E-3</v>
      </c>
      <c r="BX219" s="177">
        <v>9</v>
      </c>
      <c r="BY219" s="172">
        <v>1E-3</v>
      </c>
      <c r="BZ219" s="177">
        <v>0</v>
      </c>
      <c r="CA219" s="172">
        <v>0</v>
      </c>
      <c r="CB219" s="177">
        <v>0</v>
      </c>
      <c r="CC219" s="172">
        <v>0</v>
      </c>
      <c r="CD219" s="177">
        <v>0</v>
      </c>
      <c r="CE219" s="172">
        <v>0</v>
      </c>
      <c r="CF219" s="177">
        <v>0</v>
      </c>
      <c r="CG219" s="172">
        <v>0</v>
      </c>
      <c r="CH219" s="177">
        <v>0</v>
      </c>
      <c r="CI219" s="172">
        <v>0</v>
      </c>
      <c r="CJ219" s="177">
        <v>0</v>
      </c>
      <c r="CK219" s="172">
        <v>0</v>
      </c>
      <c r="CL219" s="177">
        <v>66</v>
      </c>
      <c r="CM219" s="172">
        <v>6.0000000000000001E-3</v>
      </c>
      <c r="CN219" s="177">
        <v>990</v>
      </c>
      <c r="CO219" s="172">
        <v>9.2999999999999999E-2</v>
      </c>
      <c r="CP219" s="177">
        <v>206</v>
      </c>
      <c r="CQ219" s="172">
        <v>1.9E-2</v>
      </c>
      <c r="CR219" s="177">
        <v>0</v>
      </c>
      <c r="CS219" s="172">
        <v>0</v>
      </c>
      <c r="CT219" s="177">
        <v>0</v>
      </c>
      <c r="CU219" s="172">
        <v>0</v>
      </c>
      <c r="CV219" s="177">
        <v>295</v>
      </c>
      <c r="CW219" s="172">
        <v>2.8000000000000001E-2</v>
      </c>
      <c r="CX219" s="177">
        <v>2960</v>
      </c>
      <c r="CY219" s="172">
        <v>0.27700000000000002</v>
      </c>
      <c r="CZ219" s="177">
        <v>54</v>
      </c>
      <c r="DA219" s="172">
        <v>5.0000000000000001E-3</v>
      </c>
      <c r="DB219" s="177">
        <v>1091</v>
      </c>
      <c r="DC219" s="172">
        <v>0.10199999999999999</v>
      </c>
      <c r="DD219" s="177">
        <v>10676</v>
      </c>
      <c r="DE219" s="174">
        <v>1</v>
      </c>
    </row>
    <row r="220" spans="1:109">
      <c r="A220" s="160" t="s">
        <v>2</v>
      </c>
      <c r="B220" s="176">
        <v>32</v>
      </c>
      <c r="C220" s="169">
        <v>9.2999999999999999E-2</v>
      </c>
      <c r="D220" s="176">
        <v>6</v>
      </c>
      <c r="E220" s="169">
        <v>1.7999999999999999E-2</v>
      </c>
      <c r="F220" s="176">
        <v>0</v>
      </c>
      <c r="G220" s="169">
        <v>0</v>
      </c>
      <c r="H220" s="176">
        <v>0</v>
      </c>
      <c r="I220" s="169">
        <v>0</v>
      </c>
      <c r="J220" s="176">
        <v>0</v>
      </c>
      <c r="K220" s="169">
        <v>0</v>
      </c>
      <c r="L220" s="176">
        <v>5</v>
      </c>
      <c r="M220" s="169">
        <v>1.4E-2</v>
      </c>
      <c r="N220" s="176">
        <v>0</v>
      </c>
      <c r="O220" s="169">
        <v>0</v>
      </c>
      <c r="P220" s="176">
        <v>0</v>
      </c>
      <c r="Q220" s="169">
        <v>0</v>
      </c>
      <c r="R220" s="176">
        <v>0</v>
      </c>
      <c r="S220" s="169">
        <v>0</v>
      </c>
      <c r="T220" s="176">
        <v>7</v>
      </c>
      <c r="U220" s="169">
        <v>2.1000000000000001E-2</v>
      </c>
      <c r="V220" s="176">
        <v>0</v>
      </c>
      <c r="W220" s="169">
        <v>0</v>
      </c>
      <c r="X220" s="176">
        <v>0</v>
      </c>
      <c r="Y220" s="169">
        <v>0</v>
      </c>
      <c r="Z220" s="176">
        <v>33</v>
      </c>
      <c r="AA220" s="169">
        <v>9.8000000000000004E-2</v>
      </c>
      <c r="AB220" s="176">
        <v>0</v>
      </c>
      <c r="AC220" s="169">
        <v>0</v>
      </c>
      <c r="AD220" s="176">
        <v>7</v>
      </c>
      <c r="AE220" s="169">
        <v>0.02</v>
      </c>
      <c r="AF220" s="176">
        <v>0</v>
      </c>
      <c r="AG220" s="169">
        <v>0</v>
      </c>
      <c r="AH220" s="176">
        <v>0</v>
      </c>
      <c r="AI220" s="169">
        <v>0</v>
      </c>
      <c r="AJ220" s="176">
        <v>12</v>
      </c>
      <c r="AK220" s="169">
        <v>3.5999999999999997E-2</v>
      </c>
      <c r="AL220" s="176">
        <v>0</v>
      </c>
      <c r="AM220" s="169">
        <v>0</v>
      </c>
      <c r="AN220" s="176">
        <v>0</v>
      </c>
      <c r="AO220" s="169">
        <v>0</v>
      </c>
      <c r="AP220" s="176">
        <v>0</v>
      </c>
      <c r="AQ220" s="169">
        <v>0</v>
      </c>
      <c r="AR220" s="176">
        <v>0</v>
      </c>
      <c r="AS220" s="169">
        <v>0</v>
      </c>
      <c r="AT220" s="176">
        <v>0</v>
      </c>
      <c r="AU220" s="169">
        <v>0</v>
      </c>
      <c r="AV220" s="176">
        <v>0</v>
      </c>
      <c r="AW220" s="169">
        <v>0</v>
      </c>
      <c r="AX220" s="176">
        <v>5</v>
      </c>
      <c r="AY220" s="169">
        <v>1.4E-2</v>
      </c>
      <c r="AZ220" s="176">
        <v>0</v>
      </c>
      <c r="BA220" s="169">
        <v>0</v>
      </c>
      <c r="BB220" s="176">
        <v>0</v>
      </c>
      <c r="BC220" s="169">
        <v>0</v>
      </c>
      <c r="BD220" s="176">
        <v>0</v>
      </c>
      <c r="BE220" s="169">
        <v>0</v>
      </c>
      <c r="BF220" s="176">
        <v>26</v>
      </c>
      <c r="BG220" s="169">
        <v>7.6999999999999999E-2</v>
      </c>
      <c r="BH220" s="176">
        <v>0</v>
      </c>
      <c r="BI220" s="169">
        <v>0</v>
      </c>
      <c r="BJ220" s="176">
        <v>0</v>
      </c>
      <c r="BK220" s="169">
        <v>0</v>
      </c>
      <c r="BL220" s="176">
        <v>0</v>
      </c>
      <c r="BM220" s="169">
        <v>0</v>
      </c>
      <c r="BN220" s="176">
        <v>0</v>
      </c>
      <c r="BO220" s="169">
        <v>0</v>
      </c>
      <c r="BP220" s="176">
        <v>0</v>
      </c>
      <c r="BQ220" s="169">
        <v>0</v>
      </c>
      <c r="BR220" s="176">
        <v>30</v>
      </c>
      <c r="BS220" s="169">
        <v>8.7999999999999995E-2</v>
      </c>
      <c r="BT220" s="176">
        <v>0</v>
      </c>
      <c r="BU220" s="169">
        <v>0</v>
      </c>
      <c r="BV220" s="176">
        <v>0</v>
      </c>
      <c r="BW220" s="169">
        <v>0</v>
      </c>
      <c r="BX220" s="176">
        <v>9</v>
      </c>
      <c r="BY220" s="169">
        <v>2.5999999999999999E-2</v>
      </c>
      <c r="BZ220" s="176">
        <v>0</v>
      </c>
      <c r="CA220" s="169">
        <v>0</v>
      </c>
      <c r="CB220" s="176">
        <v>0</v>
      </c>
      <c r="CC220" s="169">
        <v>0</v>
      </c>
      <c r="CD220" s="176">
        <v>0</v>
      </c>
      <c r="CE220" s="169">
        <v>0</v>
      </c>
      <c r="CF220" s="176">
        <v>0</v>
      </c>
      <c r="CG220" s="169">
        <v>0</v>
      </c>
      <c r="CH220" s="176">
        <v>0</v>
      </c>
      <c r="CI220" s="169">
        <v>0</v>
      </c>
      <c r="CJ220" s="176">
        <v>0</v>
      </c>
      <c r="CK220" s="169">
        <v>0</v>
      </c>
      <c r="CL220" s="176">
        <v>0</v>
      </c>
      <c r="CM220" s="169">
        <v>0</v>
      </c>
      <c r="CN220" s="176">
        <v>25</v>
      </c>
      <c r="CO220" s="169">
        <v>7.3999999999999996E-2</v>
      </c>
      <c r="CP220" s="176">
        <v>0</v>
      </c>
      <c r="CQ220" s="169">
        <v>0</v>
      </c>
      <c r="CR220" s="176">
        <v>0</v>
      </c>
      <c r="CS220" s="169">
        <v>0</v>
      </c>
      <c r="CT220" s="176">
        <v>0</v>
      </c>
      <c r="CU220" s="169">
        <v>0</v>
      </c>
      <c r="CV220" s="176">
        <v>0</v>
      </c>
      <c r="CW220" s="169">
        <v>0</v>
      </c>
      <c r="CX220" s="176">
        <v>140</v>
      </c>
      <c r="CY220" s="169">
        <v>0.40899999999999997</v>
      </c>
      <c r="CZ220" s="176">
        <v>0</v>
      </c>
      <c r="DA220" s="169">
        <v>0</v>
      </c>
      <c r="DB220" s="176">
        <v>5</v>
      </c>
      <c r="DC220" s="169">
        <v>1.4E-2</v>
      </c>
      <c r="DD220" s="176">
        <v>341</v>
      </c>
      <c r="DE220" s="171">
        <v>3.2000000000000001E-2</v>
      </c>
    </row>
    <row r="221" spans="1:109">
      <c r="A221" s="160" t="s">
        <v>1</v>
      </c>
      <c r="B221" s="176">
        <v>88</v>
      </c>
      <c r="C221" s="169">
        <v>5.8999999999999997E-2</v>
      </c>
      <c r="D221" s="176">
        <v>0</v>
      </c>
      <c r="E221" s="169">
        <v>0</v>
      </c>
      <c r="F221" s="176">
        <v>0</v>
      </c>
      <c r="G221" s="169">
        <v>0</v>
      </c>
      <c r="H221" s="176">
        <v>13</v>
      </c>
      <c r="I221" s="169">
        <v>8.0000000000000002E-3</v>
      </c>
      <c r="J221" s="176">
        <v>93</v>
      </c>
      <c r="K221" s="169">
        <v>6.3E-2</v>
      </c>
      <c r="L221" s="176">
        <v>0</v>
      </c>
      <c r="M221" s="169">
        <v>0</v>
      </c>
      <c r="N221" s="176">
        <v>73</v>
      </c>
      <c r="O221" s="169">
        <v>4.9000000000000002E-2</v>
      </c>
      <c r="P221" s="176">
        <v>0</v>
      </c>
      <c r="Q221" s="169">
        <v>0</v>
      </c>
      <c r="R221" s="176">
        <v>6</v>
      </c>
      <c r="S221" s="169">
        <v>4.0000000000000001E-3</v>
      </c>
      <c r="T221" s="176">
        <v>18</v>
      </c>
      <c r="U221" s="169">
        <v>1.2E-2</v>
      </c>
      <c r="V221" s="176">
        <v>0</v>
      </c>
      <c r="W221" s="169">
        <v>0</v>
      </c>
      <c r="X221" s="176">
        <v>0</v>
      </c>
      <c r="Y221" s="169">
        <v>0</v>
      </c>
      <c r="Z221" s="176">
        <v>13</v>
      </c>
      <c r="AA221" s="169">
        <v>8.0000000000000002E-3</v>
      </c>
      <c r="AB221" s="176">
        <v>0</v>
      </c>
      <c r="AC221" s="169">
        <v>0</v>
      </c>
      <c r="AD221" s="176">
        <v>0</v>
      </c>
      <c r="AE221" s="169">
        <v>0</v>
      </c>
      <c r="AF221" s="176">
        <v>18</v>
      </c>
      <c r="AG221" s="169">
        <v>1.2E-2</v>
      </c>
      <c r="AH221" s="176">
        <v>46</v>
      </c>
      <c r="AI221" s="169">
        <v>3.1E-2</v>
      </c>
      <c r="AJ221" s="176">
        <v>63</v>
      </c>
      <c r="AK221" s="169">
        <v>4.2000000000000003E-2</v>
      </c>
      <c r="AL221" s="176">
        <v>0</v>
      </c>
      <c r="AM221" s="169">
        <v>0</v>
      </c>
      <c r="AN221" s="176">
        <v>0</v>
      </c>
      <c r="AO221" s="169">
        <v>0</v>
      </c>
      <c r="AP221" s="176">
        <v>0</v>
      </c>
      <c r="AQ221" s="169">
        <v>0</v>
      </c>
      <c r="AR221" s="176">
        <v>0</v>
      </c>
      <c r="AS221" s="169">
        <v>0</v>
      </c>
      <c r="AT221" s="176">
        <v>0</v>
      </c>
      <c r="AU221" s="169">
        <v>0</v>
      </c>
      <c r="AV221" s="176">
        <v>0</v>
      </c>
      <c r="AW221" s="169">
        <v>0</v>
      </c>
      <c r="AX221" s="176">
        <v>10</v>
      </c>
      <c r="AY221" s="169">
        <v>7.0000000000000001E-3</v>
      </c>
      <c r="AZ221" s="176">
        <v>0</v>
      </c>
      <c r="BA221" s="169">
        <v>0</v>
      </c>
      <c r="BB221" s="176">
        <v>0</v>
      </c>
      <c r="BC221" s="169">
        <v>0</v>
      </c>
      <c r="BD221" s="176">
        <v>0</v>
      </c>
      <c r="BE221" s="169">
        <v>0</v>
      </c>
      <c r="BF221" s="176">
        <v>125</v>
      </c>
      <c r="BG221" s="169">
        <v>8.4000000000000005E-2</v>
      </c>
      <c r="BH221" s="176">
        <v>0</v>
      </c>
      <c r="BI221" s="169">
        <v>0</v>
      </c>
      <c r="BJ221" s="176">
        <v>0</v>
      </c>
      <c r="BK221" s="169">
        <v>0</v>
      </c>
      <c r="BL221" s="176">
        <v>0</v>
      </c>
      <c r="BM221" s="169">
        <v>0</v>
      </c>
      <c r="BN221" s="176">
        <v>0</v>
      </c>
      <c r="BO221" s="169">
        <v>0</v>
      </c>
      <c r="BP221" s="176">
        <v>46</v>
      </c>
      <c r="BQ221" s="169">
        <v>3.1E-2</v>
      </c>
      <c r="BR221" s="176">
        <v>13</v>
      </c>
      <c r="BS221" s="169">
        <v>8.0000000000000002E-3</v>
      </c>
      <c r="BT221" s="176">
        <v>97</v>
      </c>
      <c r="BU221" s="169">
        <v>6.5000000000000002E-2</v>
      </c>
      <c r="BV221" s="176">
        <v>0</v>
      </c>
      <c r="BW221" s="169">
        <v>0</v>
      </c>
      <c r="BX221" s="176">
        <v>0</v>
      </c>
      <c r="BY221" s="169">
        <v>0</v>
      </c>
      <c r="BZ221" s="176">
        <v>0</v>
      </c>
      <c r="CA221" s="169">
        <v>0</v>
      </c>
      <c r="CB221" s="176">
        <v>0</v>
      </c>
      <c r="CC221" s="169">
        <v>0</v>
      </c>
      <c r="CD221" s="176">
        <v>0</v>
      </c>
      <c r="CE221" s="169">
        <v>0</v>
      </c>
      <c r="CF221" s="176">
        <v>0</v>
      </c>
      <c r="CG221" s="169">
        <v>0</v>
      </c>
      <c r="CH221" s="176">
        <v>0</v>
      </c>
      <c r="CI221" s="169">
        <v>0</v>
      </c>
      <c r="CJ221" s="176">
        <v>0</v>
      </c>
      <c r="CK221" s="169">
        <v>0</v>
      </c>
      <c r="CL221" s="176">
        <v>0</v>
      </c>
      <c r="CM221" s="169">
        <v>0</v>
      </c>
      <c r="CN221" s="176">
        <v>81</v>
      </c>
      <c r="CO221" s="169">
        <v>5.3999999999999999E-2</v>
      </c>
      <c r="CP221" s="176">
        <v>0</v>
      </c>
      <c r="CQ221" s="169">
        <v>0</v>
      </c>
      <c r="CR221" s="176">
        <v>0</v>
      </c>
      <c r="CS221" s="169">
        <v>0</v>
      </c>
      <c r="CT221" s="176">
        <v>0</v>
      </c>
      <c r="CU221" s="169">
        <v>0</v>
      </c>
      <c r="CV221" s="176">
        <v>0</v>
      </c>
      <c r="CW221" s="169">
        <v>0</v>
      </c>
      <c r="CX221" s="176">
        <v>348</v>
      </c>
      <c r="CY221" s="169">
        <v>0.23400000000000001</v>
      </c>
      <c r="CZ221" s="176">
        <v>0</v>
      </c>
      <c r="DA221" s="169">
        <v>0</v>
      </c>
      <c r="DB221" s="176">
        <v>339</v>
      </c>
      <c r="DC221" s="169">
        <v>0.22800000000000001</v>
      </c>
      <c r="DD221" s="176">
        <v>1487</v>
      </c>
      <c r="DE221" s="171">
        <v>0.13900000000000001</v>
      </c>
    </row>
    <row r="222" spans="1:109" ht="15.75" thickBot="1">
      <c r="A222" s="160" t="s">
        <v>0</v>
      </c>
      <c r="B222" s="176">
        <v>648</v>
      </c>
      <c r="C222" s="169">
        <v>7.2999999999999995E-2</v>
      </c>
      <c r="D222" s="176">
        <v>444</v>
      </c>
      <c r="E222" s="169">
        <v>0.05</v>
      </c>
      <c r="F222" s="176">
        <v>66</v>
      </c>
      <c r="G222" s="169">
        <v>7.0000000000000001E-3</v>
      </c>
      <c r="H222" s="176">
        <v>0</v>
      </c>
      <c r="I222" s="169">
        <v>0</v>
      </c>
      <c r="J222" s="176">
        <v>208</v>
      </c>
      <c r="K222" s="169">
        <v>2.4E-2</v>
      </c>
      <c r="L222" s="176">
        <v>267</v>
      </c>
      <c r="M222" s="169">
        <v>0.03</v>
      </c>
      <c r="N222" s="176">
        <v>153</v>
      </c>
      <c r="O222" s="169">
        <v>1.7000000000000001E-2</v>
      </c>
      <c r="P222" s="176">
        <v>66</v>
      </c>
      <c r="Q222" s="169">
        <v>7.0000000000000001E-3</v>
      </c>
      <c r="R222" s="176">
        <v>0</v>
      </c>
      <c r="S222" s="169">
        <v>0</v>
      </c>
      <c r="T222" s="176">
        <v>0</v>
      </c>
      <c r="U222" s="169">
        <v>0</v>
      </c>
      <c r="V222" s="176">
        <v>0</v>
      </c>
      <c r="W222" s="169">
        <v>0</v>
      </c>
      <c r="X222" s="176">
        <v>0</v>
      </c>
      <c r="Y222" s="169">
        <v>0</v>
      </c>
      <c r="Z222" s="176">
        <v>135</v>
      </c>
      <c r="AA222" s="169">
        <v>1.4999999999999999E-2</v>
      </c>
      <c r="AB222" s="176">
        <v>0</v>
      </c>
      <c r="AC222" s="169">
        <v>0</v>
      </c>
      <c r="AD222" s="176">
        <v>0</v>
      </c>
      <c r="AE222" s="169">
        <v>0</v>
      </c>
      <c r="AF222" s="176">
        <v>229</v>
      </c>
      <c r="AG222" s="169">
        <v>2.5999999999999999E-2</v>
      </c>
      <c r="AH222" s="176">
        <v>0</v>
      </c>
      <c r="AI222" s="169">
        <v>0</v>
      </c>
      <c r="AJ222" s="176">
        <v>87</v>
      </c>
      <c r="AK222" s="169">
        <v>0.01</v>
      </c>
      <c r="AL222" s="176">
        <v>0</v>
      </c>
      <c r="AM222" s="169">
        <v>0</v>
      </c>
      <c r="AN222" s="176">
        <v>0</v>
      </c>
      <c r="AO222" s="169">
        <v>0</v>
      </c>
      <c r="AP222" s="176">
        <v>87</v>
      </c>
      <c r="AQ222" s="169">
        <v>0.01</v>
      </c>
      <c r="AR222" s="176">
        <v>87</v>
      </c>
      <c r="AS222" s="169">
        <v>0.01</v>
      </c>
      <c r="AT222" s="176">
        <v>0</v>
      </c>
      <c r="AU222" s="169">
        <v>0</v>
      </c>
      <c r="AV222" s="176">
        <v>0</v>
      </c>
      <c r="AW222" s="169">
        <v>0</v>
      </c>
      <c r="AX222" s="176">
        <v>309</v>
      </c>
      <c r="AY222" s="169">
        <v>3.5000000000000003E-2</v>
      </c>
      <c r="AZ222" s="176">
        <v>0</v>
      </c>
      <c r="BA222" s="169">
        <v>0</v>
      </c>
      <c r="BB222" s="176">
        <v>0</v>
      </c>
      <c r="BC222" s="169">
        <v>0</v>
      </c>
      <c r="BD222" s="176">
        <v>67</v>
      </c>
      <c r="BE222" s="169">
        <v>8.0000000000000002E-3</v>
      </c>
      <c r="BF222" s="176">
        <v>461</v>
      </c>
      <c r="BG222" s="169">
        <v>5.1999999999999998E-2</v>
      </c>
      <c r="BH222" s="176">
        <v>0</v>
      </c>
      <c r="BI222" s="169">
        <v>0</v>
      </c>
      <c r="BJ222" s="176">
        <v>0</v>
      </c>
      <c r="BK222" s="169">
        <v>0</v>
      </c>
      <c r="BL222" s="176">
        <v>66</v>
      </c>
      <c r="BM222" s="169">
        <v>7.0000000000000001E-3</v>
      </c>
      <c r="BN222" s="176">
        <v>0</v>
      </c>
      <c r="BO222" s="169">
        <v>0</v>
      </c>
      <c r="BP222" s="176">
        <v>0</v>
      </c>
      <c r="BQ222" s="169">
        <v>0</v>
      </c>
      <c r="BR222" s="176">
        <v>537</v>
      </c>
      <c r="BS222" s="169">
        <v>6.0999999999999999E-2</v>
      </c>
      <c r="BT222" s="176">
        <v>120</v>
      </c>
      <c r="BU222" s="169">
        <v>1.4E-2</v>
      </c>
      <c r="BV222" s="176">
        <v>87</v>
      </c>
      <c r="BW222" s="169">
        <v>0.01</v>
      </c>
      <c r="BX222" s="176">
        <v>0</v>
      </c>
      <c r="BY222" s="169">
        <v>0</v>
      </c>
      <c r="BZ222" s="176">
        <v>0</v>
      </c>
      <c r="CA222" s="169">
        <v>0</v>
      </c>
      <c r="CB222" s="176">
        <v>0</v>
      </c>
      <c r="CC222" s="169">
        <v>0</v>
      </c>
      <c r="CD222" s="176">
        <v>0</v>
      </c>
      <c r="CE222" s="169">
        <v>0</v>
      </c>
      <c r="CF222" s="176">
        <v>0</v>
      </c>
      <c r="CG222" s="169">
        <v>0</v>
      </c>
      <c r="CH222" s="176">
        <v>0</v>
      </c>
      <c r="CI222" s="169">
        <v>0</v>
      </c>
      <c r="CJ222" s="176">
        <v>0</v>
      </c>
      <c r="CK222" s="169">
        <v>0</v>
      </c>
      <c r="CL222" s="176">
        <v>66</v>
      </c>
      <c r="CM222" s="169">
        <v>7.0000000000000001E-3</v>
      </c>
      <c r="CN222" s="176">
        <v>884</v>
      </c>
      <c r="CO222" s="169">
        <v>0.1</v>
      </c>
      <c r="CP222" s="176">
        <v>206</v>
      </c>
      <c r="CQ222" s="169">
        <v>2.3E-2</v>
      </c>
      <c r="CR222" s="176">
        <v>0</v>
      </c>
      <c r="CS222" s="169">
        <v>0</v>
      </c>
      <c r="CT222" s="176">
        <v>0</v>
      </c>
      <c r="CU222" s="169">
        <v>0</v>
      </c>
      <c r="CV222" s="176">
        <v>295</v>
      </c>
      <c r="CW222" s="169">
        <v>3.3000000000000002E-2</v>
      </c>
      <c r="CX222" s="176">
        <v>2472</v>
      </c>
      <c r="CY222" s="169">
        <v>0.27900000000000003</v>
      </c>
      <c r="CZ222" s="176">
        <v>54</v>
      </c>
      <c r="DA222" s="169">
        <v>6.0000000000000001E-3</v>
      </c>
      <c r="DB222" s="176">
        <v>747</v>
      </c>
      <c r="DC222" s="169">
        <v>8.4000000000000005E-2</v>
      </c>
      <c r="DD222" s="176">
        <v>8848</v>
      </c>
      <c r="DE222" s="171">
        <v>0.82899999999999996</v>
      </c>
    </row>
    <row r="223" spans="1:109">
      <c r="A223" s="164" t="s">
        <v>4</v>
      </c>
      <c r="B223" s="177">
        <v>1599</v>
      </c>
      <c r="C223" s="172">
        <v>0.109</v>
      </c>
      <c r="D223" s="177">
        <v>540</v>
      </c>
      <c r="E223" s="172">
        <v>3.6999999999999998E-2</v>
      </c>
      <c r="F223" s="177">
        <v>0</v>
      </c>
      <c r="G223" s="172">
        <v>0</v>
      </c>
      <c r="H223" s="177">
        <v>0</v>
      </c>
      <c r="I223" s="172">
        <v>0</v>
      </c>
      <c r="J223" s="177">
        <v>220</v>
      </c>
      <c r="K223" s="172">
        <v>1.4999999999999999E-2</v>
      </c>
      <c r="L223" s="177">
        <v>301</v>
      </c>
      <c r="M223" s="172">
        <v>0.02</v>
      </c>
      <c r="N223" s="177">
        <v>218</v>
      </c>
      <c r="O223" s="172">
        <v>1.4999999999999999E-2</v>
      </c>
      <c r="P223" s="177">
        <v>63</v>
      </c>
      <c r="Q223" s="172">
        <v>4.0000000000000001E-3</v>
      </c>
      <c r="R223" s="177">
        <v>91</v>
      </c>
      <c r="S223" s="172">
        <v>6.0000000000000001E-3</v>
      </c>
      <c r="T223" s="177">
        <v>90</v>
      </c>
      <c r="U223" s="172">
        <v>6.0000000000000001E-3</v>
      </c>
      <c r="V223" s="177">
        <v>117</v>
      </c>
      <c r="W223" s="172">
        <v>8.0000000000000002E-3</v>
      </c>
      <c r="X223" s="177">
        <v>11</v>
      </c>
      <c r="Y223" s="172">
        <v>1E-3</v>
      </c>
      <c r="Z223" s="177">
        <v>838</v>
      </c>
      <c r="AA223" s="172">
        <v>5.7000000000000002E-2</v>
      </c>
      <c r="AB223" s="177">
        <v>15</v>
      </c>
      <c r="AC223" s="172">
        <v>1E-3</v>
      </c>
      <c r="AD223" s="177">
        <v>0</v>
      </c>
      <c r="AE223" s="172">
        <v>0</v>
      </c>
      <c r="AF223" s="177">
        <v>292</v>
      </c>
      <c r="AG223" s="172">
        <v>0.02</v>
      </c>
      <c r="AH223" s="177">
        <v>0</v>
      </c>
      <c r="AI223" s="172">
        <v>0</v>
      </c>
      <c r="AJ223" s="177">
        <v>90</v>
      </c>
      <c r="AK223" s="172">
        <v>6.0000000000000001E-3</v>
      </c>
      <c r="AL223" s="177">
        <v>84</v>
      </c>
      <c r="AM223" s="172">
        <v>6.0000000000000001E-3</v>
      </c>
      <c r="AN223" s="177">
        <v>147</v>
      </c>
      <c r="AO223" s="172">
        <v>0.01</v>
      </c>
      <c r="AP223" s="177">
        <v>0</v>
      </c>
      <c r="AQ223" s="172">
        <v>0</v>
      </c>
      <c r="AR223" s="177">
        <v>0</v>
      </c>
      <c r="AS223" s="172">
        <v>0</v>
      </c>
      <c r="AT223" s="177">
        <v>47</v>
      </c>
      <c r="AU223" s="172">
        <v>3.0000000000000001E-3</v>
      </c>
      <c r="AV223" s="177">
        <v>0</v>
      </c>
      <c r="AW223" s="172">
        <v>0</v>
      </c>
      <c r="AX223" s="177">
        <v>130</v>
      </c>
      <c r="AY223" s="172">
        <v>8.9999999999999993E-3</v>
      </c>
      <c r="AZ223" s="177">
        <v>0</v>
      </c>
      <c r="BA223" s="172">
        <v>0</v>
      </c>
      <c r="BB223" s="177">
        <v>0</v>
      </c>
      <c r="BC223" s="172">
        <v>0</v>
      </c>
      <c r="BD223" s="177">
        <v>122</v>
      </c>
      <c r="BE223" s="172">
        <v>8.0000000000000002E-3</v>
      </c>
      <c r="BF223" s="177">
        <v>957</v>
      </c>
      <c r="BG223" s="172">
        <v>6.5000000000000002E-2</v>
      </c>
      <c r="BH223" s="177">
        <v>53</v>
      </c>
      <c r="BI223" s="172">
        <v>4.0000000000000001E-3</v>
      </c>
      <c r="BJ223" s="177">
        <v>0</v>
      </c>
      <c r="BK223" s="172">
        <v>0</v>
      </c>
      <c r="BL223" s="177">
        <v>47</v>
      </c>
      <c r="BM223" s="172">
        <v>3.0000000000000001E-3</v>
      </c>
      <c r="BN223" s="177">
        <v>5</v>
      </c>
      <c r="BO223" s="172">
        <v>0</v>
      </c>
      <c r="BP223" s="177">
        <v>0</v>
      </c>
      <c r="BQ223" s="172">
        <v>0</v>
      </c>
      <c r="BR223" s="177">
        <v>615</v>
      </c>
      <c r="BS223" s="172">
        <v>4.2000000000000003E-2</v>
      </c>
      <c r="BT223" s="177">
        <v>344</v>
      </c>
      <c r="BU223" s="172">
        <v>2.3E-2</v>
      </c>
      <c r="BV223" s="177">
        <v>53</v>
      </c>
      <c r="BW223" s="172">
        <v>4.0000000000000001E-3</v>
      </c>
      <c r="BX223" s="177">
        <v>0</v>
      </c>
      <c r="BY223" s="172">
        <v>0</v>
      </c>
      <c r="BZ223" s="177">
        <v>47</v>
      </c>
      <c r="CA223" s="172">
        <v>3.0000000000000001E-3</v>
      </c>
      <c r="CB223" s="177">
        <v>53</v>
      </c>
      <c r="CC223" s="172">
        <v>4.0000000000000001E-3</v>
      </c>
      <c r="CD223" s="177">
        <v>0</v>
      </c>
      <c r="CE223" s="172">
        <v>0</v>
      </c>
      <c r="CF223" s="177">
        <v>69</v>
      </c>
      <c r="CG223" s="172">
        <v>5.0000000000000001E-3</v>
      </c>
      <c r="CH223" s="177">
        <v>47</v>
      </c>
      <c r="CI223" s="172">
        <v>3.0000000000000001E-3</v>
      </c>
      <c r="CJ223" s="177">
        <v>53</v>
      </c>
      <c r="CK223" s="172">
        <v>4.0000000000000001E-3</v>
      </c>
      <c r="CL223" s="177">
        <v>0</v>
      </c>
      <c r="CM223" s="172">
        <v>0</v>
      </c>
      <c r="CN223" s="177">
        <v>1252</v>
      </c>
      <c r="CO223" s="172">
        <v>8.5000000000000006E-2</v>
      </c>
      <c r="CP223" s="177">
        <v>0</v>
      </c>
      <c r="CQ223" s="172">
        <v>0</v>
      </c>
      <c r="CR223" s="177">
        <v>63</v>
      </c>
      <c r="CS223" s="172">
        <v>4.0000000000000001E-3</v>
      </c>
      <c r="CT223" s="177">
        <v>57</v>
      </c>
      <c r="CU223" s="172">
        <v>4.0000000000000001E-3</v>
      </c>
      <c r="CV223" s="177">
        <v>666</v>
      </c>
      <c r="CW223" s="172">
        <v>4.4999999999999998E-2</v>
      </c>
      <c r="CX223" s="177">
        <v>4539</v>
      </c>
      <c r="CY223" s="172">
        <v>0.309</v>
      </c>
      <c r="CZ223" s="177">
        <v>0</v>
      </c>
      <c r="DA223" s="172">
        <v>0</v>
      </c>
      <c r="DB223" s="177">
        <v>749</v>
      </c>
      <c r="DC223" s="172">
        <v>5.0999999999999997E-2</v>
      </c>
      <c r="DD223" s="177">
        <v>14684</v>
      </c>
      <c r="DE223" s="174">
        <v>1</v>
      </c>
    </row>
    <row r="224" spans="1:109">
      <c r="A224" s="160" t="s">
        <v>2</v>
      </c>
      <c r="B224" s="176">
        <v>34</v>
      </c>
      <c r="C224" s="169">
        <v>8.6999999999999994E-2</v>
      </c>
      <c r="D224" s="176">
        <v>15</v>
      </c>
      <c r="E224" s="169">
        <v>3.9E-2</v>
      </c>
      <c r="F224" s="176">
        <v>0</v>
      </c>
      <c r="G224" s="169">
        <v>0</v>
      </c>
      <c r="H224" s="176">
        <v>0</v>
      </c>
      <c r="I224" s="169">
        <v>0</v>
      </c>
      <c r="J224" s="176">
        <v>6</v>
      </c>
      <c r="K224" s="169">
        <v>1.6E-2</v>
      </c>
      <c r="L224" s="176">
        <v>0</v>
      </c>
      <c r="M224" s="169">
        <v>0</v>
      </c>
      <c r="N224" s="176">
        <v>12</v>
      </c>
      <c r="O224" s="169">
        <v>3.1E-2</v>
      </c>
      <c r="P224" s="176">
        <v>6</v>
      </c>
      <c r="Q224" s="169">
        <v>1.6E-2</v>
      </c>
      <c r="R224" s="176">
        <v>0</v>
      </c>
      <c r="S224" s="169">
        <v>0</v>
      </c>
      <c r="T224" s="176">
        <v>7</v>
      </c>
      <c r="U224" s="169">
        <v>1.7000000000000001E-2</v>
      </c>
      <c r="V224" s="176">
        <v>0</v>
      </c>
      <c r="W224" s="169">
        <v>0</v>
      </c>
      <c r="X224" s="176">
        <v>11</v>
      </c>
      <c r="Y224" s="169">
        <v>2.7E-2</v>
      </c>
      <c r="Z224" s="176">
        <v>19</v>
      </c>
      <c r="AA224" s="169">
        <v>4.8000000000000001E-2</v>
      </c>
      <c r="AB224" s="176">
        <v>0</v>
      </c>
      <c r="AC224" s="169">
        <v>0</v>
      </c>
      <c r="AD224" s="176">
        <v>0</v>
      </c>
      <c r="AE224" s="169">
        <v>0</v>
      </c>
      <c r="AF224" s="176">
        <v>17</v>
      </c>
      <c r="AG224" s="169">
        <v>4.3999999999999997E-2</v>
      </c>
      <c r="AH224" s="176">
        <v>0</v>
      </c>
      <c r="AI224" s="169">
        <v>0</v>
      </c>
      <c r="AJ224" s="176">
        <v>16</v>
      </c>
      <c r="AK224" s="169">
        <v>0.04</v>
      </c>
      <c r="AL224" s="176">
        <v>6</v>
      </c>
      <c r="AM224" s="169">
        <v>1.6E-2</v>
      </c>
      <c r="AN224" s="176">
        <v>0</v>
      </c>
      <c r="AO224" s="169">
        <v>0</v>
      </c>
      <c r="AP224" s="176">
        <v>0</v>
      </c>
      <c r="AQ224" s="169">
        <v>0</v>
      </c>
      <c r="AR224" s="176">
        <v>0</v>
      </c>
      <c r="AS224" s="169">
        <v>0</v>
      </c>
      <c r="AT224" s="176">
        <v>0</v>
      </c>
      <c r="AU224" s="169">
        <v>0</v>
      </c>
      <c r="AV224" s="176">
        <v>0</v>
      </c>
      <c r="AW224" s="169">
        <v>0</v>
      </c>
      <c r="AX224" s="176">
        <v>5</v>
      </c>
      <c r="AY224" s="169">
        <v>1.2999999999999999E-2</v>
      </c>
      <c r="AZ224" s="176">
        <v>0</v>
      </c>
      <c r="BA224" s="169">
        <v>0</v>
      </c>
      <c r="BB224" s="176">
        <v>0</v>
      </c>
      <c r="BC224" s="169">
        <v>0</v>
      </c>
      <c r="BD224" s="176">
        <v>0</v>
      </c>
      <c r="BE224" s="169">
        <v>0</v>
      </c>
      <c r="BF224" s="176">
        <v>19</v>
      </c>
      <c r="BG224" s="169">
        <v>4.9000000000000002E-2</v>
      </c>
      <c r="BH224" s="176">
        <v>0</v>
      </c>
      <c r="BI224" s="169">
        <v>0</v>
      </c>
      <c r="BJ224" s="176">
        <v>0</v>
      </c>
      <c r="BK224" s="169">
        <v>0</v>
      </c>
      <c r="BL224" s="176">
        <v>0</v>
      </c>
      <c r="BM224" s="169">
        <v>0</v>
      </c>
      <c r="BN224" s="176">
        <v>5</v>
      </c>
      <c r="BO224" s="169">
        <v>1.4E-2</v>
      </c>
      <c r="BP224" s="176">
        <v>0</v>
      </c>
      <c r="BQ224" s="169">
        <v>0</v>
      </c>
      <c r="BR224" s="176">
        <v>24</v>
      </c>
      <c r="BS224" s="169">
        <v>6.2E-2</v>
      </c>
      <c r="BT224" s="176">
        <v>32</v>
      </c>
      <c r="BU224" s="169">
        <v>8.1000000000000003E-2</v>
      </c>
      <c r="BV224" s="176">
        <v>0</v>
      </c>
      <c r="BW224" s="169">
        <v>0</v>
      </c>
      <c r="BX224" s="176">
        <v>0</v>
      </c>
      <c r="BY224" s="169">
        <v>0</v>
      </c>
      <c r="BZ224" s="176">
        <v>0</v>
      </c>
      <c r="CA224" s="169">
        <v>0</v>
      </c>
      <c r="CB224" s="176">
        <v>0</v>
      </c>
      <c r="CC224" s="169">
        <v>0</v>
      </c>
      <c r="CD224" s="176">
        <v>0</v>
      </c>
      <c r="CE224" s="169">
        <v>0</v>
      </c>
      <c r="CF224" s="176">
        <v>0</v>
      </c>
      <c r="CG224" s="169">
        <v>0</v>
      </c>
      <c r="CH224" s="176">
        <v>0</v>
      </c>
      <c r="CI224" s="169">
        <v>0</v>
      </c>
      <c r="CJ224" s="176">
        <v>0</v>
      </c>
      <c r="CK224" s="169">
        <v>0</v>
      </c>
      <c r="CL224" s="176">
        <v>0</v>
      </c>
      <c r="CM224" s="169">
        <v>0</v>
      </c>
      <c r="CN224" s="176">
        <v>12</v>
      </c>
      <c r="CO224" s="169">
        <v>0.03</v>
      </c>
      <c r="CP224" s="176">
        <v>0</v>
      </c>
      <c r="CQ224" s="169">
        <v>0</v>
      </c>
      <c r="CR224" s="176">
        <v>0</v>
      </c>
      <c r="CS224" s="169">
        <v>0</v>
      </c>
      <c r="CT224" s="176">
        <v>0</v>
      </c>
      <c r="CU224" s="169">
        <v>0</v>
      </c>
      <c r="CV224" s="176">
        <v>6</v>
      </c>
      <c r="CW224" s="169">
        <v>1.6E-2</v>
      </c>
      <c r="CX224" s="176">
        <v>109</v>
      </c>
      <c r="CY224" s="169">
        <v>0.27600000000000002</v>
      </c>
      <c r="CZ224" s="176">
        <v>0</v>
      </c>
      <c r="DA224" s="169">
        <v>0</v>
      </c>
      <c r="DB224" s="176">
        <v>31</v>
      </c>
      <c r="DC224" s="169">
        <v>0.08</v>
      </c>
      <c r="DD224" s="176">
        <v>395</v>
      </c>
      <c r="DE224" s="171">
        <v>2.7E-2</v>
      </c>
    </row>
    <row r="225" spans="1:109">
      <c r="A225" s="160" t="s">
        <v>1</v>
      </c>
      <c r="B225" s="176">
        <v>357</v>
      </c>
      <c r="C225" s="169">
        <v>0.14499999999999999</v>
      </c>
      <c r="D225" s="176">
        <v>35</v>
      </c>
      <c r="E225" s="169">
        <v>1.4E-2</v>
      </c>
      <c r="F225" s="176">
        <v>0</v>
      </c>
      <c r="G225" s="169">
        <v>0</v>
      </c>
      <c r="H225" s="176">
        <v>0</v>
      </c>
      <c r="I225" s="169">
        <v>0</v>
      </c>
      <c r="J225" s="176">
        <v>93</v>
      </c>
      <c r="K225" s="169">
        <v>3.7999999999999999E-2</v>
      </c>
      <c r="L225" s="176">
        <v>49</v>
      </c>
      <c r="M225" s="169">
        <v>0.02</v>
      </c>
      <c r="N225" s="176">
        <v>100</v>
      </c>
      <c r="O225" s="169">
        <v>0.04</v>
      </c>
      <c r="P225" s="176">
        <v>0</v>
      </c>
      <c r="Q225" s="169">
        <v>0</v>
      </c>
      <c r="R225" s="176">
        <v>21</v>
      </c>
      <c r="S225" s="169">
        <v>8.0000000000000002E-3</v>
      </c>
      <c r="T225" s="176">
        <v>30</v>
      </c>
      <c r="U225" s="169">
        <v>1.2E-2</v>
      </c>
      <c r="V225" s="176">
        <v>0</v>
      </c>
      <c r="W225" s="169">
        <v>0</v>
      </c>
      <c r="X225" s="176">
        <v>0</v>
      </c>
      <c r="Y225" s="169">
        <v>0</v>
      </c>
      <c r="Z225" s="176">
        <v>68</v>
      </c>
      <c r="AA225" s="169">
        <v>2.8000000000000001E-2</v>
      </c>
      <c r="AB225" s="176">
        <v>15</v>
      </c>
      <c r="AC225" s="169">
        <v>6.0000000000000001E-3</v>
      </c>
      <c r="AD225" s="176">
        <v>0</v>
      </c>
      <c r="AE225" s="169">
        <v>0</v>
      </c>
      <c r="AF225" s="176">
        <v>15</v>
      </c>
      <c r="AG225" s="169">
        <v>6.0000000000000001E-3</v>
      </c>
      <c r="AH225" s="176">
        <v>0</v>
      </c>
      <c r="AI225" s="169">
        <v>0</v>
      </c>
      <c r="AJ225" s="176">
        <v>21</v>
      </c>
      <c r="AK225" s="169">
        <v>8.0000000000000002E-3</v>
      </c>
      <c r="AL225" s="176">
        <v>21</v>
      </c>
      <c r="AM225" s="169">
        <v>8.0000000000000002E-3</v>
      </c>
      <c r="AN225" s="176">
        <v>41</v>
      </c>
      <c r="AO225" s="169">
        <v>1.7000000000000001E-2</v>
      </c>
      <c r="AP225" s="176">
        <v>0</v>
      </c>
      <c r="AQ225" s="169">
        <v>0</v>
      </c>
      <c r="AR225" s="176">
        <v>0</v>
      </c>
      <c r="AS225" s="169">
        <v>0</v>
      </c>
      <c r="AT225" s="176">
        <v>0</v>
      </c>
      <c r="AU225" s="169">
        <v>0</v>
      </c>
      <c r="AV225" s="176">
        <v>0</v>
      </c>
      <c r="AW225" s="169">
        <v>0</v>
      </c>
      <c r="AX225" s="176">
        <v>0</v>
      </c>
      <c r="AY225" s="169">
        <v>0</v>
      </c>
      <c r="AZ225" s="176">
        <v>0</v>
      </c>
      <c r="BA225" s="169">
        <v>0</v>
      </c>
      <c r="BB225" s="176">
        <v>0</v>
      </c>
      <c r="BC225" s="169">
        <v>0</v>
      </c>
      <c r="BD225" s="176">
        <v>0</v>
      </c>
      <c r="BE225" s="169">
        <v>0</v>
      </c>
      <c r="BF225" s="176">
        <v>245</v>
      </c>
      <c r="BG225" s="169">
        <v>9.9000000000000005E-2</v>
      </c>
      <c r="BH225" s="176">
        <v>0</v>
      </c>
      <c r="BI225" s="169">
        <v>0</v>
      </c>
      <c r="BJ225" s="176">
        <v>0</v>
      </c>
      <c r="BK225" s="169">
        <v>0</v>
      </c>
      <c r="BL225" s="176">
        <v>0</v>
      </c>
      <c r="BM225" s="169">
        <v>0</v>
      </c>
      <c r="BN225" s="176">
        <v>0</v>
      </c>
      <c r="BO225" s="169">
        <v>0</v>
      </c>
      <c r="BP225" s="176">
        <v>0</v>
      </c>
      <c r="BQ225" s="169">
        <v>0</v>
      </c>
      <c r="BR225" s="176">
        <v>222</v>
      </c>
      <c r="BS225" s="169">
        <v>0.09</v>
      </c>
      <c r="BT225" s="176">
        <v>62</v>
      </c>
      <c r="BU225" s="169">
        <v>2.5000000000000001E-2</v>
      </c>
      <c r="BV225" s="176">
        <v>0</v>
      </c>
      <c r="BW225" s="169">
        <v>0</v>
      </c>
      <c r="BX225" s="176">
        <v>0</v>
      </c>
      <c r="BY225" s="169">
        <v>0</v>
      </c>
      <c r="BZ225" s="176">
        <v>0</v>
      </c>
      <c r="CA225" s="169">
        <v>0</v>
      </c>
      <c r="CB225" s="176">
        <v>0</v>
      </c>
      <c r="CC225" s="169">
        <v>0</v>
      </c>
      <c r="CD225" s="176">
        <v>0</v>
      </c>
      <c r="CE225" s="169">
        <v>0</v>
      </c>
      <c r="CF225" s="176">
        <v>0</v>
      </c>
      <c r="CG225" s="169">
        <v>0</v>
      </c>
      <c r="CH225" s="176">
        <v>0</v>
      </c>
      <c r="CI225" s="169">
        <v>0</v>
      </c>
      <c r="CJ225" s="176">
        <v>0</v>
      </c>
      <c r="CK225" s="169">
        <v>0</v>
      </c>
      <c r="CL225" s="176">
        <v>0</v>
      </c>
      <c r="CM225" s="169">
        <v>0</v>
      </c>
      <c r="CN225" s="176">
        <v>145</v>
      </c>
      <c r="CO225" s="169">
        <v>5.8999999999999997E-2</v>
      </c>
      <c r="CP225" s="176">
        <v>0</v>
      </c>
      <c r="CQ225" s="169">
        <v>0</v>
      </c>
      <c r="CR225" s="176">
        <v>15</v>
      </c>
      <c r="CS225" s="169">
        <v>6.0000000000000001E-3</v>
      </c>
      <c r="CT225" s="176">
        <v>0</v>
      </c>
      <c r="CU225" s="169">
        <v>0</v>
      </c>
      <c r="CV225" s="176">
        <v>41</v>
      </c>
      <c r="CW225" s="169">
        <v>1.7000000000000001E-2</v>
      </c>
      <c r="CX225" s="176">
        <v>802</v>
      </c>
      <c r="CY225" s="169">
        <v>0.32500000000000001</v>
      </c>
      <c r="CZ225" s="176">
        <v>0</v>
      </c>
      <c r="DA225" s="169">
        <v>0</v>
      </c>
      <c r="DB225" s="176">
        <v>71</v>
      </c>
      <c r="DC225" s="169">
        <v>2.9000000000000001E-2</v>
      </c>
      <c r="DD225" s="176">
        <v>2469</v>
      </c>
      <c r="DE225" s="171">
        <v>0.16800000000000001</v>
      </c>
    </row>
    <row r="226" spans="1:109" ht="15.75" thickBot="1">
      <c r="A226" s="160" t="s">
        <v>0</v>
      </c>
      <c r="B226" s="176">
        <v>1208</v>
      </c>
      <c r="C226" s="169">
        <v>0.10199999999999999</v>
      </c>
      <c r="D226" s="176">
        <v>490</v>
      </c>
      <c r="E226" s="169">
        <v>4.1000000000000002E-2</v>
      </c>
      <c r="F226" s="176">
        <v>0</v>
      </c>
      <c r="G226" s="169">
        <v>0</v>
      </c>
      <c r="H226" s="176">
        <v>0</v>
      </c>
      <c r="I226" s="169">
        <v>0</v>
      </c>
      <c r="J226" s="176">
        <v>121</v>
      </c>
      <c r="K226" s="169">
        <v>0.01</v>
      </c>
      <c r="L226" s="176">
        <v>252</v>
      </c>
      <c r="M226" s="169">
        <v>2.1000000000000001E-2</v>
      </c>
      <c r="N226" s="176">
        <v>106</v>
      </c>
      <c r="O226" s="169">
        <v>8.9999999999999993E-3</v>
      </c>
      <c r="P226" s="176">
        <v>57</v>
      </c>
      <c r="Q226" s="169">
        <v>5.0000000000000001E-3</v>
      </c>
      <c r="R226" s="176">
        <v>70</v>
      </c>
      <c r="S226" s="169">
        <v>6.0000000000000001E-3</v>
      </c>
      <c r="T226" s="176">
        <v>53</v>
      </c>
      <c r="U226" s="169">
        <v>4.0000000000000001E-3</v>
      </c>
      <c r="V226" s="176">
        <v>117</v>
      </c>
      <c r="W226" s="169">
        <v>0.01</v>
      </c>
      <c r="X226" s="176">
        <v>0</v>
      </c>
      <c r="Y226" s="169">
        <v>0</v>
      </c>
      <c r="Z226" s="176">
        <v>750</v>
      </c>
      <c r="AA226" s="169">
        <v>6.3E-2</v>
      </c>
      <c r="AB226" s="176">
        <v>0</v>
      </c>
      <c r="AC226" s="169">
        <v>0</v>
      </c>
      <c r="AD226" s="176">
        <v>0</v>
      </c>
      <c r="AE226" s="169">
        <v>0</v>
      </c>
      <c r="AF226" s="176">
        <v>259</v>
      </c>
      <c r="AG226" s="169">
        <v>2.1999999999999999E-2</v>
      </c>
      <c r="AH226" s="176">
        <v>0</v>
      </c>
      <c r="AI226" s="169">
        <v>0</v>
      </c>
      <c r="AJ226" s="176">
        <v>53</v>
      </c>
      <c r="AK226" s="169">
        <v>4.0000000000000001E-3</v>
      </c>
      <c r="AL226" s="176">
        <v>57</v>
      </c>
      <c r="AM226" s="169">
        <v>5.0000000000000001E-3</v>
      </c>
      <c r="AN226" s="176">
        <v>106</v>
      </c>
      <c r="AO226" s="169">
        <v>8.9999999999999993E-3</v>
      </c>
      <c r="AP226" s="176">
        <v>0</v>
      </c>
      <c r="AQ226" s="169">
        <v>0</v>
      </c>
      <c r="AR226" s="176">
        <v>0</v>
      </c>
      <c r="AS226" s="169">
        <v>0</v>
      </c>
      <c r="AT226" s="176">
        <v>47</v>
      </c>
      <c r="AU226" s="169">
        <v>4.0000000000000001E-3</v>
      </c>
      <c r="AV226" s="176">
        <v>0</v>
      </c>
      <c r="AW226" s="169">
        <v>0</v>
      </c>
      <c r="AX226" s="176">
        <v>125</v>
      </c>
      <c r="AY226" s="169">
        <v>1.0999999999999999E-2</v>
      </c>
      <c r="AZ226" s="176">
        <v>0</v>
      </c>
      <c r="BA226" s="169">
        <v>0</v>
      </c>
      <c r="BB226" s="176">
        <v>0</v>
      </c>
      <c r="BC226" s="169">
        <v>0</v>
      </c>
      <c r="BD226" s="176">
        <v>122</v>
      </c>
      <c r="BE226" s="169">
        <v>0.01</v>
      </c>
      <c r="BF226" s="176">
        <v>692</v>
      </c>
      <c r="BG226" s="169">
        <v>5.8999999999999997E-2</v>
      </c>
      <c r="BH226" s="176">
        <v>53</v>
      </c>
      <c r="BI226" s="169">
        <v>4.0000000000000001E-3</v>
      </c>
      <c r="BJ226" s="176">
        <v>0</v>
      </c>
      <c r="BK226" s="169">
        <v>0</v>
      </c>
      <c r="BL226" s="176">
        <v>47</v>
      </c>
      <c r="BM226" s="169">
        <v>4.0000000000000001E-3</v>
      </c>
      <c r="BN226" s="176">
        <v>0</v>
      </c>
      <c r="BO226" s="169">
        <v>0</v>
      </c>
      <c r="BP226" s="176">
        <v>0</v>
      </c>
      <c r="BQ226" s="169">
        <v>0</v>
      </c>
      <c r="BR226" s="176">
        <v>369</v>
      </c>
      <c r="BS226" s="169">
        <v>3.1E-2</v>
      </c>
      <c r="BT226" s="176">
        <v>250</v>
      </c>
      <c r="BU226" s="169">
        <v>2.1000000000000001E-2</v>
      </c>
      <c r="BV226" s="176">
        <v>53</v>
      </c>
      <c r="BW226" s="169">
        <v>4.0000000000000001E-3</v>
      </c>
      <c r="BX226" s="176">
        <v>0</v>
      </c>
      <c r="BY226" s="169">
        <v>0</v>
      </c>
      <c r="BZ226" s="176">
        <v>47</v>
      </c>
      <c r="CA226" s="169">
        <v>4.0000000000000001E-3</v>
      </c>
      <c r="CB226" s="176">
        <v>53</v>
      </c>
      <c r="CC226" s="169">
        <v>4.0000000000000001E-3</v>
      </c>
      <c r="CD226" s="176">
        <v>0</v>
      </c>
      <c r="CE226" s="169">
        <v>0</v>
      </c>
      <c r="CF226" s="176">
        <v>69</v>
      </c>
      <c r="CG226" s="169">
        <v>6.0000000000000001E-3</v>
      </c>
      <c r="CH226" s="176">
        <v>47</v>
      </c>
      <c r="CI226" s="169">
        <v>4.0000000000000001E-3</v>
      </c>
      <c r="CJ226" s="176">
        <v>53</v>
      </c>
      <c r="CK226" s="169">
        <v>4.0000000000000001E-3</v>
      </c>
      <c r="CL226" s="176">
        <v>0</v>
      </c>
      <c r="CM226" s="169">
        <v>0</v>
      </c>
      <c r="CN226" s="176">
        <v>1095</v>
      </c>
      <c r="CO226" s="169">
        <v>9.2999999999999999E-2</v>
      </c>
      <c r="CP226" s="176">
        <v>0</v>
      </c>
      <c r="CQ226" s="169">
        <v>0</v>
      </c>
      <c r="CR226" s="176">
        <v>47</v>
      </c>
      <c r="CS226" s="169">
        <v>4.0000000000000001E-3</v>
      </c>
      <c r="CT226" s="176">
        <v>57</v>
      </c>
      <c r="CU226" s="169">
        <v>5.0000000000000001E-3</v>
      </c>
      <c r="CV226" s="176">
        <v>618</v>
      </c>
      <c r="CW226" s="169">
        <v>5.1999999999999998E-2</v>
      </c>
      <c r="CX226" s="176">
        <v>3629</v>
      </c>
      <c r="CY226" s="169">
        <v>0.307</v>
      </c>
      <c r="CZ226" s="176">
        <v>0</v>
      </c>
      <c r="DA226" s="169">
        <v>0</v>
      </c>
      <c r="DB226" s="176">
        <v>646</v>
      </c>
      <c r="DC226" s="169">
        <v>5.5E-2</v>
      </c>
      <c r="DD226" s="176">
        <v>11821</v>
      </c>
      <c r="DE226" s="171">
        <v>0.80500000000000005</v>
      </c>
    </row>
    <row r="227" spans="1:109">
      <c r="A227" s="164" t="s">
        <v>3</v>
      </c>
      <c r="B227" s="177">
        <v>1039</v>
      </c>
      <c r="C227" s="172">
        <v>8.3000000000000004E-2</v>
      </c>
      <c r="D227" s="177">
        <v>494</v>
      </c>
      <c r="E227" s="172">
        <v>3.9E-2</v>
      </c>
      <c r="F227" s="177">
        <v>54</v>
      </c>
      <c r="G227" s="172">
        <v>4.0000000000000001E-3</v>
      </c>
      <c r="H227" s="177">
        <v>0</v>
      </c>
      <c r="I227" s="172">
        <v>0</v>
      </c>
      <c r="J227" s="177">
        <v>647</v>
      </c>
      <c r="K227" s="172">
        <v>5.1999999999999998E-2</v>
      </c>
      <c r="L227" s="177">
        <v>284</v>
      </c>
      <c r="M227" s="172">
        <v>2.3E-2</v>
      </c>
      <c r="N227" s="177">
        <v>372</v>
      </c>
      <c r="O227" s="172">
        <v>0.03</v>
      </c>
      <c r="P227" s="177">
        <v>264</v>
      </c>
      <c r="Q227" s="172">
        <v>2.1000000000000001E-2</v>
      </c>
      <c r="R227" s="177">
        <v>22</v>
      </c>
      <c r="S227" s="172">
        <v>2E-3</v>
      </c>
      <c r="T227" s="177">
        <v>9</v>
      </c>
      <c r="U227" s="172">
        <v>1E-3</v>
      </c>
      <c r="V227" s="177">
        <v>0</v>
      </c>
      <c r="W227" s="172">
        <v>0</v>
      </c>
      <c r="X227" s="177">
        <v>81</v>
      </c>
      <c r="Y227" s="172">
        <v>6.0000000000000001E-3</v>
      </c>
      <c r="Z227" s="177">
        <v>481</v>
      </c>
      <c r="AA227" s="172">
        <v>3.7999999999999999E-2</v>
      </c>
      <c r="AB227" s="177">
        <v>0</v>
      </c>
      <c r="AC227" s="172">
        <v>0</v>
      </c>
      <c r="AD227" s="177">
        <v>0</v>
      </c>
      <c r="AE227" s="172">
        <v>0</v>
      </c>
      <c r="AF227" s="177">
        <v>522</v>
      </c>
      <c r="AG227" s="172">
        <v>4.2000000000000003E-2</v>
      </c>
      <c r="AH227" s="177">
        <v>0</v>
      </c>
      <c r="AI227" s="172">
        <v>0</v>
      </c>
      <c r="AJ227" s="177">
        <v>300</v>
      </c>
      <c r="AK227" s="172">
        <v>2.4E-2</v>
      </c>
      <c r="AL227" s="177">
        <v>56</v>
      </c>
      <c r="AM227" s="172">
        <v>4.0000000000000001E-3</v>
      </c>
      <c r="AN227" s="177">
        <v>4</v>
      </c>
      <c r="AO227" s="172">
        <v>0</v>
      </c>
      <c r="AP227" s="177">
        <v>47</v>
      </c>
      <c r="AQ227" s="172">
        <v>4.0000000000000001E-3</v>
      </c>
      <c r="AR227" s="177">
        <v>46</v>
      </c>
      <c r="AS227" s="172">
        <v>4.0000000000000001E-3</v>
      </c>
      <c r="AT227" s="177">
        <v>37</v>
      </c>
      <c r="AU227" s="172">
        <v>3.0000000000000001E-3</v>
      </c>
      <c r="AV227" s="177">
        <v>10</v>
      </c>
      <c r="AW227" s="172">
        <v>1E-3</v>
      </c>
      <c r="AX227" s="177">
        <v>127</v>
      </c>
      <c r="AY227" s="172">
        <v>0.01</v>
      </c>
      <c r="AZ227" s="177">
        <v>15</v>
      </c>
      <c r="BA227" s="172">
        <v>1E-3</v>
      </c>
      <c r="BB227" s="177">
        <v>15</v>
      </c>
      <c r="BC227" s="172">
        <v>1E-3</v>
      </c>
      <c r="BD227" s="177">
        <v>0</v>
      </c>
      <c r="BE227" s="172">
        <v>0</v>
      </c>
      <c r="BF227" s="177">
        <v>447</v>
      </c>
      <c r="BG227" s="172">
        <v>3.5999999999999997E-2</v>
      </c>
      <c r="BH227" s="177">
        <v>120</v>
      </c>
      <c r="BI227" s="172">
        <v>0.01</v>
      </c>
      <c r="BJ227" s="177">
        <v>96</v>
      </c>
      <c r="BK227" s="172">
        <v>8.0000000000000002E-3</v>
      </c>
      <c r="BL227" s="177">
        <v>36</v>
      </c>
      <c r="BM227" s="172">
        <v>3.0000000000000001E-3</v>
      </c>
      <c r="BN227" s="177">
        <v>0</v>
      </c>
      <c r="BO227" s="172">
        <v>0</v>
      </c>
      <c r="BP227" s="177">
        <v>90</v>
      </c>
      <c r="BQ227" s="172">
        <v>7.0000000000000001E-3</v>
      </c>
      <c r="BR227" s="177">
        <v>209</v>
      </c>
      <c r="BS227" s="172">
        <v>1.7000000000000001E-2</v>
      </c>
      <c r="BT227" s="177">
        <v>210</v>
      </c>
      <c r="BU227" s="172">
        <v>1.7000000000000001E-2</v>
      </c>
      <c r="BV227" s="177">
        <v>0</v>
      </c>
      <c r="BW227" s="172">
        <v>0</v>
      </c>
      <c r="BX227" s="177">
        <v>12</v>
      </c>
      <c r="BY227" s="172">
        <v>1E-3</v>
      </c>
      <c r="BZ227" s="177">
        <v>0</v>
      </c>
      <c r="CA227" s="172">
        <v>0</v>
      </c>
      <c r="CB227" s="177">
        <v>5</v>
      </c>
      <c r="CC227" s="172">
        <v>0</v>
      </c>
      <c r="CD227" s="177">
        <v>46</v>
      </c>
      <c r="CE227" s="172">
        <v>4.0000000000000001E-3</v>
      </c>
      <c r="CF227" s="177">
        <v>0</v>
      </c>
      <c r="CG227" s="172">
        <v>0</v>
      </c>
      <c r="CH227" s="177">
        <v>46</v>
      </c>
      <c r="CI227" s="172">
        <v>4.0000000000000001E-3</v>
      </c>
      <c r="CJ227" s="177">
        <v>0</v>
      </c>
      <c r="CK227" s="172">
        <v>0</v>
      </c>
      <c r="CL227" s="177">
        <v>74</v>
      </c>
      <c r="CM227" s="172">
        <v>6.0000000000000001E-3</v>
      </c>
      <c r="CN227" s="177">
        <v>1412</v>
      </c>
      <c r="CO227" s="172">
        <v>0.113</v>
      </c>
      <c r="CP227" s="177">
        <v>0</v>
      </c>
      <c r="CQ227" s="172">
        <v>0</v>
      </c>
      <c r="CR227" s="177">
        <v>0</v>
      </c>
      <c r="CS227" s="172">
        <v>0</v>
      </c>
      <c r="CT227" s="177">
        <v>0</v>
      </c>
      <c r="CU227" s="172">
        <v>0</v>
      </c>
      <c r="CV227" s="177">
        <v>1147</v>
      </c>
      <c r="CW227" s="172">
        <v>9.1999999999999998E-2</v>
      </c>
      <c r="CX227" s="177">
        <v>3156</v>
      </c>
      <c r="CY227" s="172">
        <v>0.252</v>
      </c>
      <c r="CZ227" s="177">
        <v>0</v>
      </c>
      <c r="DA227" s="172">
        <v>0</v>
      </c>
      <c r="DB227" s="177">
        <v>440</v>
      </c>
      <c r="DC227" s="172">
        <v>3.5000000000000003E-2</v>
      </c>
      <c r="DD227" s="177">
        <v>12536</v>
      </c>
      <c r="DE227" s="174">
        <v>1</v>
      </c>
    </row>
    <row r="228" spans="1:109">
      <c r="A228" s="160" t="s">
        <v>2</v>
      </c>
      <c r="B228" s="176">
        <v>72</v>
      </c>
      <c r="C228" s="169">
        <v>0.19900000000000001</v>
      </c>
      <c r="D228" s="176">
        <v>10</v>
      </c>
      <c r="E228" s="169">
        <v>2.7E-2</v>
      </c>
      <c r="F228" s="176">
        <v>0</v>
      </c>
      <c r="G228" s="169">
        <v>0</v>
      </c>
      <c r="H228" s="176">
        <v>0</v>
      </c>
      <c r="I228" s="169">
        <v>0</v>
      </c>
      <c r="J228" s="176">
        <v>16</v>
      </c>
      <c r="K228" s="169">
        <v>4.4999999999999998E-2</v>
      </c>
      <c r="L228" s="176">
        <v>11</v>
      </c>
      <c r="M228" s="169">
        <v>0.03</v>
      </c>
      <c r="N228" s="176">
        <v>0</v>
      </c>
      <c r="O228" s="169">
        <v>0</v>
      </c>
      <c r="P228" s="176">
        <v>0</v>
      </c>
      <c r="Q228" s="169">
        <v>0</v>
      </c>
      <c r="R228" s="176">
        <v>0</v>
      </c>
      <c r="S228" s="169">
        <v>0</v>
      </c>
      <c r="T228" s="176">
        <v>0</v>
      </c>
      <c r="U228" s="169">
        <v>0</v>
      </c>
      <c r="V228" s="176">
        <v>0</v>
      </c>
      <c r="W228" s="169">
        <v>0</v>
      </c>
      <c r="X228" s="176">
        <v>0</v>
      </c>
      <c r="Y228" s="169">
        <v>0</v>
      </c>
      <c r="Z228" s="176">
        <v>27</v>
      </c>
      <c r="AA228" s="169">
        <v>7.5999999999999998E-2</v>
      </c>
      <c r="AB228" s="176">
        <v>0</v>
      </c>
      <c r="AC228" s="169">
        <v>0</v>
      </c>
      <c r="AD228" s="176">
        <v>0</v>
      </c>
      <c r="AE228" s="169">
        <v>0</v>
      </c>
      <c r="AF228" s="176">
        <v>5</v>
      </c>
      <c r="AG228" s="169">
        <v>1.2999999999999999E-2</v>
      </c>
      <c r="AH228" s="176">
        <v>0</v>
      </c>
      <c r="AI228" s="169">
        <v>0</v>
      </c>
      <c r="AJ228" s="176">
        <v>5</v>
      </c>
      <c r="AK228" s="169">
        <v>1.4999999999999999E-2</v>
      </c>
      <c r="AL228" s="176">
        <v>0</v>
      </c>
      <c r="AM228" s="169">
        <v>0</v>
      </c>
      <c r="AN228" s="176">
        <v>4</v>
      </c>
      <c r="AO228" s="169">
        <v>1.2E-2</v>
      </c>
      <c r="AP228" s="176">
        <v>0</v>
      </c>
      <c r="AQ228" s="169">
        <v>0</v>
      </c>
      <c r="AR228" s="176">
        <v>0</v>
      </c>
      <c r="AS228" s="169">
        <v>0</v>
      </c>
      <c r="AT228" s="176">
        <v>0</v>
      </c>
      <c r="AU228" s="169">
        <v>0</v>
      </c>
      <c r="AV228" s="176">
        <v>0</v>
      </c>
      <c r="AW228" s="169">
        <v>0</v>
      </c>
      <c r="AX228" s="176">
        <v>0</v>
      </c>
      <c r="AY228" s="169">
        <v>0</v>
      </c>
      <c r="AZ228" s="176">
        <v>0</v>
      </c>
      <c r="BA228" s="169">
        <v>0</v>
      </c>
      <c r="BB228" s="176">
        <v>0</v>
      </c>
      <c r="BC228" s="169">
        <v>0</v>
      </c>
      <c r="BD228" s="176">
        <v>0</v>
      </c>
      <c r="BE228" s="169">
        <v>0</v>
      </c>
      <c r="BF228" s="176">
        <v>26</v>
      </c>
      <c r="BG228" s="169">
        <v>7.0999999999999994E-2</v>
      </c>
      <c r="BH228" s="176">
        <v>0</v>
      </c>
      <c r="BI228" s="169">
        <v>0</v>
      </c>
      <c r="BJ228" s="176">
        <v>0</v>
      </c>
      <c r="BK228" s="169">
        <v>0</v>
      </c>
      <c r="BL228" s="176">
        <v>0</v>
      </c>
      <c r="BM228" s="169">
        <v>0</v>
      </c>
      <c r="BN228" s="176">
        <v>0</v>
      </c>
      <c r="BO228" s="169">
        <v>0</v>
      </c>
      <c r="BP228" s="176">
        <v>0</v>
      </c>
      <c r="BQ228" s="169">
        <v>0</v>
      </c>
      <c r="BR228" s="176">
        <v>5</v>
      </c>
      <c r="BS228" s="169">
        <v>1.2999999999999999E-2</v>
      </c>
      <c r="BT228" s="176">
        <v>12</v>
      </c>
      <c r="BU228" s="169">
        <v>3.4000000000000002E-2</v>
      </c>
      <c r="BV228" s="176">
        <v>0</v>
      </c>
      <c r="BW228" s="169">
        <v>0</v>
      </c>
      <c r="BX228" s="176">
        <v>0</v>
      </c>
      <c r="BY228" s="169">
        <v>0</v>
      </c>
      <c r="BZ228" s="176">
        <v>0</v>
      </c>
      <c r="CA228" s="169">
        <v>0</v>
      </c>
      <c r="CB228" s="176">
        <v>5</v>
      </c>
      <c r="CC228" s="169">
        <v>1.2999999999999999E-2</v>
      </c>
      <c r="CD228" s="176">
        <v>0</v>
      </c>
      <c r="CE228" s="169">
        <v>0</v>
      </c>
      <c r="CF228" s="176">
        <v>0</v>
      </c>
      <c r="CG228" s="169">
        <v>0</v>
      </c>
      <c r="CH228" s="176">
        <v>0</v>
      </c>
      <c r="CI228" s="169">
        <v>0</v>
      </c>
      <c r="CJ228" s="176">
        <v>0</v>
      </c>
      <c r="CK228" s="169">
        <v>0</v>
      </c>
      <c r="CL228" s="176">
        <v>0</v>
      </c>
      <c r="CM228" s="169">
        <v>0</v>
      </c>
      <c r="CN228" s="176">
        <v>30</v>
      </c>
      <c r="CO228" s="169">
        <v>8.3000000000000004E-2</v>
      </c>
      <c r="CP228" s="176">
        <v>0</v>
      </c>
      <c r="CQ228" s="169">
        <v>0</v>
      </c>
      <c r="CR228" s="176">
        <v>0</v>
      </c>
      <c r="CS228" s="169">
        <v>0</v>
      </c>
      <c r="CT228" s="176">
        <v>0</v>
      </c>
      <c r="CU228" s="169">
        <v>0</v>
      </c>
      <c r="CV228" s="176">
        <v>13</v>
      </c>
      <c r="CW228" s="169">
        <v>3.5999999999999997E-2</v>
      </c>
      <c r="CX228" s="176">
        <v>82</v>
      </c>
      <c r="CY228" s="169">
        <v>0.22700000000000001</v>
      </c>
      <c r="CZ228" s="176">
        <v>0</v>
      </c>
      <c r="DA228" s="169">
        <v>0</v>
      </c>
      <c r="DB228" s="176">
        <v>20</v>
      </c>
      <c r="DC228" s="169">
        <v>5.5E-2</v>
      </c>
      <c r="DD228" s="176">
        <v>361</v>
      </c>
      <c r="DE228" s="171">
        <v>2.9000000000000001E-2</v>
      </c>
    </row>
    <row r="229" spans="1:109">
      <c r="A229" s="160" t="s">
        <v>1</v>
      </c>
      <c r="B229" s="176">
        <v>84</v>
      </c>
      <c r="C229" s="169">
        <v>7.0999999999999994E-2</v>
      </c>
      <c r="D229" s="176">
        <v>11</v>
      </c>
      <c r="E229" s="169">
        <v>8.9999999999999993E-3</v>
      </c>
      <c r="F229" s="176">
        <v>9</v>
      </c>
      <c r="G229" s="169">
        <v>8.0000000000000002E-3</v>
      </c>
      <c r="H229" s="176">
        <v>0</v>
      </c>
      <c r="I229" s="169">
        <v>0</v>
      </c>
      <c r="J229" s="176">
        <v>63</v>
      </c>
      <c r="K229" s="169">
        <v>5.3999999999999999E-2</v>
      </c>
      <c r="L229" s="176">
        <v>49</v>
      </c>
      <c r="M229" s="169">
        <v>4.2000000000000003E-2</v>
      </c>
      <c r="N229" s="176">
        <v>32</v>
      </c>
      <c r="O229" s="169">
        <v>2.7E-2</v>
      </c>
      <c r="P229" s="176">
        <v>10</v>
      </c>
      <c r="Q229" s="169">
        <v>8.0000000000000002E-3</v>
      </c>
      <c r="R229" s="176">
        <v>22</v>
      </c>
      <c r="S229" s="169">
        <v>1.9E-2</v>
      </c>
      <c r="T229" s="176">
        <v>9</v>
      </c>
      <c r="U229" s="169">
        <v>8.0000000000000002E-3</v>
      </c>
      <c r="V229" s="176">
        <v>0</v>
      </c>
      <c r="W229" s="169">
        <v>0</v>
      </c>
      <c r="X229" s="176">
        <v>0</v>
      </c>
      <c r="Y229" s="169">
        <v>0</v>
      </c>
      <c r="Z229" s="176">
        <v>96</v>
      </c>
      <c r="AA229" s="169">
        <v>8.2000000000000003E-2</v>
      </c>
      <c r="AB229" s="176">
        <v>0</v>
      </c>
      <c r="AC229" s="169">
        <v>0</v>
      </c>
      <c r="AD229" s="176">
        <v>0</v>
      </c>
      <c r="AE229" s="169">
        <v>0</v>
      </c>
      <c r="AF229" s="176">
        <v>10</v>
      </c>
      <c r="AG229" s="169">
        <v>8.0000000000000002E-3</v>
      </c>
      <c r="AH229" s="176">
        <v>0</v>
      </c>
      <c r="AI229" s="169">
        <v>0</v>
      </c>
      <c r="AJ229" s="176">
        <v>33</v>
      </c>
      <c r="AK229" s="169">
        <v>2.8000000000000001E-2</v>
      </c>
      <c r="AL229" s="176">
        <v>20</v>
      </c>
      <c r="AM229" s="169">
        <v>1.7000000000000001E-2</v>
      </c>
      <c r="AN229" s="176">
        <v>0</v>
      </c>
      <c r="AO229" s="169">
        <v>0</v>
      </c>
      <c r="AP229" s="176">
        <v>0</v>
      </c>
      <c r="AQ229" s="169">
        <v>0</v>
      </c>
      <c r="AR229" s="176">
        <v>0</v>
      </c>
      <c r="AS229" s="169">
        <v>0</v>
      </c>
      <c r="AT229" s="176">
        <v>0</v>
      </c>
      <c r="AU229" s="169">
        <v>0</v>
      </c>
      <c r="AV229" s="176">
        <v>10</v>
      </c>
      <c r="AW229" s="169">
        <v>8.0000000000000002E-3</v>
      </c>
      <c r="AX229" s="176">
        <v>0</v>
      </c>
      <c r="AY229" s="169">
        <v>0</v>
      </c>
      <c r="AZ229" s="176">
        <v>15</v>
      </c>
      <c r="BA229" s="169">
        <v>1.2E-2</v>
      </c>
      <c r="BB229" s="176">
        <v>15</v>
      </c>
      <c r="BC229" s="169">
        <v>1.2E-2</v>
      </c>
      <c r="BD229" s="176">
        <v>0</v>
      </c>
      <c r="BE229" s="169">
        <v>0</v>
      </c>
      <c r="BF229" s="176">
        <v>93</v>
      </c>
      <c r="BG229" s="169">
        <v>7.9000000000000001E-2</v>
      </c>
      <c r="BH229" s="176">
        <v>0</v>
      </c>
      <c r="BI229" s="169">
        <v>0</v>
      </c>
      <c r="BJ229" s="176">
        <v>0</v>
      </c>
      <c r="BK229" s="169">
        <v>0</v>
      </c>
      <c r="BL229" s="176">
        <v>0</v>
      </c>
      <c r="BM229" s="169">
        <v>0</v>
      </c>
      <c r="BN229" s="176">
        <v>0</v>
      </c>
      <c r="BO229" s="169">
        <v>0</v>
      </c>
      <c r="BP229" s="176">
        <v>0</v>
      </c>
      <c r="BQ229" s="169">
        <v>0</v>
      </c>
      <c r="BR229" s="176">
        <v>95</v>
      </c>
      <c r="BS229" s="169">
        <v>8.1000000000000003E-2</v>
      </c>
      <c r="BT229" s="176">
        <v>32</v>
      </c>
      <c r="BU229" s="169">
        <v>2.7E-2</v>
      </c>
      <c r="BV229" s="176">
        <v>0</v>
      </c>
      <c r="BW229" s="169">
        <v>0</v>
      </c>
      <c r="BX229" s="176">
        <v>12</v>
      </c>
      <c r="BY229" s="169">
        <v>0.01</v>
      </c>
      <c r="BZ229" s="176">
        <v>0</v>
      </c>
      <c r="CA229" s="169">
        <v>0</v>
      </c>
      <c r="CB229" s="176">
        <v>0</v>
      </c>
      <c r="CC229" s="169">
        <v>0</v>
      </c>
      <c r="CD229" s="176">
        <v>0</v>
      </c>
      <c r="CE229" s="169">
        <v>0</v>
      </c>
      <c r="CF229" s="176">
        <v>0</v>
      </c>
      <c r="CG229" s="169">
        <v>0</v>
      </c>
      <c r="CH229" s="176">
        <v>0</v>
      </c>
      <c r="CI229" s="169">
        <v>0</v>
      </c>
      <c r="CJ229" s="176">
        <v>0</v>
      </c>
      <c r="CK229" s="169">
        <v>0</v>
      </c>
      <c r="CL229" s="176">
        <v>0</v>
      </c>
      <c r="CM229" s="169">
        <v>0</v>
      </c>
      <c r="CN229" s="176">
        <v>96</v>
      </c>
      <c r="CO229" s="169">
        <v>8.2000000000000003E-2</v>
      </c>
      <c r="CP229" s="176">
        <v>0</v>
      </c>
      <c r="CQ229" s="169">
        <v>0</v>
      </c>
      <c r="CR229" s="176">
        <v>0</v>
      </c>
      <c r="CS229" s="169">
        <v>0</v>
      </c>
      <c r="CT229" s="176">
        <v>0</v>
      </c>
      <c r="CU229" s="169">
        <v>0</v>
      </c>
      <c r="CV229" s="176">
        <v>108</v>
      </c>
      <c r="CW229" s="169">
        <v>9.1999999999999998E-2</v>
      </c>
      <c r="CX229" s="176">
        <v>232</v>
      </c>
      <c r="CY229" s="169">
        <v>0.19800000000000001</v>
      </c>
      <c r="CZ229" s="176">
        <v>0</v>
      </c>
      <c r="DA229" s="169">
        <v>0</v>
      </c>
      <c r="DB229" s="176">
        <v>11</v>
      </c>
      <c r="DC229" s="169">
        <v>8.9999999999999993E-3</v>
      </c>
      <c r="DD229" s="176">
        <v>1172</v>
      </c>
      <c r="DE229" s="171">
        <v>9.2999999999999999E-2</v>
      </c>
    </row>
    <row r="230" spans="1:109" ht="15.75" thickBot="1">
      <c r="A230" s="159" t="s">
        <v>0</v>
      </c>
      <c r="B230" s="175">
        <v>884</v>
      </c>
      <c r="C230" s="166">
        <v>0.08</v>
      </c>
      <c r="D230" s="175">
        <v>473</v>
      </c>
      <c r="E230" s="166">
        <v>4.2999999999999997E-2</v>
      </c>
      <c r="F230" s="175">
        <v>45</v>
      </c>
      <c r="G230" s="166">
        <v>4.0000000000000001E-3</v>
      </c>
      <c r="H230" s="175">
        <v>0</v>
      </c>
      <c r="I230" s="166">
        <v>0</v>
      </c>
      <c r="J230" s="175">
        <v>568</v>
      </c>
      <c r="K230" s="166">
        <v>5.1999999999999998E-2</v>
      </c>
      <c r="L230" s="175">
        <v>225</v>
      </c>
      <c r="M230" s="166">
        <v>0.02</v>
      </c>
      <c r="N230" s="175">
        <v>340</v>
      </c>
      <c r="O230" s="166">
        <v>3.1E-2</v>
      </c>
      <c r="P230" s="175">
        <v>255</v>
      </c>
      <c r="Q230" s="166">
        <v>2.3E-2</v>
      </c>
      <c r="R230" s="175">
        <v>0</v>
      </c>
      <c r="S230" s="166">
        <v>0</v>
      </c>
      <c r="T230" s="175">
        <v>0</v>
      </c>
      <c r="U230" s="166">
        <v>0</v>
      </c>
      <c r="V230" s="175">
        <v>0</v>
      </c>
      <c r="W230" s="166">
        <v>0</v>
      </c>
      <c r="X230" s="175">
        <v>81</v>
      </c>
      <c r="Y230" s="166">
        <v>7.0000000000000001E-3</v>
      </c>
      <c r="Z230" s="175">
        <v>358</v>
      </c>
      <c r="AA230" s="166">
        <v>3.3000000000000002E-2</v>
      </c>
      <c r="AB230" s="175">
        <v>0</v>
      </c>
      <c r="AC230" s="166">
        <v>0</v>
      </c>
      <c r="AD230" s="175">
        <v>0</v>
      </c>
      <c r="AE230" s="166">
        <v>0</v>
      </c>
      <c r="AF230" s="175">
        <v>508</v>
      </c>
      <c r="AG230" s="166">
        <v>4.5999999999999999E-2</v>
      </c>
      <c r="AH230" s="175">
        <v>0</v>
      </c>
      <c r="AI230" s="166">
        <v>0</v>
      </c>
      <c r="AJ230" s="175">
        <v>262</v>
      </c>
      <c r="AK230" s="166">
        <v>2.4E-2</v>
      </c>
      <c r="AL230" s="175">
        <v>36</v>
      </c>
      <c r="AM230" s="166">
        <v>3.0000000000000001E-3</v>
      </c>
      <c r="AN230" s="175">
        <v>0</v>
      </c>
      <c r="AO230" s="166">
        <v>0</v>
      </c>
      <c r="AP230" s="175">
        <v>47</v>
      </c>
      <c r="AQ230" s="166">
        <v>4.0000000000000001E-3</v>
      </c>
      <c r="AR230" s="175">
        <v>46</v>
      </c>
      <c r="AS230" s="166">
        <v>4.0000000000000001E-3</v>
      </c>
      <c r="AT230" s="175">
        <v>37</v>
      </c>
      <c r="AU230" s="166">
        <v>3.0000000000000001E-3</v>
      </c>
      <c r="AV230" s="175">
        <v>0</v>
      </c>
      <c r="AW230" s="166">
        <v>0</v>
      </c>
      <c r="AX230" s="175">
        <v>127</v>
      </c>
      <c r="AY230" s="166">
        <v>1.2E-2</v>
      </c>
      <c r="AZ230" s="175">
        <v>0</v>
      </c>
      <c r="BA230" s="166">
        <v>0</v>
      </c>
      <c r="BB230" s="175">
        <v>0</v>
      </c>
      <c r="BC230" s="166">
        <v>0</v>
      </c>
      <c r="BD230" s="175">
        <v>0</v>
      </c>
      <c r="BE230" s="166">
        <v>0</v>
      </c>
      <c r="BF230" s="175">
        <v>328</v>
      </c>
      <c r="BG230" s="166">
        <v>0.03</v>
      </c>
      <c r="BH230" s="175">
        <v>120</v>
      </c>
      <c r="BI230" s="166">
        <v>1.0999999999999999E-2</v>
      </c>
      <c r="BJ230" s="175">
        <v>96</v>
      </c>
      <c r="BK230" s="166">
        <v>8.9999999999999993E-3</v>
      </c>
      <c r="BL230" s="175">
        <v>36</v>
      </c>
      <c r="BM230" s="166">
        <v>3.0000000000000001E-3</v>
      </c>
      <c r="BN230" s="175">
        <v>0</v>
      </c>
      <c r="BO230" s="166">
        <v>0</v>
      </c>
      <c r="BP230" s="175">
        <v>90</v>
      </c>
      <c r="BQ230" s="166">
        <v>8.0000000000000002E-3</v>
      </c>
      <c r="BR230" s="175">
        <v>110</v>
      </c>
      <c r="BS230" s="166">
        <v>0.01</v>
      </c>
      <c r="BT230" s="175">
        <v>166</v>
      </c>
      <c r="BU230" s="166">
        <v>1.4999999999999999E-2</v>
      </c>
      <c r="BV230" s="175">
        <v>0</v>
      </c>
      <c r="BW230" s="166">
        <v>0</v>
      </c>
      <c r="BX230" s="175">
        <v>0</v>
      </c>
      <c r="BY230" s="166">
        <v>0</v>
      </c>
      <c r="BZ230" s="175">
        <v>0</v>
      </c>
      <c r="CA230" s="166">
        <v>0</v>
      </c>
      <c r="CB230" s="175">
        <v>0</v>
      </c>
      <c r="CC230" s="166">
        <v>0</v>
      </c>
      <c r="CD230" s="175">
        <v>46</v>
      </c>
      <c r="CE230" s="166">
        <v>4.0000000000000001E-3</v>
      </c>
      <c r="CF230" s="175">
        <v>0</v>
      </c>
      <c r="CG230" s="166">
        <v>0</v>
      </c>
      <c r="CH230" s="175">
        <v>46</v>
      </c>
      <c r="CI230" s="166">
        <v>4.0000000000000001E-3</v>
      </c>
      <c r="CJ230" s="175">
        <v>0</v>
      </c>
      <c r="CK230" s="166">
        <v>0</v>
      </c>
      <c r="CL230" s="175">
        <v>74</v>
      </c>
      <c r="CM230" s="166">
        <v>7.0000000000000001E-3</v>
      </c>
      <c r="CN230" s="175">
        <v>1286</v>
      </c>
      <c r="CO230" s="166">
        <v>0.11700000000000001</v>
      </c>
      <c r="CP230" s="175">
        <v>0</v>
      </c>
      <c r="CQ230" s="166">
        <v>0</v>
      </c>
      <c r="CR230" s="175">
        <v>0</v>
      </c>
      <c r="CS230" s="166">
        <v>0</v>
      </c>
      <c r="CT230" s="175">
        <v>0</v>
      </c>
      <c r="CU230" s="166">
        <v>0</v>
      </c>
      <c r="CV230" s="175">
        <v>1026</v>
      </c>
      <c r="CW230" s="166">
        <v>9.2999999999999999E-2</v>
      </c>
      <c r="CX230" s="175">
        <v>2842</v>
      </c>
      <c r="CY230" s="166">
        <v>0.25800000000000001</v>
      </c>
      <c r="CZ230" s="175">
        <v>0</v>
      </c>
      <c r="DA230" s="166">
        <v>0</v>
      </c>
      <c r="DB230" s="175">
        <v>409</v>
      </c>
      <c r="DC230" s="166">
        <v>3.6999999999999998E-2</v>
      </c>
      <c r="DD230" s="175">
        <v>11003</v>
      </c>
      <c r="DE230" s="168">
        <v>0.878</v>
      </c>
    </row>
    <row r="238" spans="1:109" ht="15.75" thickBot="1"/>
    <row r="239" spans="1:109" ht="29.25" customHeight="1">
      <c r="A239" s="570" t="s">
        <v>13</v>
      </c>
      <c r="B239" s="588" t="s">
        <v>319</v>
      </c>
      <c r="C239" s="589"/>
      <c r="D239" s="589"/>
      <c r="E239" s="589"/>
      <c r="F239" s="589"/>
      <c r="G239" s="589"/>
      <c r="H239" s="589"/>
      <c r="I239" s="590"/>
      <c r="J239" s="1"/>
    </row>
    <row r="240" spans="1:109" ht="30" customHeight="1">
      <c r="A240" s="586"/>
      <c r="B240" s="647" t="s">
        <v>191</v>
      </c>
      <c r="C240" s="648"/>
      <c r="D240" s="649" t="s">
        <v>190</v>
      </c>
      <c r="E240" s="648"/>
      <c r="F240" s="649" t="s">
        <v>189</v>
      </c>
      <c r="G240" s="648"/>
      <c r="H240" s="654" t="s">
        <v>9</v>
      </c>
      <c r="I240" s="653"/>
      <c r="J240" s="1"/>
    </row>
    <row r="241" spans="1:10" ht="15.75" thickBot="1">
      <c r="A241" s="572"/>
      <c r="B241" s="150" t="s">
        <v>7</v>
      </c>
      <c r="C241" s="150" t="s">
        <v>8</v>
      </c>
      <c r="D241" s="150" t="s">
        <v>7</v>
      </c>
      <c r="E241" s="150" t="s">
        <v>8</v>
      </c>
      <c r="F241" s="150" t="s">
        <v>7</v>
      </c>
      <c r="G241" s="150" t="s">
        <v>8</v>
      </c>
      <c r="H241" s="150" t="s">
        <v>7</v>
      </c>
      <c r="I241" s="149" t="s">
        <v>6</v>
      </c>
      <c r="J241" s="1"/>
    </row>
    <row r="242" spans="1:10" ht="15.75" customHeight="1">
      <c r="A242" s="165" t="s">
        <v>5</v>
      </c>
      <c r="B242" s="173">
        <v>3874.2611340000008</v>
      </c>
      <c r="C242" s="172">
        <v>0.36288293174254815</v>
      </c>
      <c r="D242" s="173">
        <v>2411.5905050000001</v>
      </c>
      <c r="E242" s="172">
        <v>0.2258817881264924</v>
      </c>
      <c r="F242" s="173">
        <v>4390.487188500002</v>
      </c>
      <c r="G242" s="172">
        <v>0.41123528013095934</v>
      </c>
      <c r="H242" s="173">
        <v>10676.338827500003</v>
      </c>
      <c r="I242" s="174">
        <v>1</v>
      </c>
      <c r="J242" s="1"/>
    </row>
    <row r="243" spans="1:10">
      <c r="A243" s="160" t="s">
        <v>2</v>
      </c>
      <c r="B243" s="170">
        <v>133.61219299999999</v>
      </c>
      <c r="C243" s="169">
        <v>0.39143465961143908</v>
      </c>
      <c r="D243" s="170">
        <v>87.447888000000006</v>
      </c>
      <c r="E243" s="169">
        <v>0.25619019869705495</v>
      </c>
      <c r="F243" s="170">
        <v>120.27962850000004</v>
      </c>
      <c r="G243" s="169">
        <v>0.35237514169150613</v>
      </c>
      <c r="H243" s="170">
        <v>341.33970949999997</v>
      </c>
      <c r="I243" s="171">
        <v>3.1971607028879662E-2</v>
      </c>
      <c r="J243" s="1"/>
    </row>
    <row r="244" spans="1:10">
      <c r="A244" s="160" t="s">
        <v>1</v>
      </c>
      <c r="B244" s="170">
        <v>339.78912000000003</v>
      </c>
      <c r="C244" s="169">
        <v>0.22849426977433748</v>
      </c>
      <c r="D244" s="170">
        <v>516.77729199999987</v>
      </c>
      <c r="E244" s="169">
        <v>0.34751156826769358</v>
      </c>
      <c r="F244" s="170">
        <v>630.51298099999997</v>
      </c>
      <c r="G244" s="169">
        <v>0.4239941619579688</v>
      </c>
      <c r="H244" s="170">
        <v>1487.079393</v>
      </c>
      <c r="I244" s="171">
        <v>0.13928739215072458</v>
      </c>
      <c r="J244" s="1"/>
    </row>
    <row r="245" spans="1:10" ht="15.75" thickBot="1">
      <c r="A245" s="160" t="s">
        <v>0</v>
      </c>
      <c r="B245" s="170">
        <v>3400.8598210000009</v>
      </c>
      <c r="C245" s="169">
        <v>0.38436829522659371</v>
      </c>
      <c r="D245" s="170">
        <v>1807.3653250000004</v>
      </c>
      <c r="E245" s="169">
        <v>0.20427008620944523</v>
      </c>
      <c r="F245" s="170">
        <v>3639.6945789999991</v>
      </c>
      <c r="G245" s="169">
        <v>0.41136161856396136</v>
      </c>
      <c r="H245" s="170">
        <v>8847.9197249999979</v>
      </c>
      <c r="I245" s="171">
        <v>0.82874100082039515</v>
      </c>
      <c r="J245" s="1"/>
    </row>
    <row r="246" spans="1:10" ht="15" customHeight="1">
      <c r="A246" s="164" t="s">
        <v>4</v>
      </c>
      <c r="B246" s="173">
        <v>7388.9949064009825</v>
      </c>
      <c r="C246" s="172">
        <v>0.50318963783140258</v>
      </c>
      <c r="D246" s="173">
        <v>3133.0371440494796</v>
      </c>
      <c r="E246" s="172">
        <v>0.21335944141210322</v>
      </c>
      <c r="F246" s="173">
        <v>4162.2824720928675</v>
      </c>
      <c r="G246" s="172">
        <v>0.28345092075649431</v>
      </c>
      <c r="H246" s="173">
        <v>14684.314522543327</v>
      </c>
      <c r="I246" s="174">
        <v>1</v>
      </c>
      <c r="J246" s="1"/>
    </row>
    <row r="247" spans="1:10">
      <c r="A247" s="160" t="s">
        <v>2</v>
      </c>
      <c r="B247" s="170">
        <v>147.44545583505413</v>
      </c>
      <c r="C247" s="169">
        <v>0.37367429764085969</v>
      </c>
      <c r="D247" s="170">
        <v>109.04736261471511</v>
      </c>
      <c r="E247" s="169">
        <v>0.27636115608897738</v>
      </c>
      <c r="F247" s="170">
        <v>138.0899954229813</v>
      </c>
      <c r="G247" s="169">
        <v>0.34996454627016299</v>
      </c>
      <c r="H247" s="170">
        <v>394.58281387275053</v>
      </c>
      <c r="I247" s="171">
        <v>2.6871040746708871E-2</v>
      </c>
      <c r="J247" s="1"/>
    </row>
    <row r="248" spans="1:10">
      <c r="A248" s="160" t="s">
        <v>1</v>
      </c>
      <c r="B248" s="170">
        <v>593.10884351235165</v>
      </c>
      <c r="C248" s="169">
        <v>0.24026873949780014</v>
      </c>
      <c r="D248" s="170">
        <v>547.22081718939762</v>
      </c>
      <c r="E248" s="169">
        <v>0.22167947318815284</v>
      </c>
      <c r="F248" s="170">
        <v>1328.1930641106565</v>
      </c>
      <c r="G248" s="169">
        <v>0.53805178731404713</v>
      </c>
      <c r="H248" s="170">
        <v>2468.5227248124056</v>
      </c>
      <c r="I248" s="171">
        <v>0.16810609177723176</v>
      </c>
      <c r="J248" s="1"/>
    </row>
    <row r="249" spans="1:10" ht="15.75" thickBot="1">
      <c r="A249" s="160" t="s">
        <v>0</v>
      </c>
      <c r="B249" s="170">
        <v>6648.4406070535815</v>
      </c>
      <c r="C249" s="169">
        <v>0.56241629905469093</v>
      </c>
      <c r="D249" s="170">
        <v>2476.7689642453674</v>
      </c>
      <c r="E249" s="169">
        <v>0.20951909128984916</v>
      </c>
      <c r="F249" s="170">
        <v>2695.9994125592293</v>
      </c>
      <c r="G249" s="169">
        <v>0.22806460965545966</v>
      </c>
      <c r="H249" s="170">
        <v>11821.208983858181</v>
      </c>
      <c r="I249" s="171">
        <v>0.80502286747606011</v>
      </c>
      <c r="J249" s="1"/>
    </row>
    <row r="250" spans="1:10" ht="15.75" customHeight="1">
      <c r="A250" s="164" t="s">
        <v>3</v>
      </c>
      <c r="B250" s="173">
        <v>8149.4241290574791</v>
      </c>
      <c r="C250" s="172">
        <v>0.65009259179374368</v>
      </c>
      <c r="D250" s="173">
        <v>2191.8876971504624</v>
      </c>
      <c r="E250" s="172">
        <v>0.174850385916307</v>
      </c>
      <c r="F250" s="173">
        <v>2194.4780473107107</v>
      </c>
      <c r="G250" s="172">
        <v>0.17505702228995271</v>
      </c>
      <c r="H250" s="173">
        <v>12535.78987351861</v>
      </c>
      <c r="I250" s="174">
        <v>1</v>
      </c>
      <c r="J250" s="1"/>
    </row>
    <row r="251" spans="1:10">
      <c r="A251" s="160" t="s">
        <v>2</v>
      </c>
      <c r="B251" s="170">
        <v>111.36539933979356</v>
      </c>
      <c r="C251" s="169">
        <v>0.30858183300328679</v>
      </c>
      <c r="D251" s="170">
        <v>144.38996194671998</v>
      </c>
      <c r="E251" s="169">
        <v>0.40008942983130574</v>
      </c>
      <c r="F251" s="170">
        <v>105.13885680767827</v>
      </c>
      <c r="G251" s="169">
        <v>0.2913287371654083</v>
      </c>
      <c r="H251" s="170">
        <v>360.8942180941915</v>
      </c>
      <c r="I251" s="171">
        <v>2.8789108762629079E-2</v>
      </c>
      <c r="J251" s="1"/>
    </row>
    <row r="252" spans="1:10">
      <c r="A252" s="160" t="s">
        <v>1</v>
      </c>
      <c r="B252" s="170">
        <v>468.95207136243556</v>
      </c>
      <c r="C252" s="169">
        <v>0.40010302408716408</v>
      </c>
      <c r="D252" s="170">
        <v>367.35443165308277</v>
      </c>
      <c r="E252" s="169">
        <v>0.31342140912013322</v>
      </c>
      <c r="F252" s="170">
        <v>335.77179464881499</v>
      </c>
      <c r="G252" s="169">
        <v>0.28647556679270147</v>
      </c>
      <c r="H252" s="170">
        <v>1172.0782976643347</v>
      </c>
      <c r="I252" s="171">
        <v>9.3498559683128271E-2</v>
      </c>
      <c r="J252" s="1"/>
    </row>
    <row r="253" spans="1:10" ht="15.75" thickBot="1">
      <c r="A253" s="159" t="s">
        <v>0</v>
      </c>
      <c r="B253" s="167">
        <v>7569.1066583552511</v>
      </c>
      <c r="C253" s="166">
        <v>0.68792441174322339</v>
      </c>
      <c r="D253" s="167">
        <v>1680.1433035506584</v>
      </c>
      <c r="E253" s="166">
        <v>0.15270118996982898</v>
      </c>
      <c r="F253" s="167">
        <v>1753.5673958542163</v>
      </c>
      <c r="G253" s="166">
        <v>0.15937439828694905</v>
      </c>
      <c r="H253" s="167">
        <v>11002.81735776011</v>
      </c>
      <c r="I253" s="168">
        <v>0.87771233155424466</v>
      </c>
      <c r="J253" s="1"/>
    </row>
    <row r="255" spans="1:10">
      <c r="A255" s="158"/>
    </row>
    <row r="257" spans="1:22" ht="15.75" thickBot="1"/>
    <row r="258" spans="1:22" ht="15" customHeight="1">
      <c r="A258" s="570" t="s">
        <v>13</v>
      </c>
      <c r="B258" s="588" t="s">
        <v>320</v>
      </c>
      <c r="C258" s="589"/>
      <c r="D258" s="589"/>
      <c r="E258" s="589"/>
      <c r="F258" s="589"/>
      <c r="G258" s="589"/>
      <c r="H258" s="589"/>
      <c r="I258" s="589"/>
      <c r="J258" s="589"/>
      <c r="K258" s="589"/>
      <c r="L258" s="589"/>
      <c r="M258" s="589"/>
      <c r="N258" s="589"/>
      <c r="O258" s="589"/>
      <c r="P258" s="589"/>
      <c r="Q258" s="589"/>
      <c r="R258" s="589"/>
      <c r="S258" s="589"/>
      <c r="T258" s="589"/>
      <c r="U258" s="590"/>
      <c r="V258" s="1"/>
    </row>
    <row r="259" spans="1:22">
      <c r="A259" s="586"/>
      <c r="B259" s="647" t="s">
        <v>91</v>
      </c>
      <c r="C259" s="648"/>
      <c r="D259" s="649" t="s">
        <v>90</v>
      </c>
      <c r="E259" s="648"/>
      <c r="F259" s="649" t="s">
        <v>89</v>
      </c>
      <c r="G259" s="648"/>
      <c r="H259" s="649" t="s">
        <v>88</v>
      </c>
      <c r="I259" s="648"/>
      <c r="J259" s="649" t="s">
        <v>76</v>
      </c>
      <c r="K259" s="648"/>
      <c r="L259" s="649" t="s">
        <v>0</v>
      </c>
      <c r="M259" s="648"/>
      <c r="N259" s="649" t="s">
        <v>75</v>
      </c>
      <c r="O259" s="648"/>
      <c r="P259" s="649" t="s">
        <v>74</v>
      </c>
      <c r="Q259" s="648"/>
      <c r="R259" s="649" t="s">
        <v>73</v>
      </c>
      <c r="S259" s="648"/>
      <c r="T259" s="654" t="s">
        <v>9</v>
      </c>
      <c r="U259" s="653"/>
      <c r="V259" s="1"/>
    </row>
    <row r="260" spans="1:22" ht="15.75" thickBot="1">
      <c r="A260" s="572"/>
      <c r="B260" s="150" t="s">
        <v>7</v>
      </c>
      <c r="C260" s="150" t="s">
        <v>8</v>
      </c>
      <c r="D260" s="150" t="s">
        <v>7</v>
      </c>
      <c r="E260" s="150" t="s">
        <v>8</v>
      </c>
      <c r="F260" s="150" t="s">
        <v>7</v>
      </c>
      <c r="G260" s="150" t="s">
        <v>8</v>
      </c>
      <c r="H260" s="150" t="s">
        <v>7</v>
      </c>
      <c r="I260" s="150" t="s">
        <v>8</v>
      </c>
      <c r="J260" s="150" t="s">
        <v>7</v>
      </c>
      <c r="K260" s="150" t="s">
        <v>8</v>
      </c>
      <c r="L260" s="150" t="s">
        <v>7</v>
      </c>
      <c r="M260" s="150" t="s">
        <v>8</v>
      </c>
      <c r="N260" s="150" t="s">
        <v>7</v>
      </c>
      <c r="O260" s="150" t="s">
        <v>8</v>
      </c>
      <c r="P260" s="150" t="s">
        <v>7</v>
      </c>
      <c r="Q260" s="150" t="s">
        <v>8</v>
      </c>
      <c r="R260" s="150" t="s">
        <v>7</v>
      </c>
      <c r="S260" s="150" t="s">
        <v>8</v>
      </c>
      <c r="T260" s="150" t="s">
        <v>7</v>
      </c>
      <c r="U260" s="149" t="s">
        <v>6</v>
      </c>
      <c r="V260" s="1"/>
    </row>
    <row r="261" spans="1:22" ht="15.75" customHeight="1">
      <c r="A261" s="165" t="s">
        <v>5</v>
      </c>
      <c r="B261" s="173">
        <v>2080.5296940000003</v>
      </c>
      <c r="C261" s="172">
        <v>0.53701328383405755</v>
      </c>
      <c r="D261" s="173">
        <v>548.82146999999998</v>
      </c>
      <c r="E261" s="172">
        <v>0.14165835781785996</v>
      </c>
      <c r="F261" s="173">
        <v>67.313805000000002</v>
      </c>
      <c r="G261" s="172">
        <v>1.7374617422987574E-2</v>
      </c>
      <c r="H261" s="173">
        <v>0</v>
      </c>
      <c r="I261" s="174">
        <v>0</v>
      </c>
      <c r="J261" s="173">
        <v>13.013596</v>
      </c>
      <c r="K261" s="172">
        <v>3.3589878301682895E-3</v>
      </c>
      <c r="L261" s="173">
        <v>295.72294199999999</v>
      </c>
      <c r="M261" s="172">
        <v>7.6330152194640358E-2</v>
      </c>
      <c r="N261" s="173">
        <v>316.76557799999995</v>
      </c>
      <c r="O261" s="172">
        <v>8.1761545503504479E-2</v>
      </c>
      <c r="P261" s="173">
        <v>552.09404899999993</v>
      </c>
      <c r="Q261" s="174">
        <v>0.14250305539678157</v>
      </c>
      <c r="R261" s="173">
        <v>0</v>
      </c>
      <c r="S261" s="172">
        <v>0</v>
      </c>
      <c r="T261" s="173">
        <v>3874.2611340000008</v>
      </c>
      <c r="U261" s="172">
        <v>1</v>
      </c>
      <c r="V261" s="1"/>
    </row>
    <row r="262" spans="1:22">
      <c r="A262" s="160" t="s">
        <v>2</v>
      </c>
      <c r="B262" s="170">
        <v>34.900207000000002</v>
      </c>
      <c r="C262" s="169">
        <v>0.26120525542156176</v>
      </c>
      <c r="D262" s="170">
        <v>60</v>
      </c>
      <c r="E262" s="169">
        <v>0.44906081288554262</v>
      </c>
      <c r="F262" s="170">
        <v>0</v>
      </c>
      <c r="G262" s="169">
        <v>0</v>
      </c>
      <c r="H262" s="170">
        <v>0</v>
      </c>
      <c r="I262" s="171">
        <v>0</v>
      </c>
      <c r="J262" s="170">
        <v>13.013596</v>
      </c>
      <c r="K262" s="169">
        <v>9.7398266638734091E-2</v>
      </c>
      <c r="L262" s="170">
        <v>11.773519</v>
      </c>
      <c r="M262" s="169">
        <v>8.8117100211056343E-2</v>
      </c>
      <c r="N262" s="170">
        <v>13.924871</v>
      </c>
      <c r="O262" s="169">
        <v>0.10421856484310529</v>
      </c>
      <c r="P262" s="170">
        <v>0</v>
      </c>
      <c r="Q262" s="171">
        <v>0</v>
      </c>
      <c r="R262" s="170">
        <v>0</v>
      </c>
      <c r="S262" s="169">
        <v>0</v>
      </c>
      <c r="T262" s="170">
        <v>133.61219299999999</v>
      </c>
      <c r="U262" s="169">
        <v>3.4487141774579191E-2</v>
      </c>
      <c r="V262" s="1"/>
    </row>
    <row r="263" spans="1:22">
      <c r="A263" s="160" t="s">
        <v>1</v>
      </c>
      <c r="B263" s="170">
        <v>136.91886</v>
      </c>
      <c r="C263" s="169">
        <v>0.40295245474604952</v>
      </c>
      <c r="D263" s="170">
        <v>93.316082999999992</v>
      </c>
      <c r="E263" s="169">
        <v>0.27462940249528883</v>
      </c>
      <c r="F263" s="170">
        <v>0</v>
      </c>
      <c r="G263" s="169">
        <v>0</v>
      </c>
      <c r="H263" s="170">
        <v>0</v>
      </c>
      <c r="I263" s="171">
        <v>0</v>
      </c>
      <c r="J263" s="170">
        <v>0</v>
      </c>
      <c r="K263" s="169">
        <v>0</v>
      </c>
      <c r="L263" s="170">
        <v>28.760446999999999</v>
      </c>
      <c r="M263" s="169">
        <v>8.4642047985527019E-2</v>
      </c>
      <c r="N263" s="170">
        <v>80.793729999999996</v>
      </c>
      <c r="O263" s="169">
        <v>0.23777609477313455</v>
      </c>
      <c r="P263" s="170">
        <v>0</v>
      </c>
      <c r="Q263" s="171">
        <v>0</v>
      </c>
      <c r="R263" s="170">
        <v>0</v>
      </c>
      <c r="S263" s="169">
        <v>0</v>
      </c>
      <c r="T263" s="170">
        <v>339.78912000000003</v>
      </c>
      <c r="U263" s="169">
        <v>8.770423785274975E-2</v>
      </c>
      <c r="V263" s="1"/>
    </row>
    <row r="264" spans="1:22" ht="15.75" thickBot="1">
      <c r="A264" s="160" t="s">
        <v>0</v>
      </c>
      <c r="B264" s="170">
        <v>1908.7106270000008</v>
      </c>
      <c r="C264" s="169">
        <v>0.56124354647430219</v>
      </c>
      <c r="D264" s="170">
        <v>395.50538700000004</v>
      </c>
      <c r="E264" s="169">
        <v>0.11629570397397451</v>
      </c>
      <c r="F264" s="170">
        <v>67.313805000000002</v>
      </c>
      <c r="G264" s="169">
        <v>1.9793172474896897E-2</v>
      </c>
      <c r="H264" s="170">
        <v>0</v>
      </c>
      <c r="I264" s="171">
        <v>0</v>
      </c>
      <c r="J264" s="170">
        <v>0</v>
      </c>
      <c r="K264" s="169">
        <v>0</v>
      </c>
      <c r="L264" s="170">
        <v>255.188976</v>
      </c>
      <c r="M264" s="169">
        <v>7.5036605279709331E-2</v>
      </c>
      <c r="N264" s="170">
        <v>222.04697699999997</v>
      </c>
      <c r="O264" s="169">
        <v>6.5291422959829162E-2</v>
      </c>
      <c r="P264" s="170">
        <v>552.09404899999993</v>
      </c>
      <c r="Q264" s="171">
        <v>0.16233954883728793</v>
      </c>
      <c r="R264" s="170">
        <v>0</v>
      </c>
      <c r="S264" s="169">
        <v>0</v>
      </c>
      <c r="T264" s="170">
        <v>3400.8598210000009</v>
      </c>
      <c r="U264" s="169">
        <v>0.87780862037267116</v>
      </c>
      <c r="V264" s="1"/>
    </row>
    <row r="265" spans="1:22" ht="15" customHeight="1">
      <c r="A265" s="164" t="s">
        <v>4</v>
      </c>
      <c r="B265" s="173">
        <v>3195.6381427468955</v>
      </c>
      <c r="C265" s="172">
        <v>0.43248617480823526</v>
      </c>
      <c r="D265" s="173">
        <v>1237.0632726480674</v>
      </c>
      <c r="E265" s="172">
        <v>0.16741969487303568</v>
      </c>
      <c r="F265" s="173">
        <v>100.54905032420956</v>
      </c>
      <c r="G265" s="172">
        <v>1.3607946899124986E-2</v>
      </c>
      <c r="H265" s="173">
        <v>141.75</v>
      </c>
      <c r="I265" s="174">
        <v>1.9183935270709683E-2</v>
      </c>
      <c r="J265" s="173">
        <v>14</v>
      </c>
      <c r="K265" s="172">
        <v>1.8947096563663884E-3</v>
      </c>
      <c r="L265" s="173">
        <v>450.75370223801815</v>
      </c>
      <c r="M265" s="172">
        <v>6.1003385162376619E-2</v>
      </c>
      <c r="N265" s="173">
        <v>548.30203131162375</v>
      </c>
      <c r="O265" s="172">
        <v>7.4205225237959957E-2</v>
      </c>
      <c r="P265" s="173">
        <v>1700.9387071321787</v>
      </c>
      <c r="Q265" s="174">
        <v>0.23019892809219283</v>
      </c>
      <c r="R265" s="173">
        <v>0</v>
      </c>
      <c r="S265" s="172">
        <v>0</v>
      </c>
      <c r="T265" s="173">
        <v>7388.9949064009825</v>
      </c>
      <c r="U265" s="172">
        <v>1</v>
      </c>
      <c r="V265" s="1"/>
    </row>
    <row r="266" spans="1:22">
      <c r="A266" s="160" t="s">
        <v>2</v>
      </c>
      <c r="B266" s="170">
        <v>37.447495858289791</v>
      </c>
      <c r="C266" s="169">
        <v>0.25397524559985052</v>
      </c>
      <c r="D266" s="170">
        <v>41.49313201789785</v>
      </c>
      <c r="E266" s="169">
        <v>0.2814134337535355</v>
      </c>
      <c r="F266" s="170">
        <v>0</v>
      </c>
      <c r="G266" s="169">
        <v>0</v>
      </c>
      <c r="H266" s="170">
        <v>0</v>
      </c>
      <c r="I266" s="171">
        <v>0</v>
      </c>
      <c r="J266" s="170">
        <v>6.3125</v>
      </c>
      <c r="K266" s="169">
        <v>4.2812441822973071E-2</v>
      </c>
      <c r="L266" s="170">
        <v>15.939954051796157</v>
      </c>
      <c r="M266" s="169">
        <v>0.10810746225796226</v>
      </c>
      <c r="N266" s="170">
        <v>28.04555601488218</v>
      </c>
      <c r="O266" s="169">
        <v>0.19020970063842785</v>
      </c>
      <c r="P266" s="170">
        <v>18.206817892188099</v>
      </c>
      <c r="Q266" s="171">
        <v>0.12348171592725039</v>
      </c>
      <c r="R266" s="170">
        <v>0</v>
      </c>
      <c r="S266" s="169">
        <v>0</v>
      </c>
      <c r="T266" s="170">
        <v>147.44545583505413</v>
      </c>
      <c r="U266" s="169">
        <v>1.9954737782715778E-2</v>
      </c>
      <c r="V266" s="1"/>
    </row>
    <row r="267" spans="1:22">
      <c r="A267" s="160" t="s">
        <v>1</v>
      </c>
      <c r="B267" s="170">
        <v>249.61891130793745</v>
      </c>
      <c r="C267" s="169">
        <v>0.42086526619584802</v>
      </c>
      <c r="D267" s="170">
        <v>107.82758620689654</v>
      </c>
      <c r="E267" s="169">
        <v>0.18180067180982945</v>
      </c>
      <c r="F267" s="170">
        <v>0</v>
      </c>
      <c r="G267" s="169">
        <v>0</v>
      </c>
      <c r="H267" s="170">
        <v>0</v>
      </c>
      <c r="I267" s="171">
        <v>0</v>
      </c>
      <c r="J267" s="170">
        <v>7.6875</v>
      </c>
      <c r="K267" s="169">
        <v>1.2961364653534972E-2</v>
      </c>
      <c r="L267" s="170">
        <v>193.45278185476394</v>
      </c>
      <c r="M267" s="169">
        <v>0.3261674209899641</v>
      </c>
      <c r="N267" s="170">
        <v>34.522064142753798</v>
      </c>
      <c r="O267" s="169">
        <v>5.8205276350823565E-2</v>
      </c>
      <c r="P267" s="170">
        <v>0</v>
      </c>
      <c r="Q267" s="171">
        <v>0</v>
      </c>
      <c r="R267" s="170">
        <v>0</v>
      </c>
      <c r="S267" s="169">
        <v>0</v>
      </c>
      <c r="T267" s="170">
        <v>593.10884351235165</v>
      </c>
      <c r="U267" s="169">
        <v>8.0269218077082413E-2</v>
      </c>
      <c r="V267" s="1"/>
    </row>
    <row r="268" spans="1:22" ht="15.75" thickBot="1">
      <c r="A268" s="160" t="s">
        <v>0</v>
      </c>
      <c r="B268" s="170">
        <v>2908.5717355806678</v>
      </c>
      <c r="C268" s="169">
        <v>0.43748179573039342</v>
      </c>
      <c r="D268" s="170">
        <v>1087.7425544232731</v>
      </c>
      <c r="E268" s="169">
        <v>0.16360867438136484</v>
      </c>
      <c r="F268" s="170">
        <v>100.54905032420956</v>
      </c>
      <c r="G268" s="169">
        <v>1.512370437926952E-2</v>
      </c>
      <c r="H268" s="170">
        <v>141.75</v>
      </c>
      <c r="I268" s="171">
        <v>2.1320789095959147E-2</v>
      </c>
      <c r="J268" s="170">
        <v>0</v>
      </c>
      <c r="K268" s="169">
        <v>0</v>
      </c>
      <c r="L268" s="170">
        <v>241.36096633145814</v>
      </c>
      <c r="M268" s="169">
        <v>3.630339512627806E-2</v>
      </c>
      <c r="N268" s="170">
        <v>485.73441115398765</v>
      </c>
      <c r="O268" s="169">
        <v>7.3059900789164564E-2</v>
      </c>
      <c r="P268" s="170">
        <v>1682.7318892399906</v>
      </c>
      <c r="Q268" s="171">
        <v>0.25310174049757123</v>
      </c>
      <c r="R268" s="170">
        <v>0</v>
      </c>
      <c r="S268" s="169">
        <v>0</v>
      </c>
      <c r="T268" s="170">
        <v>6648.4406070535815</v>
      </c>
      <c r="U268" s="169">
        <v>0.89977604414020251</v>
      </c>
      <c r="V268" s="1"/>
    </row>
    <row r="269" spans="1:22" ht="15.75" customHeight="1">
      <c r="A269" s="164" t="s">
        <v>3</v>
      </c>
      <c r="B269" s="173">
        <v>3215.2113154664271</v>
      </c>
      <c r="C269" s="172">
        <v>0.39453233315005803</v>
      </c>
      <c r="D269" s="173">
        <v>734.35050237102746</v>
      </c>
      <c r="E269" s="172">
        <v>9.0110723253761821E-2</v>
      </c>
      <c r="F269" s="173">
        <v>82.344279224626845</v>
      </c>
      <c r="G269" s="172">
        <v>1.0104306503206918E-2</v>
      </c>
      <c r="H269" s="173">
        <v>45.093676814988292</v>
      </c>
      <c r="I269" s="174">
        <v>5.5333574619343805E-3</v>
      </c>
      <c r="J269" s="173">
        <v>31.660618961412723</v>
      </c>
      <c r="K269" s="172">
        <v>3.8850130340528032E-3</v>
      </c>
      <c r="L269" s="173">
        <v>356.01243367618878</v>
      </c>
      <c r="M269" s="172">
        <v>4.3685593980413356E-2</v>
      </c>
      <c r="N269" s="173">
        <v>921.51256788918545</v>
      </c>
      <c r="O269" s="172">
        <v>0.11307701664507219</v>
      </c>
      <c r="P269" s="173">
        <v>2675.164385211242</v>
      </c>
      <c r="Q269" s="174">
        <v>0.32826422368578306</v>
      </c>
      <c r="R269" s="173">
        <v>88.074349442379187</v>
      </c>
      <c r="S269" s="172">
        <v>1.0807432285717275E-2</v>
      </c>
      <c r="T269" s="173">
        <v>8149.4241290574791</v>
      </c>
      <c r="U269" s="172">
        <v>1</v>
      </c>
      <c r="V269" s="1"/>
    </row>
    <row r="270" spans="1:22">
      <c r="A270" s="160" t="s">
        <v>2</v>
      </c>
      <c r="B270" s="170">
        <v>46.218100406974685</v>
      </c>
      <c r="C270" s="169">
        <v>0.41501310713173944</v>
      </c>
      <c r="D270" s="170">
        <v>30.679757274194412</v>
      </c>
      <c r="E270" s="169">
        <v>0.2754873367856886</v>
      </c>
      <c r="F270" s="170">
        <v>0</v>
      </c>
      <c r="G270" s="169">
        <v>0</v>
      </c>
      <c r="H270" s="170">
        <v>0</v>
      </c>
      <c r="I270" s="171">
        <v>0</v>
      </c>
      <c r="J270" s="170">
        <v>0</v>
      </c>
      <c r="K270" s="169">
        <v>0</v>
      </c>
      <c r="L270" s="170">
        <v>0</v>
      </c>
      <c r="M270" s="169">
        <v>0</v>
      </c>
      <c r="N270" s="170">
        <v>30.282828282828284</v>
      </c>
      <c r="O270" s="169">
        <v>0.27192313287927566</v>
      </c>
      <c r="P270" s="170">
        <v>4.1847133757961785</v>
      </c>
      <c r="Q270" s="171">
        <v>3.7576423203296315E-2</v>
      </c>
      <c r="R270" s="170">
        <v>0</v>
      </c>
      <c r="S270" s="169">
        <v>0</v>
      </c>
      <c r="T270" s="170">
        <v>111.36539933979356</v>
      </c>
      <c r="U270" s="169">
        <v>1.366543176255983E-2</v>
      </c>
      <c r="V270" s="1"/>
    </row>
    <row r="271" spans="1:22">
      <c r="A271" s="160" t="s">
        <v>1</v>
      </c>
      <c r="B271" s="170">
        <v>233.67974614223564</v>
      </c>
      <c r="C271" s="169">
        <v>0.4983019809750095</v>
      </c>
      <c r="D271" s="170">
        <v>77.663687972035845</v>
      </c>
      <c r="E271" s="169">
        <v>0.16561114176636718</v>
      </c>
      <c r="F271" s="170">
        <v>0</v>
      </c>
      <c r="G271" s="169">
        <v>0</v>
      </c>
      <c r="H271" s="170">
        <v>0</v>
      </c>
      <c r="I271" s="171">
        <v>0</v>
      </c>
      <c r="J271" s="170">
        <v>31.660618961412723</v>
      </c>
      <c r="K271" s="169">
        <v>6.7513549667090417E-2</v>
      </c>
      <c r="L271" s="170">
        <v>42.131036616668247</v>
      </c>
      <c r="M271" s="169">
        <v>8.984081570269202E-2</v>
      </c>
      <c r="N271" s="170">
        <v>30.55687331536388</v>
      </c>
      <c r="O271" s="169">
        <v>6.5159906910289805E-2</v>
      </c>
      <c r="P271" s="170">
        <v>53.260108354719129</v>
      </c>
      <c r="Q271" s="171">
        <v>0.11357260497855094</v>
      </c>
      <c r="R271" s="170">
        <v>0</v>
      </c>
      <c r="S271" s="169">
        <v>0</v>
      </c>
      <c r="T271" s="170">
        <v>468.95207136243556</v>
      </c>
      <c r="U271" s="169">
        <v>5.7544197471615967E-2</v>
      </c>
      <c r="V271" s="1"/>
    </row>
    <row r="272" spans="1:22" ht="15.75" thickBot="1">
      <c r="A272" s="159" t="s">
        <v>0</v>
      </c>
      <c r="B272" s="167">
        <v>2935.3134689172175</v>
      </c>
      <c r="C272" s="166">
        <v>0.38780183731154527</v>
      </c>
      <c r="D272" s="167">
        <v>626.00705712479726</v>
      </c>
      <c r="E272" s="166">
        <v>8.2705540479307643E-2</v>
      </c>
      <c r="F272" s="167">
        <v>82.344279224626845</v>
      </c>
      <c r="G272" s="166">
        <v>1.0878995757541626E-2</v>
      </c>
      <c r="H272" s="167">
        <v>45.093676814988292</v>
      </c>
      <c r="I272" s="168">
        <v>5.9575956384775057E-3</v>
      </c>
      <c r="J272" s="167">
        <v>0</v>
      </c>
      <c r="K272" s="166">
        <v>0</v>
      </c>
      <c r="L272" s="167">
        <v>313.88139705952051</v>
      </c>
      <c r="M272" s="166">
        <v>4.1468750702969508E-2</v>
      </c>
      <c r="N272" s="167">
        <v>860.67286629099328</v>
      </c>
      <c r="O272" s="166">
        <v>0.11370864556927984</v>
      </c>
      <c r="P272" s="167">
        <v>2617.7195634807258</v>
      </c>
      <c r="Q272" s="168">
        <v>0.34584260489857466</v>
      </c>
      <c r="R272" s="167">
        <v>88.074349442379187</v>
      </c>
      <c r="S272" s="166">
        <v>1.1636029642303591E-2</v>
      </c>
      <c r="T272" s="167">
        <v>7569.1066583552511</v>
      </c>
      <c r="U272" s="166">
        <v>0.92879037076582438</v>
      </c>
      <c r="V272" s="1"/>
    </row>
    <row r="276" spans="1:14" ht="15.75" thickBot="1"/>
    <row r="277" spans="1:14" ht="15" customHeight="1">
      <c r="A277" s="570" t="s">
        <v>13</v>
      </c>
      <c r="B277" s="588" t="s">
        <v>321</v>
      </c>
      <c r="C277" s="589"/>
      <c r="D277" s="589"/>
      <c r="E277" s="589"/>
      <c r="F277" s="589"/>
      <c r="G277" s="589"/>
      <c r="H277" s="589"/>
      <c r="I277" s="589"/>
      <c r="J277" s="589"/>
      <c r="K277" s="589"/>
      <c r="L277" s="589"/>
      <c r="M277" s="590"/>
      <c r="N277" s="1"/>
    </row>
    <row r="278" spans="1:14" ht="33" customHeight="1">
      <c r="A278" s="586"/>
      <c r="B278" s="650" t="s">
        <v>156</v>
      </c>
      <c r="C278" s="648"/>
      <c r="D278" s="651" t="s">
        <v>155</v>
      </c>
      <c r="E278" s="648"/>
      <c r="F278" s="651" t="s">
        <v>154</v>
      </c>
      <c r="G278" s="648"/>
      <c r="H278" s="651" t="s">
        <v>153</v>
      </c>
      <c r="I278" s="648"/>
      <c r="J278" s="651" t="s">
        <v>152</v>
      </c>
      <c r="K278" s="648"/>
      <c r="L278" s="652" t="s">
        <v>9</v>
      </c>
      <c r="M278" s="653"/>
      <c r="N278" s="1"/>
    </row>
    <row r="279" spans="1:14" ht="15.75" thickBot="1">
      <c r="A279" s="572"/>
      <c r="B279" s="150" t="s">
        <v>7</v>
      </c>
      <c r="C279" s="150" t="s">
        <v>8</v>
      </c>
      <c r="D279" s="150" t="s">
        <v>7</v>
      </c>
      <c r="E279" s="150" t="s">
        <v>8</v>
      </c>
      <c r="F279" s="150" t="s">
        <v>7</v>
      </c>
      <c r="G279" s="150" t="s">
        <v>8</v>
      </c>
      <c r="H279" s="150" t="s">
        <v>7</v>
      </c>
      <c r="I279" s="150" t="s">
        <v>8</v>
      </c>
      <c r="J279" s="150" t="s">
        <v>7</v>
      </c>
      <c r="K279" s="150" t="s">
        <v>8</v>
      </c>
      <c r="L279" s="150" t="s">
        <v>7</v>
      </c>
      <c r="M279" s="149" t="s">
        <v>6</v>
      </c>
      <c r="N279" s="1"/>
    </row>
    <row r="280" spans="1:14">
      <c r="A280" s="165" t="s">
        <v>5</v>
      </c>
      <c r="B280" s="17">
        <v>1421.0686689999995</v>
      </c>
      <c r="C280" s="12">
        <v>0.58926615694234519</v>
      </c>
      <c r="D280" s="17">
        <v>214.28549999999998</v>
      </c>
      <c r="E280" s="12">
        <v>8.8856503438588544E-2</v>
      </c>
      <c r="F280" s="17">
        <v>482.83477900000003</v>
      </c>
      <c r="G280" s="12">
        <v>0.20021424781650482</v>
      </c>
      <c r="H280" s="17">
        <v>83.362990000000011</v>
      </c>
      <c r="I280" s="12">
        <v>3.4567639003040447E-2</v>
      </c>
      <c r="J280" s="17">
        <v>210.038567</v>
      </c>
      <c r="K280" s="12">
        <v>8.7095452799520773E-2</v>
      </c>
      <c r="L280" s="17">
        <v>2411.5905050000001</v>
      </c>
      <c r="M280" s="10">
        <v>1</v>
      </c>
      <c r="N280" s="1"/>
    </row>
    <row r="281" spans="1:14">
      <c r="A281" s="160" t="s">
        <v>2</v>
      </c>
      <c r="B281" s="7">
        <v>52.678760000000004</v>
      </c>
      <c r="C281" s="8">
        <v>0.60240174125188706</v>
      </c>
      <c r="D281" s="7">
        <v>6.9052629999999997</v>
      </c>
      <c r="E281" s="8">
        <v>7.8964319870137967E-2</v>
      </c>
      <c r="F281" s="7">
        <v>27.863865000000004</v>
      </c>
      <c r="G281" s="8">
        <v>0.31863393887797498</v>
      </c>
      <c r="H281" s="7">
        <v>0</v>
      </c>
      <c r="I281" s="8">
        <v>0</v>
      </c>
      <c r="J281" s="7">
        <v>0</v>
      </c>
      <c r="K281" s="8">
        <v>0</v>
      </c>
      <c r="L281" s="7">
        <v>87.447888000000006</v>
      </c>
      <c r="M281" s="6">
        <v>3.6261499545089643E-2</v>
      </c>
      <c r="N281" s="1"/>
    </row>
    <row r="282" spans="1:14">
      <c r="A282" s="160" t="s">
        <v>1</v>
      </c>
      <c r="B282" s="7">
        <v>420.62265699999995</v>
      </c>
      <c r="C282" s="8">
        <v>0.81393409407006234</v>
      </c>
      <c r="D282" s="7">
        <v>0</v>
      </c>
      <c r="E282" s="8">
        <v>0</v>
      </c>
      <c r="F282" s="7">
        <v>78.647414999999995</v>
      </c>
      <c r="G282" s="8">
        <v>0.1521882176664992</v>
      </c>
      <c r="H282" s="7">
        <v>17.50722</v>
      </c>
      <c r="I282" s="8">
        <v>3.3877688263438642E-2</v>
      </c>
      <c r="J282" s="7">
        <v>0</v>
      </c>
      <c r="K282" s="8">
        <v>0</v>
      </c>
      <c r="L282" s="7">
        <v>516.77729199999987</v>
      </c>
      <c r="M282" s="6">
        <v>0.21428898933237417</v>
      </c>
      <c r="N282" s="1"/>
    </row>
    <row r="283" spans="1:14" ht="15.75" thickBot="1">
      <c r="A283" s="160" t="s">
        <v>0</v>
      </c>
      <c r="B283" s="7">
        <v>947.76725199999998</v>
      </c>
      <c r="C283" s="8">
        <v>0.52439163178036496</v>
      </c>
      <c r="D283" s="7">
        <v>207.38023699999999</v>
      </c>
      <c r="E283" s="8">
        <v>0.11474173711947248</v>
      </c>
      <c r="F283" s="7">
        <v>376.32349900000003</v>
      </c>
      <c r="G283" s="8">
        <v>0.20821661995756166</v>
      </c>
      <c r="H283" s="7">
        <v>65.855770000000007</v>
      </c>
      <c r="I283" s="8">
        <v>3.6437442441250772E-2</v>
      </c>
      <c r="J283" s="7">
        <v>210.038567</v>
      </c>
      <c r="K283" s="8">
        <v>0.11621256870134981</v>
      </c>
      <c r="L283" s="7">
        <v>1807.3653250000004</v>
      </c>
      <c r="M283" s="6">
        <v>0.74944951112253633</v>
      </c>
      <c r="N283" s="1"/>
    </row>
    <row r="284" spans="1:14">
      <c r="A284" s="164" t="s">
        <v>4</v>
      </c>
      <c r="B284" s="162">
        <v>2210.203893041225</v>
      </c>
      <c r="C284" s="163">
        <v>0.70545090639573971</v>
      </c>
      <c r="D284" s="162">
        <v>132.52370067385991</v>
      </c>
      <c r="E284" s="163">
        <v>4.2298796528971817E-2</v>
      </c>
      <c r="F284" s="162">
        <v>613.08058519302449</v>
      </c>
      <c r="G284" s="163">
        <v>0.19568251412449331</v>
      </c>
      <c r="H284" s="162">
        <v>52.842762311183364</v>
      </c>
      <c r="I284" s="163">
        <v>1.6866305722403153E-2</v>
      </c>
      <c r="J284" s="162">
        <v>124.38620283018868</v>
      </c>
      <c r="K284" s="163">
        <v>3.9701477228392623E-2</v>
      </c>
      <c r="L284" s="162">
        <v>3133.0371440494796</v>
      </c>
      <c r="M284" s="161">
        <v>1</v>
      </c>
      <c r="N284" s="1"/>
    </row>
    <row r="285" spans="1:14">
      <c r="A285" s="160" t="s">
        <v>2</v>
      </c>
      <c r="B285" s="7">
        <v>67.170764870354191</v>
      </c>
      <c r="C285" s="8">
        <v>0.61597789492333854</v>
      </c>
      <c r="D285" s="7">
        <v>12.625</v>
      </c>
      <c r="E285" s="8">
        <v>0.11577538142400109</v>
      </c>
      <c r="F285" s="7">
        <v>23.8718984962406</v>
      </c>
      <c r="G285" s="8">
        <v>0.21891312108651831</v>
      </c>
      <c r="H285" s="7">
        <v>5.3796992481203008</v>
      </c>
      <c r="I285" s="8">
        <v>4.9333602566141763E-2</v>
      </c>
      <c r="J285" s="7">
        <v>0</v>
      </c>
      <c r="K285" s="8">
        <v>0</v>
      </c>
      <c r="L285" s="7">
        <v>109.04736261471511</v>
      </c>
      <c r="M285" s="6">
        <v>1</v>
      </c>
      <c r="N285" s="1"/>
    </row>
    <row r="286" spans="1:14">
      <c r="A286" s="160" t="s">
        <v>1</v>
      </c>
      <c r="B286" s="7">
        <v>420.21414051420038</v>
      </c>
      <c r="C286" s="8">
        <v>0.76790598477681971</v>
      </c>
      <c r="D286" s="7">
        <v>19.34965034965035</v>
      </c>
      <c r="E286" s="8">
        <v>3.5359857925421866E-2</v>
      </c>
      <c r="F286" s="7">
        <v>107.65702632554691</v>
      </c>
      <c r="G286" s="8">
        <v>0.19673415729775851</v>
      </c>
      <c r="H286" s="7">
        <v>0</v>
      </c>
      <c r="I286" s="8">
        <v>0</v>
      </c>
      <c r="J286" s="7">
        <v>0</v>
      </c>
      <c r="K286" s="8">
        <v>0</v>
      </c>
      <c r="L286" s="7">
        <v>547.22081718939762</v>
      </c>
      <c r="M286" s="6">
        <v>1</v>
      </c>
      <c r="N286" s="1"/>
    </row>
    <row r="287" spans="1:14" ht="15.75" thickBot="1">
      <c r="A287" s="160" t="s">
        <v>0</v>
      </c>
      <c r="B287" s="7">
        <v>1722.8189876566696</v>
      </c>
      <c r="C287" s="8">
        <v>0.69559131777217886</v>
      </c>
      <c r="D287" s="7">
        <v>100.54905032420956</v>
      </c>
      <c r="E287" s="8">
        <v>4.0596863000035725E-2</v>
      </c>
      <c r="F287" s="7">
        <v>481.55166037123689</v>
      </c>
      <c r="G287" s="8">
        <v>0.19442736376420885</v>
      </c>
      <c r="H287" s="7">
        <v>47.463063063063061</v>
      </c>
      <c r="I287" s="8">
        <v>1.9163298534598808E-2</v>
      </c>
      <c r="J287" s="7">
        <v>124.38620283018868</v>
      </c>
      <c r="K287" s="8">
        <v>5.0221156928977911E-2</v>
      </c>
      <c r="L287" s="7">
        <v>2476.7689642453674</v>
      </c>
      <c r="M287" s="6">
        <v>1</v>
      </c>
      <c r="N287" s="1"/>
    </row>
    <row r="288" spans="1:14">
      <c r="A288" s="164" t="s">
        <v>3</v>
      </c>
      <c r="B288" s="162">
        <v>1525.0984507233297</v>
      </c>
      <c r="C288" s="163">
        <v>0.69579224004314455</v>
      </c>
      <c r="D288" s="162">
        <v>88.33941520467836</v>
      </c>
      <c r="E288" s="163">
        <v>4.0302892944525839E-2</v>
      </c>
      <c r="F288" s="162">
        <v>388.52566843274235</v>
      </c>
      <c r="G288" s="163">
        <v>0.17725619288699895</v>
      </c>
      <c r="H288" s="162">
        <v>98.11800482451676</v>
      </c>
      <c r="I288" s="163">
        <v>4.4764156919204351E-2</v>
      </c>
      <c r="J288" s="162">
        <v>91.806157965194103</v>
      </c>
      <c r="K288" s="163">
        <v>4.1884517206125842E-2</v>
      </c>
      <c r="L288" s="162">
        <v>2191.8876971504624</v>
      </c>
      <c r="M288" s="161">
        <v>1</v>
      </c>
      <c r="N288" s="1"/>
    </row>
    <row r="289" spans="1:14">
      <c r="A289" s="160" t="s">
        <v>2</v>
      </c>
      <c r="B289" s="7">
        <v>104.10393219028933</v>
      </c>
      <c r="C289" s="8">
        <v>0.72099147881695391</v>
      </c>
      <c r="D289" s="7">
        <v>0</v>
      </c>
      <c r="E289" s="8">
        <v>0</v>
      </c>
      <c r="F289" s="7">
        <v>23.928368413568862</v>
      </c>
      <c r="G289" s="8">
        <v>0.1657204426883806</v>
      </c>
      <c r="H289" s="7">
        <v>16.357661342861793</v>
      </c>
      <c r="I289" s="8">
        <v>0.1132880784946656</v>
      </c>
      <c r="J289" s="7">
        <v>0</v>
      </c>
      <c r="K289" s="8">
        <v>0</v>
      </c>
      <c r="L289" s="7">
        <v>144.38996194671998</v>
      </c>
      <c r="M289" s="6">
        <v>1</v>
      </c>
      <c r="N289" s="1"/>
    </row>
    <row r="290" spans="1:14">
      <c r="A290" s="160" t="s">
        <v>1</v>
      </c>
      <c r="B290" s="7">
        <v>324.92966174827387</v>
      </c>
      <c r="C290" s="8">
        <v>0.88451270421892336</v>
      </c>
      <c r="D290" s="7">
        <v>0</v>
      </c>
      <c r="E290" s="8">
        <v>0</v>
      </c>
      <c r="F290" s="7">
        <v>42.424769904808947</v>
      </c>
      <c r="G290" s="8">
        <v>0.11548729578107685</v>
      </c>
      <c r="H290" s="7">
        <v>0</v>
      </c>
      <c r="I290" s="8">
        <v>0</v>
      </c>
      <c r="J290" s="7">
        <v>0</v>
      </c>
      <c r="K290" s="8">
        <v>0</v>
      </c>
      <c r="L290" s="7">
        <v>367.35443165308277</v>
      </c>
      <c r="M290" s="6">
        <v>1</v>
      </c>
      <c r="N290" s="1"/>
    </row>
    <row r="291" spans="1:14" ht="15.75" thickBot="1">
      <c r="A291" s="159" t="s">
        <v>0</v>
      </c>
      <c r="B291" s="3">
        <v>1096.0648567847661</v>
      </c>
      <c r="C291" s="4">
        <v>0.65236391114284398</v>
      </c>
      <c r="D291" s="3">
        <v>88.33941520467836</v>
      </c>
      <c r="E291" s="4">
        <v>5.2578500308866551E-2</v>
      </c>
      <c r="F291" s="3">
        <v>322.17253011436469</v>
      </c>
      <c r="G291" s="4">
        <v>0.1917530066831295</v>
      </c>
      <c r="H291" s="3">
        <v>81.760343481654957</v>
      </c>
      <c r="I291" s="4">
        <v>4.8662720203014979E-2</v>
      </c>
      <c r="J291" s="3">
        <v>91.806157965194103</v>
      </c>
      <c r="K291" s="4">
        <v>5.4641861662144839E-2</v>
      </c>
      <c r="L291" s="3">
        <v>1680.1433035506584</v>
      </c>
      <c r="M291" s="2">
        <v>1</v>
      </c>
      <c r="N291" s="1"/>
    </row>
    <row r="294" spans="1:14">
      <c r="A294" s="158"/>
    </row>
    <row r="295" spans="1:14" ht="15.75" thickBot="1"/>
    <row r="296" spans="1:14" ht="39" customHeight="1">
      <c r="A296" s="570" t="s">
        <v>13</v>
      </c>
      <c r="B296" s="588" t="s">
        <v>322</v>
      </c>
      <c r="C296" s="589"/>
      <c r="D296" s="589"/>
      <c r="E296" s="589"/>
      <c r="F296" s="589"/>
      <c r="G296" s="590"/>
      <c r="H296" s="1"/>
    </row>
    <row r="297" spans="1:14">
      <c r="A297" s="586"/>
      <c r="B297" s="647" t="s">
        <v>27</v>
      </c>
      <c r="C297" s="648"/>
      <c r="D297" s="649" t="s">
        <v>26</v>
      </c>
      <c r="E297" s="648"/>
      <c r="F297" s="654" t="s">
        <v>9</v>
      </c>
      <c r="G297" s="653"/>
      <c r="H297" s="1"/>
    </row>
    <row r="298" spans="1:14" ht="15.75" thickBot="1">
      <c r="A298" s="572"/>
      <c r="B298" s="150" t="s">
        <v>7</v>
      </c>
      <c r="C298" s="150" t="s">
        <v>8</v>
      </c>
      <c r="D298" s="150" t="s">
        <v>7</v>
      </c>
      <c r="E298" s="150" t="s">
        <v>8</v>
      </c>
      <c r="F298" s="150" t="s">
        <v>7</v>
      </c>
      <c r="G298" s="149" t="s">
        <v>6</v>
      </c>
      <c r="H298" s="1"/>
    </row>
    <row r="299" spans="1:14">
      <c r="A299" s="137" t="s">
        <v>5</v>
      </c>
      <c r="B299" s="157">
        <v>207201.09565840708</v>
      </c>
      <c r="C299" s="156">
        <v>0.80922439445755801</v>
      </c>
      <c r="D299" s="157">
        <v>48847.902712799827</v>
      </c>
      <c r="E299" s="156">
        <v>0.19077560554242795</v>
      </c>
      <c r="F299" s="157">
        <v>256048.9983712105</v>
      </c>
      <c r="G299" s="156">
        <v>1</v>
      </c>
      <c r="H299" s="1"/>
    </row>
    <row r="300" spans="1:14">
      <c r="A300" s="135" t="s">
        <v>2</v>
      </c>
      <c r="B300" s="155">
        <v>10774.572254400102</v>
      </c>
      <c r="C300" s="154">
        <v>0.88526600328646698</v>
      </c>
      <c r="D300" s="155">
        <v>1396.4274387999992</v>
      </c>
      <c r="E300" s="154">
        <v>0.11473399671353</v>
      </c>
      <c r="F300" s="155">
        <v>12170.999693200138</v>
      </c>
      <c r="G300" s="154">
        <v>4.7533869574272129E-2</v>
      </c>
      <c r="H300" s="1"/>
    </row>
    <row r="301" spans="1:14">
      <c r="A301" s="135" t="s">
        <v>1</v>
      </c>
      <c r="B301" s="155">
        <v>76984.228971000004</v>
      </c>
      <c r="C301" s="154">
        <v>0.87826400851511255</v>
      </c>
      <c r="D301" s="155">
        <v>10670.767960000012</v>
      </c>
      <c r="E301" s="154">
        <v>0.12173599148488691</v>
      </c>
      <c r="F301" s="155">
        <v>87654.99693100006</v>
      </c>
      <c r="G301" s="154">
        <v>0.34233680853506421</v>
      </c>
      <c r="H301" s="1"/>
    </row>
    <row r="302" spans="1:14" ht="15.75" thickBot="1">
      <c r="A302" s="135" t="s">
        <v>0</v>
      </c>
      <c r="B302" s="155">
        <v>119442.2944329993</v>
      </c>
      <c r="C302" s="154">
        <v>0.76456279227327517</v>
      </c>
      <c r="D302" s="155">
        <v>36780.70731400005</v>
      </c>
      <c r="E302" s="154">
        <v>0.23543720772671869</v>
      </c>
      <c r="F302" s="155">
        <v>156223.00174700032</v>
      </c>
      <c r="G302" s="154">
        <v>0.61012932189062463</v>
      </c>
      <c r="H302" s="1"/>
    </row>
    <row r="303" spans="1:14">
      <c r="A303" s="136" t="s">
        <v>4</v>
      </c>
      <c r="B303" s="157">
        <v>174313.2111282949</v>
      </c>
      <c r="C303" s="156">
        <v>0.77601529265665936</v>
      </c>
      <c r="D303" s="157">
        <v>50312.788871705023</v>
      </c>
      <c r="E303" s="156">
        <v>0.22398470734333947</v>
      </c>
      <c r="F303" s="157">
        <v>224626.0000000002</v>
      </c>
      <c r="G303" s="156">
        <v>1</v>
      </c>
      <c r="H303" s="1"/>
    </row>
    <row r="304" spans="1:14">
      <c r="A304" s="135" t="s">
        <v>2</v>
      </c>
      <c r="B304" s="155">
        <v>9213.2931896746413</v>
      </c>
      <c r="C304" s="154">
        <v>0.87197550536387136</v>
      </c>
      <c r="D304" s="155">
        <v>1352.706810325308</v>
      </c>
      <c r="E304" s="154">
        <v>0.12802449463612639</v>
      </c>
      <c r="F304" s="155">
        <v>10565.999999999973</v>
      </c>
      <c r="G304" s="154">
        <v>4.7038187921255616E-2</v>
      </c>
      <c r="H304" s="1"/>
    </row>
    <row r="305" spans="1:20">
      <c r="A305" s="135" t="s">
        <v>1</v>
      </c>
      <c r="B305" s="155">
        <v>64486.691858821985</v>
      </c>
      <c r="C305" s="154">
        <v>0.84031602218920909</v>
      </c>
      <c r="D305" s="155">
        <v>12254.308141177255</v>
      </c>
      <c r="E305" s="154">
        <v>0.1596839778107827</v>
      </c>
      <c r="F305" s="155">
        <v>76740.999999999869</v>
      </c>
      <c r="G305" s="154">
        <v>0.34163899103398448</v>
      </c>
      <c r="H305" s="1"/>
    </row>
    <row r="306" spans="1:20" ht="15.75" thickBot="1">
      <c r="A306" s="135" t="s">
        <v>0</v>
      </c>
      <c r="B306" s="155">
        <v>100613.22607979666</v>
      </c>
      <c r="C306" s="154">
        <v>0.73269704905947064</v>
      </c>
      <c r="D306" s="155">
        <v>36705.773920202439</v>
      </c>
      <c r="E306" s="154">
        <v>0.26730295094053064</v>
      </c>
      <c r="F306" s="155">
        <v>137318.99999999892</v>
      </c>
      <c r="G306" s="154">
        <v>0.61132282104475355</v>
      </c>
      <c r="H306" s="1"/>
    </row>
    <row r="307" spans="1:20">
      <c r="A307" s="136" t="s">
        <v>3</v>
      </c>
      <c r="B307" s="157">
        <v>117158.62160112623</v>
      </c>
      <c r="C307" s="156">
        <v>0.78608316906841846</v>
      </c>
      <c r="D307" s="157">
        <v>31882.378398872344</v>
      </c>
      <c r="E307" s="156">
        <v>0.21391683093157135</v>
      </c>
      <c r="F307" s="157">
        <v>149041.00000000009</v>
      </c>
      <c r="G307" s="156">
        <v>1</v>
      </c>
      <c r="H307" s="1"/>
    </row>
    <row r="308" spans="1:20">
      <c r="A308" s="135" t="s">
        <v>2</v>
      </c>
      <c r="B308" s="155">
        <v>7676.7434140659889</v>
      </c>
      <c r="C308" s="154">
        <v>0.87454356505652309</v>
      </c>
      <c r="D308" s="155">
        <v>1101.2565859338686</v>
      </c>
      <c r="E308" s="154">
        <v>0.12545643494348294</v>
      </c>
      <c r="F308" s="155">
        <v>8777.9999999998035</v>
      </c>
      <c r="G308" s="154">
        <v>5.8896545245937688E-2</v>
      </c>
      <c r="H308" s="1"/>
    </row>
    <row r="309" spans="1:20">
      <c r="A309" s="135" t="s">
        <v>1</v>
      </c>
      <c r="B309" s="155">
        <v>19803.220148272481</v>
      </c>
      <c r="C309" s="154">
        <v>0.85539372589833518</v>
      </c>
      <c r="D309" s="155">
        <v>3347.779851727621</v>
      </c>
      <c r="E309" s="154">
        <v>0.14460627410166299</v>
      </c>
      <c r="F309" s="155">
        <v>23151.000000000146</v>
      </c>
      <c r="G309" s="154">
        <v>0.15533309626210326</v>
      </c>
      <c r="H309" s="1"/>
    </row>
    <row r="310" spans="1:20" ht="15.75" thickBot="1">
      <c r="A310" s="134" t="s">
        <v>0</v>
      </c>
      <c r="B310" s="153">
        <v>89678.658038789552</v>
      </c>
      <c r="C310" s="152">
        <v>0.76575122992340239</v>
      </c>
      <c r="D310" s="153">
        <v>27433.341961210808</v>
      </c>
      <c r="E310" s="152">
        <v>0.23424877007660011</v>
      </c>
      <c r="F310" s="153">
        <v>117112.00000000006</v>
      </c>
      <c r="G310" s="152">
        <v>0.78577035849195853</v>
      </c>
      <c r="H310" s="1"/>
    </row>
    <row r="314" spans="1:20" ht="15.75" thickBot="1"/>
    <row r="315" spans="1:20" ht="15" customHeight="1">
      <c r="A315" s="602" t="s">
        <v>13</v>
      </c>
      <c r="B315" s="642" t="s">
        <v>323</v>
      </c>
      <c r="C315" s="589"/>
      <c r="D315" s="589"/>
      <c r="E315" s="589"/>
      <c r="F315" s="589"/>
      <c r="G315" s="589"/>
      <c r="H315" s="589"/>
      <c r="I315" s="589"/>
      <c r="J315" s="589"/>
      <c r="K315" s="589"/>
      <c r="L315" s="589"/>
      <c r="M315" s="589"/>
      <c r="N315" s="589"/>
      <c r="O315" s="589"/>
      <c r="P315" s="589"/>
      <c r="Q315" s="589"/>
      <c r="R315" s="589"/>
      <c r="S315" s="590"/>
      <c r="T315" s="1"/>
    </row>
    <row r="316" spans="1:20" ht="47.25" customHeight="1">
      <c r="A316" s="603"/>
      <c r="B316" s="644" t="s">
        <v>188</v>
      </c>
      <c r="C316" s="648"/>
      <c r="D316" s="649" t="s">
        <v>187</v>
      </c>
      <c r="E316" s="648"/>
      <c r="F316" s="649" t="s">
        <v>186</v>
      </c>
      <c r="G316" s="648"/>
      <c r="H316" s="649" t="s">
        <v>185</v>
      </c>
      <c r="I316" s="648"/>
      <c r="J316" s="649" t="s">
        <v>184</v>
      </c>
      <c r="K316" s="648"/>
      <c r="L316" s="649" t="s">
        <v>183</v>
      </c>
      <c r="M316" s="648"/>
      <c r="N316" s="649" t="s">
        <v>182</v>
      </c>
      <c r="O316" s="648"/>
      <c r="P316" s="649" t="s">
        <v>14</v>
      </c>
      <c r="Q316" s="648"/>
      <c r="R316" s="654" t="s">
        <v>9</v>
      </c>
      <c r="S316" s="653"/>
      <c r="T316" s="1"/>
    </row>
    <row r="317" spans="1:20" ht="15.75" thickBot="1">
      <c r="A317" s="604"/>
      <c r="B317" s="151" t="s">
        <v>7</v>
      </c>
      <c r="C317" s="150" t="s">
        <v>8</v>
      </c>
      <c r="D317" s="150" t="s">
        <v>7</v>
      </c>
      <c r="E317" s="150" t="s">
        <v>8</v>
      </c>
      <c r="F317" s="150" t="s">
        <v>7</v>
      </c>
      <c r="G317" s="150" t="s">
        <v>8</v>
      </c>
      <c r="H317" s="150" t="s">
        <v>7</v>
      </c>
      <c r="I317" s="150" t="s">
        <v>8</v>
      </c>
      <c r="J317" s="150" t="s">
        <v>7</v>
      </c>
      <c r="K317" s="150" t="s">
        <v>8</v>
      </c>
      <c r="L317" s="150" t="s">
        <v>7</v>
      </c>
      <c r="M317" s="150" t="s">
        <v>8</v>
      </c>
      <c r="N317" s="150" t="s">
        <v>7</v>
      </c>
      <c r="O317" s="150" t="s">
        <v>8</v>
      </c>
      <c r="P317" s="150" t="s">
        <v>7</v>
      </c>
      <c r="Q317" s="150" t="s">
        <v>8</v>
      </c>
      <c r="R317" s="150" t="s">
        <v>7</v>
      </c>
      <c r="S317" s="149" t="s">
        <v>6</v>
      </c>
      <c r="T317" s="1"/>
    </row>
    <row r="318" spans="1:20">
      <c r="A318" s="137" t="s">
        <v>5</v>
      </c>
      <c r="B318" s="145">
        <v>22606.616535300018</v>
      </c>
      <c r="C318" s="12">
        <v>0.46279605223207071</v>
      </c>
      <c r="D318" s="145">
        <v>1993.0939950000002</v>
      </c>
      <c r="E318" s="12">
        <v>4.0802038251639028E-2</v>
      </c>
      <c r="F318" s="145">
        <v>1980.9865889999999</v>
      </c>
      <c r="G318" s="12">
        <v>4.055417897155518E-2</v>
      </c>
      <c r="H318" s="145">
        <v>3506.3701154999999</v>
      </c>
      <c r="I318" s="12">
        <v>7.178138509068907E-2</v>
      </c>
      <c r="J318" s="145">
        <v>302.27346899999998</v>
      </c>
      <c r="K318" s="12">
        <v>6.1880541888811522E-3</v>
      </c>
      <c r="L318" s="145">
        <v>339.79566299999999</v>
      </c>
      <c r="M318" s="12">
        <v>6.9561975873932832E-3</v>
      </c>
      <c r="N318" s="145">
        <v>13000.451480000002</v>
      </c>
      <c r="O318" s="12">
        <v>0.26614144636742892</v>
      </c>
      <c r="P318" s="145">
        <v>5118.3148660000024</v>
      </c>
      <c r="Q318" s="12">
        <v>0.10478064731034661</v>
      </c>
      <c r="R318" s="145">
        <v>48847.902712799827</v>
      </c>
      <c r="S318" s="12">
        <v>1</v>
      </c>
      <c r="T318" s="1"/>
    </row>
    <row r="319" spans="1:20">
      <c r="A319" s="135" t="s">
        <v>2</v>
      </c>
      <c r="B319" s="144">
        <v>318.61111529999999</v>
      </c>
      <c r="C319" s="8">
        <v>0.22816159755052801</v>
      </c>
      <c r="D319" s="144">
        <v>167.65401499999996</v>
      </c>
      <c r="E319" s="8">
        <v>0.12005923855526009</v>
      </c>
      <c r="F319" s="144">
        <v>25.230262000000003</v>
      </c>
      <c r="G319" s="8">
        <v>1.8067721457608484E-2</v>
      </c>
      <c r="H319" s="144">
        <v>145.5491815</v>
      </c>
      <c r="I319" s="8">
        <v>0.10422967742962407</v>
      </c>
      <c r="J319" s="144">
        <v>0</v>
      </c>
      <c r="K319" s="8">
        <v>0</v>
      </c>
      <c r="L319" s="144">
        <v>13.013596</v>
      </c>
      <c r="M319" s="8">
        <v>9.3192067402965498E-3</v>
      </c>
      <c r="N319" s="144">
        <v>447.20661500000023</v>
      </c>
      <c r="O319" s="8">
        <v>0.32025052113291408</v>
      </c>
      <c r="P319" s="144">
        <v>279.16265400000003</v>
      </c>
      <c r="Q319" s="8">
        <v>0.19991203713376948</v>
      </c>
      <c r="R319" s="144">
        <v>1396.4274387999992</v>
      </c>
      <c r="S319" s="8">
        <v>2.8587254748894005E-2</v>
      </c>
      <c r="T319" s="1"/>
    </row>
    <row r="320" spans="1:20">
      <c r="A320" s="135" t="s">
        <v>1</v>
      </c>
      <c r="B320" s="144">
        <v>3195.0314179999978</v>
      </c>
      <c r="C320" s="8">
        <v>0.29941906992793366</v>
      </c>
      <c r="D320" s="144">
        <v>574.0446629999999</v>
      </c>
      <c r="E320" s="8">
        <v>5.3796002794910293E-2</v>
      </c>
      <c r="F320" s="144">
        <v>306.86149300000005</v>
      </c>
      <c r="G320" s="8">
        <v>2.8757207930140364E-2</v>
      </c>
      <c r="H320" s="144">
        <v>1252.1610190000001</v>
      </c>
      <c r="I320" s="8">
        <v>0.11734497682770328</v>
      </c>
      <c r="J320" s="144">
        <v>126.43334999999999</v>
      </c>
      <c r="K320" s="8">
        <v>1.1848570831447436E-2</v>
      </c>
      <c r="L320" s="144">
        <v>153.65252699999999</v>
      </c>
      <c r="M320" s="8">
        <v>1.439938789560183E-2</v>
      </c>
      <c r="N320" s="144">
        <v>3374.0859459999979</v>
      </c>
      <c r="O320" s="8">
        <v>0.31619898011539127</v>
      </c>
      <c r="P320" s="144">
        <v>1688.4975440000001</v>
      </c>
      <c r="Q320" s="8">
        <v>0.15823580367687035</v>
      </c>
      <c r="R320" s="144">
        <v>10670.767960000012</v>
      </c>
      <c r="S320" s="8">
        <v>0.21844884564929137</v>
      </c>
      <c r="T320" s="1"/>
    </row>
    <row r="321" spans="1:20" ht="15.75" thickBot="1">
      <c r="A321" s="135" t="s">
        <v>0</v>
      </c>
      <c r="B321" s="144">
        <v>19092.974002000003</v>
      </c>
      <c r="C321" s="8">
        <v>0.51910295903234394</v>
      </c>
      <c r="D321" s="144">
        <v>1251.395317</v>
      </c>
      <c r="E321" s="8">
        <v>3.4023144425057709E-2</v>
      </c>
      <c r="F321" s="144">
        <v>1648.8948340000002</v>
      </c>
      <c r="G321" s="8">
        <v>4.4830427537003129E-2</v>
      </c>
      <c r="H321" s="144">
        <v>2108.6599150000002</v>
      </c>
      <c r="I321" s="8">
        <v>5.7330597179608048E-2</v>
      </c>
      <c r="J321" s="144">
        <v>175.84011900000002</v>
      </c>
      <c r="K321" s="8">
        <v>4.7807704593290671E-3</v>
      </c>
      <c r="L321" s="144">
        <v>173.12953999999999</v>
      </c>
      <c r="M321" s="8">
        <v>4.7070747857559745E-3</v>
      </c>
      <c r="N321" s="144">
        <v>9179.1589189999977</v>
      </c>
      <c r="O321" s="8">
        <v>0.24956450240711064</v>
      </c>
      <c r="P321" s="144">
        <v>3150.6546679999997</v>
      </c>
      <c r="Q321" s="8">
        <v>8.5660524173790109E-2</v>
      </c>
      <c r="R321" s="144">
        <v>36780.70731400005</v>
      </c>
      <c r="S321" s="8">
        <v>0.75296389960181942</v>
      </c>
      <c r="T321" s="1"/>
    </row>
    <row r="322" spans="1:20">
      <c r="A322" s="136" t="s">
        <v>4</v>
      </c>
      <c r="B322" s="145">
        <v>23395.295779568936</v>
      </c>
      <c r="C322" s="12">
        <v>0.46499699786520909</v>
      </c>
      <c r="D322" s="145">
        <v>2805.0240828616647</v>
      </c>
      <c r="E322" s="12">
        <v>5.5751711359398687E-2</v>
      </c>
      <c r="F322" s="145">
        <v>1430.5980939888825</v>
      </c>
      <c r="G322" s="12">
        <v>2.8434084575133231E-2</v>
      </c>
      <c r="H322" s="145">
        <v>2673.1278195673458</v>
      </c>
      <c r="I322" s="12">
        <v>5.3130185774111667E-2</v>
      </c>
      <c r="J322" s="145">
        <v>274.96778873375183</v>
      </c>
      <c r="K322" s="12">
        <v>5.4651669068654755E-3</v>
      </c>
      <c r="L322" s="145">
        <v>485.19336310914275</v>
      </c>
      <c r="M322" s="12">
        <v>9.6435394258577167E-3</v>
      </c>
      <c r="N322" s="145">
        <v>13321.314108498582</v>
      </c>
      <c r="O322" s="12">
        <v>0.26476994035189017</v>
      </c>
      <c r="P322" s="145">
        <v>5927.2678353766423</v>
      </c>
      <c r="Q322" s="12">
        <v>0.11780837374153248</v>
      </c>
      <c r="R322" s="145">
        <v>50312.788871705023</v>
      </c>
      <c r="S322" s="12">
        <v>1</v>
      </c>
      <c r="T322" s="1"/>
    </row>
    <row r="323" spans="1:20">
      <c r="A323" s="135" t="s">
        <v>2</v>
      </c>
      <c r="B323" s="144">
        <v>325.55265913069604</v>
      </c>
      <c r="C323" s="8">
        <v>0.2406675686451264</v>
      </c>
      <c r="D323" s="144">
        <v>170.39533325481139</v>
      </c>
      <c r="E323" s="8">
        <v>0.12596619751905705</v>
      </c>
      <c r="F323" s="144">
        <v>36.214492091811451</v>
      </c>
      <c r="G323" s="8">
        <v>2.6771870900171149E-2</v>
      </c>
      <c r="H323" s="144">
        <v>69.936670644253169</v>
      </c>
      <c r="I323" s="8">
        <v>5.1701277845591927E-2</v>
      </c>
      <c r="J323" s="144">
        <v>13.127845036319613</v>
      </c>
      <c r="K323" s="8">
        <v>9.7048709565988947E-3</v>
      </c>
      <c r="L323" s="144">
        <v>12.179699248120301</v>
      </c>
      <c r="M323" s="8">
        <v>9.0039461287189388E-3</v>
      </c>
      <c r="N323" s="144">
        <v>503.03026131454442</v>
      </c>
      <c r="O323" s="8">
        <v>0.37186939362977872</v>
      </c>
      <c r="P323" s="144">
        <v>222.26984960475144</v>
      </c>
      <c r="Q323" s="8">
        <v>0.16431487437495676</v>
      </c>
      <c r="R323" s="144">
        <v>1352.706810325308</v>
      </c>
      <c r="S323" s="8">
        <v>2.6885943726447752E-2</v>
      </c>
      <c r="T323" s="1"/>
    </row>
    <row r="324" spans="1:20">
      <c r="A324" s="135" t="s">
        <v>1</v>
      </c>
      <c r="B324" s="144">
        <v>4184.3993365401138</v>
      </c>
      <c r="C324" s="8">
        <v>0.34146353170927563</v>
      </c>
      <c r="D324" s="144">
        <v>1535.842975906656</v>
      </c>
      <c r="E324" s="8">
        <v>0.12533085982601297</v>
      </c>
      <c r="F324" s="144">
        <v>448.63781337958858</v>
      </c>
      <c r="G324" s="8">
        <v>3.6610619564238292E-2</v>
      </c>
      <c r="H324" s="144">
        <v>668.11297610179463</v>
      </c>
      <c r="I324" s="8">
        <v>5.452066068559052E-2</v>
      </c>
      <c r="J324" s="144">
        <v>104.35320584926885</v>
      </c>
      <c r="K324" s="8">
        <v>8.5156342281469486E-3</v>
      </c>
      <c r="L324" s="144">
        <v>161.24501359763536</v>
      </c>
      <c r="M324" s="8">
        <v>1.3158230700582398E-2</v>
      </c>
      <c r="N324" s="144">
        <v>3449.5288204373264</v>
      </c>
      <c r="O324" s="8">
        <v>0.28149519178860266</v>
      </c>
      <c r="P324" s="144">
        <v>1702.1879993648913</v>
      </c>
      <c r="Q324" s="8">
        <v>0.13890527149755225</v>
      </c>
      <c r="R324" s="144">
        <v>12254.308141177255</v>
      </c>
      <c r="S324" s="8">
        <v>0.24356249009422037</v>
      </c>
      <c r="T324" s="1"/>
    </row>
    <row r="325" spans="1:20" ht="15.75" thickBot="1">
      <c r="A325" s="135" t="s">
        <v>0</v>
      </c>
      <c r="B325" s="144">
        <v>18885.34378389813</v>
      </c>
      <c r="C325" s="8">
        <v>0.51450607811606042</v>
      </c>
      <c r="D325" s="144">
        <v>1098.785773700198</v>
      </c>
      <c r="E325" s="8">
        <v>2.9934957265549955E-2</v>
      </c>
      <c r="F325" s="144">
        <v>945.74578851748288</v>
      </c>
      <c r="G325" s="8">
        <v>2.5765586378140776E-2</v>
      </c>
      <c r="H325" s="144">
        <v>1935.0781728212987</v>
      </c>
      <c r="I325" s="8">
        <v>5.2718631598072746E-2</v>
      </c>
      <c r="J325" s="144">
        <v>157.48673784816333</v>
      </c>
      <c r="K325" s="8">
        <v>4.2905167505945009E-3</v>
      </c>
      <c r="L325" s="144">
        <v>311.76865026338709</v>
      </c>
      <c r="M325" s="8">
        <v>8.4937222939683935E-3</v>
      </c>
      <c r="N325" s="144">
        <v>9368.7550267467141</v>
      </c>
      <c r="O325" s="8">
        <v>0.25523927235846289</v>
      </c>
      <c r="P325" s="144">
        <v>4002.8099864070059</v>
      </c>
      <c r="Q325" s="8">
        <v>0.1090512352391487</v>
      </c>
      <c r="R325" s="144">
        <v>36705.773920202439</v>
      </c>
      <c r="S325" s="8">
        <v>0.72955156617933137</v>
      </c>
      <c r="T325" s="1"/>
    </row>
    <row r="326" spans="1:20">
      <c r="A326" s="136" t="s">
        <v>3</v>
      </c>
      <c r="B326" s="145">
        <v>14802.548633791024</v>
      </c>
      <c r="C326" s="12">
        <v>0.46428621003740989</v>
      </c>
      <c r="D326" s="145">
        <v>1763.4389520231464</v>
      </c>
      <c r="E326" s="12">
        <v>5.5310771673342848E-2</v>
      </c>
      <c r="F326" s="145">
        <v>1106.2492103089598</v>
      </c>
      <c r="G326" s="12">
        <v>3.4697825754056263E-2</v>
      </c>
      <c r="H326" s="145">
        <v>1703.0108338945004</v>
      </c>
      <c r="I326" s="12">
        <v>5.3415426308180775E-2</v>
      </c>
      <c r="J326" s="145">
        <v>155.05357712679518</v>
      </c>
      <c r="K326" s="12">
        <v>4.8633001963328841E-3</v>
      </c>
      <c r="L326" s="145">
        <v>236.75329044780682</v>
      </c>
      <c r="M326" s="12">
        <v>7.425835283862656E-3</v>
      </c>
      <c r="N326" s="145">
        <v>8626.362716389187</v>
      </c>
      <c r="O326" s="12">
        <v>0.27056835623951742</v>
      </c>
      <c r="P326" s="145">
        <v>3488.9611848907898</v>
      </c>
      <c r="Q326" s="12">
        <v>0.10943227450729308</v>
      </c>
      <c r="R326" s="145">
        <v>31882.378398872344</v>
      </c>
      <c r="S326" s="12">
        <v>1</v>
      </c>
      <c r="T326" s="1"/>
    </row>
    <row r="327" spans="1:20">
      <c r="A327" s="135" t="s">
        <v>2</v>
      </c>
      <c r="B327" s="144">
        <v>330.32601476330257</v>
      </c>
      <c r="C327" s="8">
        <v>0.299953724665524</v>
      </c>
      <c r="D327" s="144">
        <v>116.16427511533816</v>
      </c>
      <c r="E327" s="8">
        <v>0.1054833874313047</v>
      </c>
      <c r="F327" s="144">
        <v>40.750049288763819</v>
      </c>
      <c r="G327" s="8">
        <v>3.7003228683720121E-2</v>
      </c>
      <c r="H327" s="144">
        <v>48.400044879682461</v>
      </c>
      <c r="I327" s="8">
        <v>4.3949834668765314E-2</v>
      </c>
      <c r="J327" s="144">
        <v>10.496977738463805</v>
      </c>
      <c r="K327" s="8">
        <v>9.5318183541779587E-3</v>
      </c>
      <c r="L327" s="144">
        <v>15.120815612217903</v>
      </c>
      <c r="M327" s="8">
        <v>1.3730510950266337E-2</v>
      </c>
      <c r="N327" s="144">
        <v>367.40379131654316</v>
      </c>
      <c r="O327" s="8">
        <v>0.33362233289618309</v>
      </c>
      <c r="P327" s="144">
        <v>172.59461721955677</v>
      </c>
      <c r="Q327" s="8">
        <v>0.15672516235005857</v>
      </c>
      <c r="R327" s="144">
        <v>1101.2565859338686</v>
      </c>
      <c r="S327" s="8">
        <v>3.4541230649618636E-2</v>
      </c>
      <c r="T327" s="1"/>
    </row>
    <row r="328" spans="1:20">
      <c r="A328" s="135" t="s">
        <v>1</v>
      </c>
      <c r="B328" s="144">
        <v>1165.0543687506411</v>
      </c>
      <c r="C328" s="8">
        <v>0.34800805917671535</v>
      </c>
      <c r="D328" s="144">
        <v>413.14055235993442</v>
      </c>
      <c r="E328" s="8">
        <v>0.12340732385575871</v>
      </c>
      <c r="F328" s="144">
        <v>164.82202693255272</v>
      </c>
      <c r="G328" s="8">
        <v>4.9233233436032642E-2</v>
      </c>
      <c r="H328" s="144">
        <v>142.00568648429413</v>
      </c>
      <c r="I328" s="8">
        <v>4.2417868788777173E-2</v>
      </c>
      <c r="J328" s="144">
        <v>52.648062802965498</v>
      </c>
      <c r="K328" s="8">
        <v>1.5726261921254016E-2</v>
      </c>
      <c r="L328" s="144">
        <v>30.795583349618916</v>
      </c>
      <c r="M328" s="8">
        <v>9.1988077811409434E-3</v>
      </c>
      <c r="N328" s="144">
        <v>881.53218143338563</v>
      </c>
      <c r="O328" s="8">
        <v>0.26331844400654697</v>
      </c>
      <c r="P328" s="144">
        <v>497.7813896142369</v>
      </c>
      <c r="Q328" s="8">
        <v>0.14869000103377675</v>
      </c>
      <c r="R328" s="144">
        <v>3347.779851727621</v>
      </c>
      <c r="S328" s="8">
        <v>0.10500408124652423</v>
      </c>
      <c r="T328" s="1"/>
    </row>
    <row r="329" spans="1:20" ht="15.75" thickBot="1">
      <c r="A329" s="134" t="s">
        <v>0</v>
      </c>
      <c r="B329" s="143">
        <v>13307.168250277095</v>
      </c>
      <c r="C329" s="4">
        <v>0.48507280917843248</v>
      </c>
      <c r="D329" s="143">
        <v>1234.134124547872</v>
      </c>
      <c r="E329" s="4">
        <v>4.49866489577853E-2</v>
      </c>
      <c r="F329" s="143">
        <v>900.67713408764325</v>
      </c>
      <c r="G329" s="4">
        <v>3.2831476943682242E-2</v>
      </c>
      <c r="H329" s="143">
        <v>1512.6051025305235</v>
      </c>
      <c r="I329" s="4">
        <v>5.513747120818388E-2</v>
      </c>
      <c r="J329" s="143">
        <v>91.908536585365852</v>
      </c>
      <c r="K329" s="4">
        <v>3.3502493686448894E-3</v>
      </c>
      <c r="L329" s="143">
        <v>190.83689148596997</v>
      </c>
      <c r="M329" s="4">
        <v>6.9563851081578957E-3</v>
      </c>
      <c r="N329" s="143">
        <v>7377.426743639272</v>
      </c>
      <c r="O329" s="4">
        <v>0.26892191093854101</v>
      </c>
      <c r="P329" s="143">
        <v>2818.5851780569969</v>
      </c>
      <c r="Q329" s="4">
        <v>0.1027430482965698</v>
      </c>
      <c r="R329" s="143">
        <v>27433.341961210808</v>
      </c>
      <c r="S329" s="4">
        <v>0.86045468810385572</v>
      </c>
      <c r="T329" s="1"/>
    </row>
    <row r="332" spans="1:20" ht="15.75" thickBot="1"/>
    <row r="333" spans="1:20" ht="15" customHeight="1">
      <c r="A333" s="570" t="s">
        <v>13</v>
      </c>
      <c r="B333" s="642" t="s">
        <v>324</v>
      </c>
      <c r="C333" s="589"/>
      <c r="D333" s="589"/>
      <c r="E333" s="589"/>
      <c r="F333" s="589"/>
      <c r="G333" s="589"/>
      <c r="H333" s="589"/>
      <c r="I333" s="589"/>
      <c r="J333" s="589"/>
      <c r="K333" s="589"/>
      <c r="L333" s="589"/>
      <c r="M333" s="589"/>
      <c r="N333" s="589"/>
      <c r="O333" s="589"/>
      <c r="P333" s="589"/>
      <c r="Q333" s="590"/>
      <c r="R333" s="1"/>
    </row>
    <row r="334" spans="1:20" ht="27" customHeight="1">
      <c r="A334" s="571"/>
      <c r="B334" s="660" t="s">
        <v>181</v>
      </c>
      <c r="C334" s="648"/>
      <c r="D334" s="658" t="s">
        <v>180</v>
      </c>
      <c r="E334" s="648"/>
      <c r="F334" s="658" t="s">
        <v>179</v>
      </c>
      <c r="G334" s="648"/>
      <c r="H334" s="658" t="s">
        <v>178</v>
      </c>
      <c r="I334" s="648"/>
      <c r="J334" s="658" t="s">
        <v>177</v>
      </c>
      <c r="K334" s="648"/>
      <c r="L334" s="658" t="s">
        <v>176</v>
      </c>
      <c r="M334" s="648"/>
      <c r="N334" s="658" t="s">
        <v>14</v>
      </c>
      <c r="O334" s="648"/>
      <c r="P334" s="659" t="s">
        <v>9</v>
      </c>
      <c r="Q334" s="653"/>
      <c r="R334" s="1"/>
    </row>
    <row r="335" spans="1:20" ht="15.75" thickBot="1">
      <c r="A335" s="697"/>
      <c r="B335" s="148" t="s">
        <v>7</v>
      </c>
      <c r="C335" s="147" t="s">
        <v>8</v>
      </c>
      <c r="D335" s="147" t="s">
        <v>7</v>
      </c>
      <c r="E335" s="147" t="s">
        <v>8</v>
      </c>
      <c r="F335" s="147" t="s">
        <v>7</v>
      </c>
      <c r="G335" s="147" t="s">
        <v>8</v>
      </c>
      <c r="H335" s="147" t="s">
        <v>7</v>
      </c>
      <c r="I335" s="147" t="s">
        <v>8</v>
      </c>
      <c r="J335" s="147" t="s">
        <v>7</v>
      </c>
      <c r="K335" s="147" t="s">
        <v>8</v>
      </c>
      <c r="L335" s="147" t="s">
        <v>7</v>
      </c>
      <c r="M335" s="147" t="s">
        <v>8</v>
      </c>
      <c r="N335" s="147" t="s">
        <v>7</v>
      </c>
      <c r="O335" s="147" t="s">
        <v>8</v>
      </c>
      <c r="P335" s="147" t="s">
        <v>7</v>
      </c>
      <c r="Q335" s="146" t="s">
        <v>8</v>
      </c>
      <c r="R335" s="1"/>
    </row>
    <row r="336" spans="1:20" ht="15.75" customHeight="1">
      <c r="A336" s="137" t="s">
        <v>5</v>
      </c>
      <c r="B336" s="123">
        <v>9324.3719668000012</v>
      </c>
      <c r="C336" s="12">
        <v>0.35079486158508821</v>
      </c>
      <c r="D336" s="145">
        <v>592.38001099999997</v>
      </c>
      <c r="E336" s="12">
        <v>2.2286097627209255E-2</v>
      </c>
      <c r="F336" s="145">
        <v>1196.7136995000001</v>
      </c>
      <c r="G336" s="12">
        <v>4.5021907970618141E-2</v>
      </c>
      <c r="H336" s="145">
        <v>8276.9007560000009</v>
      </c>
      <c r="I336" s="12">
        <v>0.31138764791801549</v>
      </c>
      <c r="J336" s="145">
        <v>5254.0442089999988</v>
      </c>
      <c r="K336" s="12">
        <v>0.19766389818215427</v>
      </c>
      <c r="L336" s="145">
        <v>432.71053000000006</v>
      </c>
      <c r="M336" s="12">
        <v>1.6279126467522654E-2</v>
      </c>
      <c r="N336" s="145">
        <v>1503.5759470000003</v>
      </c>
      <c r="O336" s="12">
        <v>5.6566460249391534E-2</v>
      </c>
      <c r="P336" s="145">
        <v>26580.697119300014</v>
      </c>
      <c r="Q336" s="10">
        <v>1</v>
      </c>
      <c r="R336" s="1"/>
    </row>
    <row r="337" spans="1:18">
      <c r="A337" s="135" t="s">
        <v>2</v>
      </c>
      <c r="B337" s="122">
        <v>174.27587380000003</v>
      </c>
      <c r="C337" s="8">
        <v>0.34071836505964925</v>
      </c>
      <c r="D337" s="144">
        <v>45.674870999999996</v>
      </c>
      <c r="E337" s="8">
        <v>8.9296739887758256E-2</v>
      </c>
      <c r="F337" s="144">
        <v>45.957070500000007</v>
      </c>
      <c r="G337" s="8">
        <v>8.9848454535139663E-2</v>
      </c>
      <c r="H337" s="144">
        <v>100.99558700000001</v>
      </c>
      <c r="I337" s="8">
        <v>0.19745160664275244</v>
      </c>
      <c r="J337" s="144">
        <v>138.48365699999999</v>
      </c>
      <c r="K337" s="8">
        <v>0.27074272629767326</v>
      </c>
      <c r="L337" s="144">
        <v>6.108333</v>
      </c>
      <c r="M337" s="8">
        <v>1.1942107577026547E-2</v>
      </c>
      <c r="N337" s="144">
        <v>0</v>
      </c>
      <c r="O337" s="8">
        <v>0</v>
      </c>
      <c r="P337" s="144">
        <v>511.49539230000033</v>
      </c>
      <c r="Q337" s="6">
        <v>1</v>
      </c>
      <c r="R337" s="1"/>
    </row>
    <row r="338" spans="1:18">
      <c r="A338" s="135" t="s">
        <v>1</v>
      </c>
      <c r="B338" s="122">
        <v>1492.8617049999998</v>
      </c>
      <c r="C338" s="8">
        <v>0.36626216125654559</v>
      </c>
      <c r="D338" s="144">
        <v>22.189019999999999</v>
      </c>
      <c r="E338" s="8">
        <v>5.4439057510452492E-3</v>
      </c>
      <c r="F338" s="144">
        <v>270.39692199999996</v>
      </c>
      <c r="G338" s="8">
        <v>6.6339809452636192E-2</v>
      </c>
      <c r="H338" s="144">
        <v>1012.1504249999998</v>
      </c>
      <c r="I338" s="8">
        <v>0.24832333828084305</v>
      </c>
      <c r="J338" s="144">
        <v>949.37102100000016</v>
      </c>
      <c r="K338" s="8">
        <v>0.23292089335615546</v>
      </c>
      <c r="L338" s="144">
        <v>138.883737</v>
      </c>
      <c r="M338" s="8">
        <v>3.4074058907556798E-2</v>
      </c>
      <c r="N338" s="144">
        <v>190.084744</v>
      </c>
      <c r="O338" s="8">
        <v>4.6635832995218535E-2</v>
      </c>
      <c r="P338" s="144">
        <v>4075.9375739999959</v>
      </c>
      <c r="Q338" s="6">
        <v>1</v>
      </c>
      <c r="R338" s="1"/>
    </row>
    <row r="339" spans="1:18" ht="15.75" thickBot="1">
      <c r="A339" s="135" t="s">
        <v>0</v>
      </c>
      <c r="B339" s="122">
        <v>7657.2343879999953</v>
      </c>
      <c r="C339" s="8">
        <v>0.34816270721485898</v>
      </c>
      <c r="D339" s="144">
        <v>524.51612</v>
      </c>
      <c r="E339" s="8">
        <v>2.3848943765287015E-2</v>
      </c>
      <c r="F339" s="144">
        <v>880.35970699999996</v>
      </c>
      <c r="G339" s="8">
        <v>4.0028606071187196E-2</v>
      </c>
      <c r="H339" s="144">
        <v>7163.7547439999989</v>
      </c>
      <c r="I339" s="8">
        <v>0.32572494442680627</v>
      </c>
      <c r="J339" s="144">
        <v>4166.189531</v>
      </c>
      <c r="K339" s="8">
        <v>0.18943025019011142</v>
      </c>
      <c r="L339" s="144">
        <v>287.71845999999999</v>
      </c>
      <c r="M339" s="8">
        <v>1.3082117233641898E-2</v>
      </c>
      <c r="N339" s="144">
        <v>1313.4912030000003</v>
      </c>
      <c r="O339" s="8">
        <v>5.9722431098106578E-2</v>
      </c>
      <c r="P339" s="144">
        <v>21993.264153000007</v>
      </c>
      <c r="Q339" s="6">
        <v>1</v>
      </c>
      <c r="R339" s="1"/>
    </row>
    <row r="340" spans="1:18" ht="15" customHeight="1">
      <c r="A340" s="136" t="s">
        <v>4</v>
      </c>
      <c r="B340" s="123">
        <v>10883.0892105974</v>
      </c>
      <c r="C340" s="12">
        <v>0.39387360303275498</v>
      </c>
      <c r="D340" s="145">
        <v>955.6017303452237</v>
      </c>
      <c r="E340" s="12">
        <v>3.4584508985638245E-2</v>
      </c>
      <c r="F340" s="145">
        <v>1112.3366717725394</v>
      </c>
      <c r="G340" s="12">
        <v>4.0256956845478579E-2</v>
      </c>
      <c r="H340" s="145">
        <v>7597.3884798065292</v>
      </c>
      <c r="I340" s="12">
        <v>0.27495968435755219</v>
      </c>
      <c r="J340" s="145">
        <v>6368.6380382631241</v>
      </c>
      <c r="K340" s="12">
        <v>0.23048955696325302</v>
      </c>
      <c r="L340" s="145">
        <v>344.7842686851817</v>
      </c>
      <c r="M340" s="12">
        <v>1.2478205365054755E-2</v>
      </c>
      <c r="N340" s="145">
        <v>369.07955694947702</v>
      </c>
      <c r="O340" s="12">
        <v>1.3357484450267007E-2</v>
      </c>
      <c r="P340" s="145">
        <v>27630.917956419507</v>
      </c>
      <c r="Q340" s="10">
        <v>1</v>
      </c>
      <c r="R340" s="1"/>
    </row>
    <row r="341" spans="1:18">
      <c r="A341" s="135" t="s">
        <v>2</v>
      </c>
      <c r="B341" s="122">
        <v>187.90742325360046</v>
      </c>
      <c r="C341" s="8">
        <v>0.35310159722769641</v>
      </c>
      <c r="D341" s="144">
        <v>26.6135593220339</v>
      </c>
      <c r="E341" s="8">
        <v>5.0010213230594971E-2</v>
      </c>
      <c r="F341" s="144">
        <v>36.92634269524514</v>
      </c>
      <c r="G341" s="8">
        <v>6.9389225607501409E-2</v>
      </c>
      <c r="H341" s="144">
        <v>117.99680890400117</v>
      </c>
      <c r="I341" s="8">
        <v>0.22173079152675651</v>
      </c>
      <c r="J341" s="144">
        <v>99.58547308821619</v>
      </c>
      <c r="K341" s="8">
        <v>0.18713358418346118</v>
      </c>
      <c r="L341" s="144">
        <v>26.6135593220339</v>
      </c>
      <c r="M341" s="8">
        <v>5.0010213230594971E-2</v>
      </c>
      <c r="N341" s="144">
        <v>36.519317892188099</v>
      </c>
      <c r="O341" s="8">
        <v>6.8624374993394674E-2</v>
      </c>
      <c r="P341" s="144">
        <v>532.1624844773188</v>
      </c>
      <c r="Q341" s="6">
        <v>1.9259674445730138E-2</v>
      </c>
      <c r="R341" s="1"/>
    </row>
    <row r="342" spans="1:18">
      <c r="A342" s="135" t="s">
        <v>1</v>
      </c>
      <c r="B342" s="122">
        <v>2499.3676621576601</v>
      </c>
      <c r="C342" s="8">
        <v>0.40515743719738045</v>
      </c>
      <c r="D342" s="144">
        <v>296.92310869440468</v>
      </c>
      <c r="E342" s="8">
        <v>4.8132416684726904E-2</v>
      </c>
      <c r="F342" s="144">
        <v>366.72925077806281</v>
      </c>
      <c r="G342" s="8">
        <v>5.9448269912513077E-2</v>
      </c>
      <c r="H342" s="144">
        <v>1374.6592341389762</v>
      </c>
      <c r="I342" s="8">
        <v>0.22283772842073712</v>
      </c>
      <c r="J342" s="144">
        <v>1399.1857520790309</v>
      </c>
      <c r="K342" s="8">
        <v>0.22681357451270009</v>
      </c>
      <c r="L342" s="144">
        <v>151.17976927181263</v>
      </c>
      <c r="M342" s="8">
        <v>2.4506841791087853E-2</v>
      </c>
      <c r="N342" s="144">
        <v>80.835348706411708</v>
      </c>
      <c r="O342" s="8">
        <v>1.3103731480855023E-2</v>
      </c>
      <c r="P342" s="144">
        <v>6168.8801258263557</v>
      </c>
      <c r="Q342" s="6">
        <v>0.22326005004814312</v>
      </c>
      <c r="R342" s="1"/>
    </row>
    <row r="343" spans="1:18" ht="15.75" thickBot="1">
      <c r="A343" s="135" t="s">
        <v>0</v>
      </c>
      <c r="B343" s="122">
        <v>8195.8141251861434</v>
      </c>
      <c r="C343" s="8">
        <v>0.39158446907363598</v>
      </c>
      <c r="D343" s="144">
        <v>632.06506232878507</v>
      </c>
      <c r="E343" s="8">
        <v>3.0199179492298524E-2</v>
      </c>
      <c r="F343" s="144">
        <v>708.68107829923156</v>
      </c>
      <c r="G343" s="8">
        <v>3.3859784952362332E-2</v>
      </c>
      <c r="H343" s="144">
        <v>6104.7324367635556</v>
      </c>
      <c r="I343" s="8">
        <v>0.29167552772341176</v>
      </c>
      <c r="J343" s="144">
        <v>4869.8668130958831</v>
      </c>
      <c r="K343" s="8">
        <v>0.23267538542696758</v>
      </c>
      <c r="L343" s="144">
        <v>166.99094009133518</v>
      </c>
      <c r="M343" s="8">
        <v>7.9785921955968803E-3</v>
      </c>
      <c r="N343" s="144">
        <v>251.72489035087719</v>
      </c>
      <c r="O343" s="8">
        <v>1.2027061135726857E-2</v>
      </c>
      <c r="P343" s="144">
        <v>20929.875346115812</v>
      </c>
      <c r="Q343" s="6">
        <v>0.75748027550612607</v>
      </c>
      <c r="R343" s="1"/>
    </row>
    <row r="344" spans="1:18" ht="15.75" customHeight="1">
      <c r="A344" s="136" t="s">
        <v>3</v>
      </c>
      <c r="B344" s="123">
        <v>7612.4464838415888</v>
      </c>
      <c r="C344" s="12">
        <v>0.4307573835538227</v>
      </c>
      <c r="D344" s="145">
        <v>432.11131234766486</v>
      </c>
      <c r="E344" s="12">
        <v>2.4451421590415755E-2</v>
      </c>
      <c r="F344" s="145">
        <v>682.05049597248387</v>
      </c>
      <c r="G344" s="12">
        <v>3.8594463385761647E-2</v>
      </c>
      <c r="H344" s="145">
        <v>3886.3549426507607</v>
      </c>
      <c r="I344" s="12">
        <v>0.2199130187924675</v>
      </c>
      <c r="J344" s="145">
        <v>4658.6717211248288</v>
      </c>
      <c r="K344" s="12">
        <v>0.26361528395470751</v>
      </c>
      <c r="L344" s="145">
        <v>212.39611651940257</v>
      </c>
      <c r="M344" s="12">
        <v>1.2018632331024291E-2</v>
      </c>
      <c r="N344" s="145">
        <v>188.20572366641852</v>
      </c>
      <c r="O344" s="12">
        <v>1.0649796391801768E-2</v>
      </c>
      <c r="P344" s="145">
        <v>17672.236796123128</v>
      </c>
      <c r="Q344" s="10">
        <v>1</v>
      </c>
      <c r="R344" s="1"/>
    </row>
    <row r="345" spans="1:18">
      <c r="A345" s="135" t="s">
        <v>2</v>
      </c>
      <c r="B345" s="122">
        <v>205.33277736922821</v>
      </c>
      <c r="C345" s="8">
        <v>0.42141990484634484</v>
      </c>
      <c r="D345" s="144">
        <v>14.672532910927949</v>
      </c>
      <c r="E345" s="8">
        <v>3.0113543012469702E-2</v>
      </c>
      <c r="F345" s="144">
        <v>5.4680511182108624</v>
      </c>
      <c r="G345" s="8">
        <v>1.1222492635882047E-2</v>
      </c>
      <c r="H345" s="144">
        <v>105.48063164920958</v>
      </c>
      <c r="I345" s="8">
        <v>0.2164858349566352</v>
      </c>
      <c r="J345" s="144">
        <v>141.16553050761024</v>
      </c>
      <c r="K345" s="8">
        <v>0.28972463722694597</v>
      </c>
      <c r="L345" s="144">
        <v>9.652764494007041</v>
      </c>
      <c r="M345" s="8">
        <v>1.9811094685841649E-2</v>
      </c>
      <c r="N345" s="144">
        <v>5.4680511182108624</v>
      </c>
      <c r="O345" s="8">
        <v>1.1222492635882047E-2</v>
      </c>
      <c r="P345" s="144">
        <v>487.24033916740404</v>
      </c>
      <c r="Q345" s="6">
        <v>2.7570948985602833E-2</v>
      </c>
      <c r="R345" s="1"/>
    </row>
    <row r="346" spans="1:18">
      <c r="A346" s="135" t="s">
        <v>1</v>
      </c>
      <c r="B346" s="122">
        <v>783.65600297840933</v>
      </c>
      <c r="C346" s="8">
        <v>0.44959746596739236</v>
      </c>
      <c r="D346" s="144">
        <v>47.688449015590081</v>
      </c>
      <c r="E346" s="8">
        <v>2.7359716191589233E-2</v>
      </c>
      <c r="F346" s="144">
        <v>13.647058823529411</v>
      </c>
      <c r="G346" s="8">
        <v>7.8295617485824483E-3</v>
      </c>
      <c r="H346" s="144">
        <v>264.28571803795893</v>
      </c>
      <c r="I346" s="8">
        <v>0.15162544365083208</v>
      </c>
      <c r="J346" s="144">
        <v>525.50488804135273</v>
      </c>
      <c r="K346" s="8">
        <v>0.30149155384365739</v>
      </c>
      <c r="L346" s="144">
        <v>59.056944933662088</v>
      </c>
      <c r="M346" s="8">
        <v>3.3882025645226681E-2</v>
      </c>
      <c r="N346" s="144">
        <v>49.177886212624593</v>
      </c>
      <c r="O346" s="8">
        <v>2.8214232952718087E-2</v>
      </c>
      <c r="P346" s="144">
        <v>1743.0169480431302</v>
      </c>
      <c r="Q346" s="6">
        <v>9.8630239519284124E-2</v>
      </c>
      <c r="R346" s="1"/>
    </row>
    <row r="347" spans="1:18" ht="15.75" thickBot="1">
      <c r="A347" s="134" t="s">
        <v>0</v>
      </c>
      <c r="B347" s="121">
        <v>6623.4577034939566</v>
      </c>
      <c r="C347" s="4">
        <v>0.42892543016723439</v>
      </c>
      <c r="D347" s="143">
        <v>369.75033042114694</v>
      </c>
      <c r="E347" s="4">
        <v>2.3944490420268933E-2</v>
      </c>
      <c r="F347" s="143">
        <v>662.93538603074353</v>
      </c>
      <c r="G347" s="4">
        <v>4.2930725665587054E-2</v>
      </c>
      <c r="H347" s="143">
        <v>3516.5885929635924</v>
      </c>
      <c r="I347" s="4">
        <v>0.2277291321966807</v>
      </c>
      <c r="J347" s="143">
        <v>3992.0013025758694</v>
      </c>
      <c r="K347" s="4">
        <v>0.25851616369985581</v>
      </c>
      <c r="L347" s="143">
        <v>143.68640709173346</v>
      </c>
      <c r="M347" s="4">
        <v>9.3049214971955112E-3</v>
      </c>
      <c r="N347" s="143">
        <v>133.55978633558306</v>
      </c>
      <c r="O347" s="4">
        <v>8.6491363531791213E-3</v>
      </c>
      <c r="P347" s="143">
        <v>15441.979508912602</v>
      </c>
      <c r="Q347" s="2">
        <v>0.87379881149511351</v>
      </c>
      <c r="R347" s="1"/>
    </row>
    <row r="350" spans="1:18" ht="15.75" thickBot="1"/>
    <row r="351" spans="1:18" ht="15" customHeight="1">
      <c r="A351" s="602" t="s">
        <v>13</v>
      </c>
      <c r="B351" s="698" t="s">
        <v>325</v>
      </c>
      <c r="C351" s="699"/>
      <c r="D351" s="699"/>
      <c r="E351" s="699"/>
      <c r="F351" s="699"/>
      <c r="G351" s="699"/>
      <c r="H351" s="699"/>
      <c r="I351" s="699"/>
      <c r="J351" s="699"/>
      <c r="K351" s="700"/>
      <c r="L351" s="1"/>
    </row>
    <row r="352" spans="1:18" ht="39.75" customHeight="1">
      <c r="A352" s="603"/>
      <c r="B352" s="664" t="s">
        <v>175</v>
      </c>
      <c r="C352" s="665"/>
      <c r="D352" s="666" t="s">
        <v>174</v>
      </c>
      <c r="E352" s="665"/>
      <c r="F352" s="658" t="s">
        <v>173</v>
      </c>
      <c r="G352" s="648"/>
      <c r="H352" s="658" t="s">
        <v>172</v>
      </c>
      <c r="I352" s="648"/>
      <c r="J352" s="659" t="s">
        <v>9</v>
      </c>
      <c r="K352" s="653"/>
      <c r="L352" s="1"/>
    </row>
    <row r="353" spans="1:12" ht="15.75" thickBot="1">
      <c r="A353" s="604"/>
      <c r="B353" s="142" t="s">
        <v>7</v>
      </c>
      <c r="C353" s="141" t="s">
        <v>8</v>
      </c>
      <c r="D353" s="139" t="s">
        <v>7</v>
      </c>
      <c r="E353" s="140" t="s">
        <v>8</v>
      </c>
      <c r="F353" s="139" t="s">
        <v>7</v>
      </c>
      <c r="G353" s="140" t="s">
        <v>8</v>
      </c>
      <c r="H353" s="139" t="s">
        <v>7</v>
      </c>
      <c r="I353" s="140" t="s">
        <v>8</v>
      </c>
      <c r="J353" s="139" t="s">
        <v>7</v>
      </c>
      <c r="K353" s="138" t="s">
        <v>6</v>
      </c>
      <c r="L353" s="1"/>
    </row>
    <row r="354" spans="1:12" ht="15.75" customHeight="1">
      <c r="A354" s="137" t="s">
        <v>5</v>
      </c>
      <c r="B354" s="123">
        <v>2423.8713665000005</v>
      </c>
      <c r="C354" s="12">
        <v>0.69127653004604794</v>
      </c>
      <c r="D354" s="123">
        <v>585.46709499999986</v>
      </c>
      <c r="E354" s="12">
        <v>0.16697241754711731</v>
      </c>
      <c r="F354" s="123">
        <v>194.18637000000001</v>
      </c>
      <c r="G354" s="12">
        <v>5.5381024707458613E-2</v>
      </c>
      <c r="H354" s="123">
        <v>302.84528399999999</v>
      </c>
      <c r="I354" s="12">
        <v>8.6370027699376226E-2</v>
      </c>
      <c r="J354" s="123">
        <v>3506.3701154999999</v>
      </c>
      <c r="K354" s="12">
        <v>1</v>
      </c>
      <c r="L354" s="1"/>
    </row>
    <row r="355" spans="1:12">
      <c r="A355" s="135" t="s">
        <v>2</v>
      </c>
      <c r="B355" s="122">
        <v>86.009355499999998</v>
      </c>
      <c r="C355" s="8">
        <v>0.59092984662369952</v>
      </c>
      <c r="D355" s="122">
        <v>4.7735190000000003</v>
      </c>
      <c r="E355" s="8">
        <v>3.2796604905675819E-2</v>
      </c>
      <c r="F355" s="122">
        <v>33.936173000000004</v>
      </c>
      <c r="G355" s="8">
        <v>0.23315949049153534</v>
      </c>
      <c r="H355" s="122">
        <v>20.830134000000001</v>
      </c>
      <c r="I355" s="8">
        <v>0.14311405797908935</v>
      </c>
      <c r="J355" s="122">
        <v>145.5491815</v>
      </c>
      <c r="K355" s="8">
        <v>4.150993098435219E-2</v>
      </c>
      <c r="L355" s="1"/>
    </row>
    <row r="356" spans="1:12">
      <c r="A356" s="135" t="s">
        <v>1</v>
      </c>
      <c r="B356" s="122">
        <v>776.6708349999999</v>
      </c>
      <c r="C356" s="8">
        <v>0.62026434557135801</v>
      </c>
      <c r="D356" s="122">
        <v>188.80663699999999</v>
      </c>
      <c r="E356" s="8">
        <v>0.15078463083828036</v>
      </c>
      <c r="F356" s="122">
        <v>160.25019700000001</v>
      </c>
      <c r="G356" s="8">
        <v>0.12797890572250756</v>
      </c>
      <c r="H356" s="122">
        <v>126.43334999999999</v>
      </c>
      <c r="I356" s="8">
        <v>0.10097211786785384</v>
      </c>
      <c r="J356" s="122">
        <v>1252.1610190000001</v>
      </c>
      <c r="K356" s="8">
        <v>0.35711033854206947</v>
      </c>
      <c r="L356" s="1"/>
    </row>
    <row r="357" spans="1:12" ht="15.75" thickBot="1">
      <c r="A357" s="135" t="s">
        <v>0</v>
      </c>
      <c r="B357" s="122">
        <v>1561.1911760000003</v>
      </c>
      <c r="C357" s="8">
        <v>0.74037124948145094</v>
      </c>
      <c r="D357" s="122">
        <v>391.88693899999998</v>
      </c>
      <c r="E357" s="8">
        <v>0.18584644029713057</v>
      </c>
      <c r="F357" s="122">
        <v>0</v>
      </c>
      <c r="G357" s="8">
        <v>0</v>
      </c>
      <c r="H357" s="122">
        <v>155.58179999999999</v>
      </c>
      <c r="I357" s="8">
        <v>7.3782310221418512E-2</v>
      </c>
      <c r="J357" s="122">
        <v>2108.6599150000002</v>
      </c>
      <c r="K357" s="8">
        <v>0.60137973047357851</v>
      </c>
      <c r="L357" s="1"/>
    </row>
    <row r="358" spans="1:12" ht="15" customHeight="1">
      <c r="A358" s="136" t="s">
        <v>4</v>
      </c>
      <c r="B358" s="123">
        <v>1941.1341026529178</v>
      </c>
      <c r="C358" s="12">
        <v>0.72616583780385657</v>
      </c>
      <c r="D358" s="123">
        <v>460.03087436127532</v>
      </c>
      <c r="E358" s="12">
        <v>0.17209460430355805</v>
      </c>
      <c r="F358" s="123">
        <v>271.96284255315351</v>
      </c>
      <c r="G358" s="12">
        <v>0.10173955789258576</v>
      </c>
      <c r="H358" s="123">
        <v>0</v>
      </c>
      <c r="I358" s="12">
        <v>0</v>
      </c>
      <c r="J358" s="123">
        <v>2673.1278195673458</v>
      </c>
      <c r="K358" s="12">
        <v>1</v>
      </c>
      <c r="L358" s="1"/>
    </row>
    <row r="359" spans="1:12">
      <c r="A359" s="135" t="s">
        <v>2</v>
      </c>
      <c r="B359" s="122">
        <v>53.797572899892266</v>
      </c>
      <c r="C359" s="8">
        <v>0.76923268443166759</v>
      </c>
      <c r="D359" s="122">
        <v>5.3796992481203008</v>
      </c>
      <c r="E359" s="8">
        <v>7.692243852277747E-2</v>
      </c>
      <c r="F359" s="122">
        <v>10.759398496240602</v>
      </c>
      <c r="G359" s="8">
        <v>0.15384487704555494</v>
      </c>
      <c r="H359" s="122">
        <v>0</v>
      </c>
      <c r="I359" s="8">
        <v>0</v>
      </c>
      <c r="J359" s="122">
        <v>69.936670644253169</v>
      </c>
      <c r="K359" s="8">
        <v>2.6162860650476731E-2</v>
      </c>
      <c r="L359" s="1"/>
    </row>
    <row r="360" spans="1:12">
      <c r="A360" s="135" t="s">
        <v>1</v>
      </c>
      <c r="B360" s="122">
        <v>516.93320682998194</v>
      </c>
      <c r="C360" s="8">
        <v>0.77372124972950873</v>
      </c>
      <c r="D360" s="122">
        <v>0</v>
      </c>
      <c r="E360" s="8">
        <v>0</v>
      </c>
      <c r="F360" s="122">
        <v>151.17976927181263</v>
      </c>
      <c r="G360" s="8">
        <v>0.22627875027049119</v>
      </c>
      <c r="H360" s="122">
        <v>0</v>
      </c>
      <c r="I360" s="8">
        <v>0</v>
      </c>
      <c r="J360" s="122">
        <v>668.11297610179463</v>
      </c>
      <c r="K360" s="8">
        <v>0.24993678611669637</v>
      </c>
      <c r="L360" s="1"/>
    </row>
    <row r="361" spans="1:12" ht="15.75" thickBot="1">
      <c r="A361" s="135" t="s">
        <v>0</v>
      </c>
      <c r="B361" s="122">
        <v>1370.4033229230436</v>
      </c>
      <c r="C361" s="8">
        <v>0.70819016108534127</v>
      </c>
      <c r="D361" s="122">
        <v>454.65117511315498</v>
      </c>
      <c r="E361" s="8">
        <v>0.23495235567164927</v>
      </c>
      <c r="F361" s="122">
        <v>110.02367478510028</v>
      </c>
      <c r="G361" s="8">
        <v>5.6857483243009418E-2</v>
      </c>
      <c r="H361" s="122">
        <v>0</v>
      </c>
      <c r="I361" s="8">
        <v>0</v>
      </c>
      <c r="J361" s="122">
        <v>1935.0781728212987</v>
      </c>
      <c r="K361" s="8">
        <v>0.7239003532328272</v>
      </c>
      <c r="L361" s="1"/>
    </row>
    <row r="362" spans="1:12" ht="15.75" customHeight="1">
      <c r="A362" s="136" t="s">
        <v>3</v>
      </c>
      <c r="B362" s="123">
        <v>1156.5872059548192</v>
      </c>
      <c r="C362" s="12">
        <v>0.67914260023225936</v>
      </c>
      <c r="D362" s="123">
        <v>437.17795981671077</v>
      </c>
      <c r="E362" s="12">
        <v>0.25670885417502487</v>
      </c>
      <c r="F362" s="123">
        <v>109.24566812296993</v>
      </c>
      <c r="G362" s="12">
        <v>6.4148545592715586E-2</v>
      </c>
      <c r="H362" s="123">
        <v>0</v>
      </c>
      <c r="I362" s="12">
        <v>0</v>
      </c>
      <c r="J362" s="123">
        <v>1703.0108338945004</v>
      </c>
      <c r="K362" s="12">
        <v>1</v>
      </c>
      <c r="L362" s="1"/>
    </row>
    <row r="363" spans="1:12">
      <c r="A363" s="135" t="s">
        <v>2</v>
      </c>
      <c r="B363" s="122">
        <v>24.074747474747475</v>
      </c>
      <c r="C363" s="8">
        <v>0.49741167667498709</v>
      </c>
      <c r="D363" s="122">
        <v>4.6022408963585431</v>
      </c>
      <c r="E363" s="8">
        <v>9.5087533654136913E-2</v>
      </c>
      <c r="F363" s="122">
        <v>19.723056508576448</v>
      </c>
      <c r="G363" s="8">
        <v>0.40750078967087611</v>
      </c>
      <c r="H363" s="122">
        <v>0</v>
      </c>
      <c r="I363" s="8">
        <v>0</v>
      </c>
      <c r="J363" s="122">
        <v>48.400044879682461</v>
      </c>
      <c r="K363" s="8">
        <v>2.8420280080661421E-2</v>
      </c>
      <c r="L363" s="1"/>
    </row>
    <row r="364" spans="1:12">
      <c r="A364" s="135" t="s">
        <v>1</v>
      </c>
      <c r="B364" s="122">
        <v>108.92780027166954</v>
      </c>
      <c r="C364" s="8">
        <v>0.76706646732570805</v>
      </c>
      <c r="D364" s="122">
        <v>33.077886212624591</v>
      </c>
      <c r="E364" s="8">
        <v>0.23293353267429201</v>
      </c>
      <c r="F364" s="122">
        <v>0</v>
      </c>
      <c r="G364" s="8">
        <v>0</v>
      </c>
      <c r="H364" s="122">
        <v>0</v>
      </c>
      <c r="I364" s="8">
        <v>0</v>
      </c>
      <c r="J364" s="122">
        <v>142.00568648429413</v>
      </c>
      <c r="K364" s="8">
        <v>8.3385075219721841E-2</v>
      </c>
      <c r="L364" s="1"/>
    </row>
    <row r="365" spans="1:12" ht="15.75" thickBot="1">
      <c r="A365" s="134" t="s">
        <v>0</v>
      </c>
      <c r="B365" s="121">
        <v>1023.5846582084022</v>
      </c>
      <c r="C365" s="4">
        <v>0.67670316363206029</v>
      </c>
      <c r="D365" s="121">
        <v>399.49783270772775</v>
      </c>
      <c r="E365" s="4">
        <v>0.26411244550172747</v>
      </c>
      <c r="F365" s="121">
        <v>89.522611614393469</v>
      </c>
      <c r="G365" s="4">
        <v>5.9184390866212189E-2</v>
      </c>
      <c r="H365" s="121">
        <v>0</v>
      </c>
      <c r="I365" s="4">
        <v>0</v>
      </c>
      <c r="J365" s="121">
        <v>1512.6051025305235</v>
      </c>
      <c r="K365" s="4">
        <v>0.88819464469961662</v>
      </c>
      <c r="L365" s="1"/>
    </row>
    <row r="369" spans="1:16" ht="15.75" thickBot="1"/>
    <row r="370" spans="1:16" ht="15" customHeight="1">
      <c r="A370" s="602" t="s">
        <v>13</v>
      </c>
      <c r="B370" s="642" t="s">
        <v>326</v>
      </c>
      <c r="C370" s="589"/>
      <c r="D370" s="589"/>
      <c r="E370" s="589"/>
      <c r="F370" s="589"/>
      <c r="G370" s="589"/>
      <c r="H370" s="589"/>
      <c r="I370" s="589"/>
      <c r="J370" s="589"/>
      <c r="K370" s="589"/>
      <c r="L370" s="589"/>
      <c r="M370" s="589"/>
      <c r="N370" s="589"/>
      <c r="O370" s="590"/>
      <c r="P370" s="1"/>
    </row>
    <row r="371" spans="1:16" ht="38.25" customHeight="1">
      <c r="A371" s="603"/>
      <c r="B371" s="650" t="s">
        <v>171</v>
      </c>
      <c r="C371" s="648"/>
      <c r="D371" s="651" t="s">
        <v>170</v>
      </c>
      <c r="E371" s="648"/>
      <c r="F371" s="651" t="s">
        <v>169</v>
      </c>
      <c r="G371" s="648"/>
      <c r="H371" s="651" t="s">
        <v>168</v>
      </c>
      <c r="I371" s="648"/>
      <c r="J371" s="651" t="s">
        <v>167</v>
      </c>
      <c r="K371" s="648"/>
      <c r="L371" s="651" t="s">
        <v>166</v>
      </c>
      <c r="M371" s="648"/>
      <c r="N371" s="652" t="s">
        <v>9</v>
      </c>
      <c r="O371" s="653"/>
      <c r="P371" s="1"/>
    </row>
    <row r="372" spans="1:16" ht="15.75" thickBot="1">
      <c r="A372" s="604"/>
      <c r="B372" s="133" t="s">
        <v>7</v>
      </c>
      <c r="C372" s="132" t="s">
        <v>8</v>
      </c>
      <c r="D372" s="130" t="s">
        <v>7</v>
      </c>
      <c r="E372" s="131" t="s">
        <v>8</v>
      </c>
      <c r="F372" s="130" t="s">
        <v>7</v>
      </c>
      <c r="G372" s="131" t="s">
        <v>8</v>
      </c>
      <c r="H372" s="130" t="s">
        <v>7</v>
      </c>
      <c r="I372" s="131" t="s">
        <v>8</v>
      </c>
      <c r="J372" s="130" t="s">
        <v>7</v>
      </c>
      <c r="K372" s="131" t="s">
        <v>8</v>
      </c>
      <c r="L372" s="130" t="s">
        <v>7</v>
      </c>
      <c r="M372" s="131" t="s">
        <v>8</v>
      </c>
      <c r="N372" s="130" t="s">
        <v>7</v>
      </c>
      <c r="O372" s="129" t="s">
        <v>6</v>
      </c>
      <c r="P372" s="1"/>
    </row>
    <row r="373" spans="1:16" ht="15.75" customHeight="1">
      <c r="A373" s="137" t="s">
        <v>5</v>
      </c>
      <c r="B373" s="123">
        <v>193751.94061590548</v>
      </c>
      <c r="C373" s="12">
        <v>0.75669868598748036</v>
      </c>
      <c r="D373" s="123">
        <v>32162.559546300072</v>
      </c>
      <c r="E373" s="12">
        <v>0.125610956304824</v>
      </c>
      <c r="F373" s="123">
        <v>21332.151026000058</v>
      </c>
      <c r="G373" s="12">
        <v>8.3312768890716316E-2</v>
      </c>
      <c r="H373" s="123">
        <v>5485.6017955000025</v>
      </c>
      <c r="I373" s="12">
        <v>2.1424031456460445E-2</v>
      </c>
      <c r="J373" s="123">
        <v>618.23741299999983</v>
      </c>
      <c r="K373" s="12">
        <v>2.4145277541906328E-3</v>
      </c>
      <c r="L373" s="123">
        <v>2698.5079745000007</v>
      </c>
      <c r="M373" s="12">
        <v>1.0539029606309189E-2</v>
      </c>
      <c r="N373" s="123">
        <v>256048.9983712105</v>
      </c>
      <c r="O373" s="12">
        <v>1</v>
      </c>
      <c r="P373" s="1"/>
    </row>
    <row r="374" spans="1:16">
      <c r="A374" s="135" t="s">
        <v>2</v>
      </c>
      <c r="B374" s="122">
        <v>7946.8104839000362</v>
      </c>
      <c r="C374" s="8">
        <v>0.65292997158975108</v>
      </c>
      <c r="D374" s="122">
        <v>1580.3078242999984</v>
      </c>
      <c r="E374" s="8">
        <v>0.12984207247847576</v>
      </c>
      <c r="F374" s="122">
        <v>1992.1130729999977</v>
      </c>
      <c r="G374" s="8">
        <v>0.16367702926761052</v>
      </c>
      <c r="H374" s="122">
        <v>426.85060750000019</v>
      </c>
      <c r="I374" s="8">
        <v>3.5071121375385379E-2</v>
      </c>
      <c r="J374" s="122">
        <v>13.127941</v>
      </c>
      <c r="K374" s="8">
        <v>1.0786247088096221E-3</v>
      </c>
      <c r="L374" s="122">
        <v>211.78976349999994</v>
      </c>
      <c r="M374" s="8">
        <v>1.7401180579958896E-2</v>
      </c>
      <c r="N374" s="122">
        <v>12170.999693200138</v>
      </c>
      <c r="O374" s="8">
        <v>4.7533869574272129E-2</v>
      </c>
      <c r="P374" s="1"/>
    </row>
    <row r="375" spans="1:16">
      <c r="A375" s="135" t="s">
        <v>1</v>
      </c>
      <c r="B375" s="122">
        <v>61747.895794999851</v>
      </c>
      <c r="C375" s="8">
        <v>0.70444239298309863</v>
      </c>
      <c r="D375" s="122">
        <v>10485.694023000009</v>
      </c>
      <c r="E375" s="8">
        <v>0.11962460087990305</v>
      </c>
      <c r="F375" s="122">
        <v>11918.007101000003</v>
      </c>
      <c r="G375" s="8">
        <v>0.13596494801524636</v>
      </c>
      <c r="H375" s="122">
        <v>2480.5142359999991</v>
      </c>
      <c r="I375" s="8">
        <v>2.8298606158786373E-2</v>
      </c>
      <c r="J375" s="122">
        <v>180.23850299999998</v>
      </c>
      <c r="K375" s="8">
        <v>2.056226219959593E-3</v>
      </c>
      <c r="L375" s="122">
        <v>842.64727299999993</v>
      </c>
      <c r="M375" s="8">
        <v>9.613225743003698E-3</v>
      </c>
      <c r="N375" s="122">
        <v>87654.99693100006</v>
      </c>
      <c r="O375" s="8">
        <v>0.34233680853506421</v>
      </c>
      <c r="P375" s="1"/>
    </row>
    <row r="376" spans="1:16" ht="15.75" thickBot="1">
      <c r="A376" s="135" t="s">
        <v>0</v>
      </c>
      <c r="B376" s="122">
        <v>124057.23433699927</v>
      </c>
      <c r="C376" s="8">
        <v>0.79410351196494877</v>
      </c>
      <c r="D376" s="122">
        <v>20096.557699000026</v>
      </c>
      <c r="E376" s="8">
        <v>0.12864019686131722</v>
      </c>
      <c r="F376" s="122">
        <v>7422.0308519999999</v>
      </c>
      <c r="G376" s="8">
        <v>4.7509206512494323E-2</v>
      </c>
      <c r="H376" s="122">
        <v>2578.2369519999997</v>
      </c>
      <c r="I376" s="8">
        <v>1.6503568124848843E-2</v>
      </c>
      <c r="J376" s="122">
        <v>424.87096899999995</v>
      </c>
      <c r="K376" s="8">
        <v>2.7196441256971179E-3</v>
      </c>
      <c r="L376" s="122">
        <v>1644.0709380000003</v>
      </c>
      <c r="M376" s="8">
        <v>1.0523872410687234E-2</v>
      </c>
      <c r="N376" s="122">
        <v>156223.00174700032</v>
      </c>
      <c r="O376" s="8">
        <v>0.61012932189062463</v>
      </c>
      <c r="P376" s="1"/>
    </row>
    <row r="377" spans="1:16" ht="15" customHeight="1">
      <c r="A377" s="136" t="s">
        <v>4</v>
      </c>
      <c r="B377" s="123">
        <v>182936.69073943628</v>
      </c>
      <c r="C377" s="12">
        <v>0.81440568206456998</v>
      </c>
      <c r="D377" s="123">
        <v>24117.500273923877</v>
      </c>
      <c r="E377" s="12">
        <v>0.10736735851559416</v>
      </c>
      <c r="F377" s="123">
        <v>8287.8654372656147</v>
      </c>
      <c r="G377" s="12">
        <v>3.6896287327671806E-2</v>
      </c>
      <c r="H377" s="123">
        <v>4898.7607246463658</v>
      </c>
      <c r="I377" s="12">
        <v>2.1808520494717269E-2</v>
      </c>
      <c r="J377" s="123">
        <v>524.26554813177165</v>
      </c>
      <c r="K377" s="12">
        <v>2.3339486441096365E-3</v>
      </c>
      <c r="L377" s="123">
        <v>3860.9172765963026</v>
      </c>
      <c r="M377" s="12">
        <v>1.71882029533371E-2</v>
      </c>
      <c r="N377" s="123">
        <v>224626.0000000002</v>
      </c>
      <c r="O377" s="12">
        <v>1</v>
      </c>
      <c r="P377" s="1"/>
    </row>
    <row r="378" spans="1:16">
      <c r="A378" s="135" t="s">
        <v>2</v>
      </c>
      <c r="B378" s="122">
        <v>8135.8503992518627</v>
      </c>
      <c r="C378" s="8">
        <v>0.77000287708232862</v>
      </c>
      <c r="D378" s="122">
        <v>1317.1766394789563</v>
      </c>
      <c r="E378" s="8">
        <v>0.12466180574285061</v>
      </c>
      <c r="F378" s="122">
        <v>636.32080993334159</v>
      </c>
      <c r="G378" s="8">
        <v>6.0223434595243541E-2</v>
      </c>
      <c r="H378" s="122">
        <v>335.08505450171032</v>
      </c>
      <c r="I378" s="8">
        <v>3.1713520206484117E-2</v>
      </c>
      <c r="J378" s="122">
        <v>36.597369885293617</v>
      </c>
      <c r="K378" s="8">
        <v>3.4636920201867984E-3</v>
      </c>
      <c r="L378" s="122">
        <v>104.96972694876546</v>
      </c>
      <c r="M378" s="8">
        <v>9.9346703529023025E-3</v>
      </c>
      <c r="N378" s="122">
        <v>10565.999999999973</v>
      </c>
      <c r="O378" s="8">
        <v>1</v>
      </c>
      <c r="P378" s="1"/>
    </row>
    <row r="379" spans="1:16">
      <c r="A379" s="135" t="s">
        <v>1</v>
      </c>
      <c r="B379" s="122">
        <v>60407.77678305954</v>
      </c>
      <c r="C379" s="8">
        <v>0.787164316116022</v>
      </c>
      <c r="D379" s="122">
        <v>8803.2216257008968</v>
      </c>
      <c r="E379" s="8">
        <v>0.11471340777030417</v>
      </c>
      <c r="F379" s="122">
        <v>3708.1405074898453</v>
      </c>
      <c r="G379" s="8">
        <v>4.8320200511979924E-2</v>
      </c>
      <c r="H379" s="122">
        <v>2551.4511165540735</v>
      </c>
      <c r="I379" s="8">
        <v>3.3247561493257555E-2</v>
      </c>
      <c r="J379" s="122">
        <v>167.71034870641171</v>
      </c>
      <c r="K379" s="8">
        <v>2.1854073924813594E-3</v>
      </c>
      <c r="L379" s="122">
        <v>1102.6996184886698</v>
      </c>
      <c r="M379" s="8">
        <v>1.4369106715949384E-2</v>
      </c>
      <c r="N379" s="122">
        <v>76740.999999999869</v>
      </c>
      <c r="O379" s="8">
        <v>1</v>
      </c>
      <c r="P379" s="1"/>
    </row>
    <row r="380" spans="1:16" ht="15.75" thickBot="1">
      <c r="A380" s="135" t="s">
        <v>0</v>
      </c>
      <c r="B380" s="122">
        <v>114393.06355712302</v>
      </c>
      <c r="C380" s="8">
        <v>0.83304614479514072</v>
      </c>
      <c r="D380" s="122">
        <v>13997.102008743945</v>
      </c>
      <c r="E380" s="8">
        <v>0.10193128415400675</v>
      </c>
      <c r="F380" s="122">
        <v>3943.4041198424325</v>
      </c>
      <c r="G380" s="8">
        <v>2.871710484231944E-2</v>
      </c>
      <c r="H380" s="122">
        <v>2012.2245535905859</v>
      </c>
      <c r="I380" s="8">
        <v>1.4653649921646687E-2</v>
      </c>
      <c r="J380" s="122">
        <v>319.95782954006631</v>
      </c>
      <c r="K380" s="8">
        <v>2.3300332039999476E-3</v>
      </c>
      <c r="L380" s="122">
        <v>2653.2479311588672</v>
      </c>
      <c r="M380" s="8">
        <v>1.9321783082886478E-2</v>
      </c>
      <c r="N380" s="122">
        <v>137318.99999999892</v>
      </c>
      <c r="O380" s="8">
        <v>1</v>
      </c>
      <c r="P380" s="1"/>
    </row>
    <row r="381" spans="1:16" ht="15.75" customHeight="1">
      <c r="A381" s="136" t="s">
        <v>3</v>
      </c>
      <c r="B381" s="123">
        <v>128588.32995326424</v>
      </c>
      <c r="C381" s="12">
        <v>0.8627715189328049</v>
      </c>
      <c r="D381" s="123">
        <v>11058.478899673764</v>
      </c>
      <c r="E381" s="12">
        <v>7.419756241352217E-2</v>
      </c>
      <c r="F381" s="123">
        <v>3357.6478211691965</v>
      </c>
      <c r="G381" s="12">
        <v>2.2528350059172943E-2</v>
      </c>
      <c r="H381" s="123">
        <v>3193.5818047546554</v>
      </c>
      <c r="I381" s="12">
        <v>2.1427538762854876E-2</v>
      </c>
      <c r="J381" s="123">
        <v>381.65155014082103</v>
      </c>
      <c r="K381" s="12">
        <v>2.5607151732799753E-3</v>
      </c>
      <c r="L381" s="123">
        <v>2461.3099709956509</v>
      </c>
      <c r="M381" s="12">
        <v>1.6514314658353402E-2</v>
      </c>
      <c r="N381" s="123">
        <v>149041.00000000009</v>
      </c>
      <c r="O381" s="12">
        <v>1</v>
      </c>
      <c r="P381" s="1"/>
    </row>
    <row r="382" spans="1:16">
      <c r="A382" s="135" t="s">
        <v>2</v>
      </c>
      <c r="B382" s="122">
        <v>7017.1057745912894</v>
      </c>
      <c r="C382" s="8">
        <v>0.79939687566546436</v>
      </c>
      <c r="D382" s="122">
        <v>904.35573749932144</v>
      </c>
      <c r="E382" s="8">
        <v>0.10302526059459349</v>
      </c>
      <c r="F382" s="122">
        <v>305.15788693621931</v>
      </c>
      <c r="G382" s="8">
        <v>3.4763942462545702E-2</v>
      </c>
      <c r="H382" s="122">
        <v>340.54749436764018</v>
      </c>
      <c r="I382" s="8">
        <v>3.8795567824976965E-2</v>
      </c>
      <c r="J382" s="122">
        <v>28.537961649792432</v>
      </c>
      <c r="K382" s="8">
        <v>3.2510778821819401E-3</v>
      </c>
      <c r="L382" s="122">
        <v>182.29514495562211</v>
      </c>
      <c r="M382" s="8">
        <v>2.0767275570246775E-2</v>
      </c>
      <c r="N382" s="122">
        <v>8777.9999999998035</v>
      </c>
      <c r="O382" s="8">
        <v>1</v>
      </c>
      <c r="P382" s="1"/>
    </row>
    <row r="383" spans="1:16">
      <c r="A383" s="135" t="s">
        <v>1</v>
      </c>
      <c r="B383" s="122">
        <v>19436.269607778213</v>
      </c>
      <c r="C383" s="8">
        <v>0.83954341530724763</v>
      </c>
      <c r="D383" s="122">
        <v>2198.6660893516687</v>
      </c>
      <c r="E383" s="8">
        <v>9.4970674672871791E-2</v>
      </c>
      <c r="F383" s="122">
        <v>593.99048779443774</v>
      </c>
      <c r="G383" s="8">
        <v>2.5657228102217357E-2</v>
      </c>
      <c r="H383" s="122">
        <v>573.53670306461265</v>
      </c>
      <c r="I383" s="8">
        <v>2.4773733448430268E-2</v>
      </c>
      <c r="J383" s="122">
        <v>48.844941105406221</v>
      </c>
      <c r="K383" s="8">
        <v>2.109841523277868E-3</v>
      </c>
      <c r="L383" s="122">
        <v>299.69217090577649</v>
      </c>
      <c r="M383" s="8">
        <v>1.2945106945953721E-2</v>
      </c>
      <c r="N383" s="122">
        <v>23151.000000000146</v>
      </c>
      <c r="O383" s="8">
        <v>1</v>
      </c>
      <c r="P383" s="1"/>
    </row>
    <row r="384" spans="1:16" ht="15.75" thickBot="1">
      <c r="A384" s="134" t="s">
        <v>0</v>
      </c>
      <c r="B384" s="121">
        <v>102134.9545708965</v>
      </c>
      <c r="C384" s="4">
        <v>0.8721134859868882</v>
      </c>
      <c r="D384" s="121">
        <v>7955.4570728228109</v>
      </c>
      <c r="E384" s="4">
        <v>6.7930332270158544E-2</v>
      </c>
      <c r="F384" s="121">
        <v>2458.4994464385377</v>
      </c>
      <c r="G384" s="4">
        <v>2.0992720186134101E-2</v>
      </c>
      <c r="H384" s="121">
        <v>2279.4976073223997</v>
      </c>
      <c r="I384" s="4">
        <v>1.9464253085272207E-2</v>
      </c>
      <c r="J384" s="121">
        <v>304.26864738562244</v>
      </c>
      <c r="K384" s="4">
        <v>2.5980996600316131E-3</v>
      </c>
      <c r="L384" s="121">
        <v>1979.3226551342511</v>
      </c>
      <c r="M384" s="4">
        <v>1.6901108811515901E-2</v>
      </c>
      <c r="N384" s="121">
        <v>117112.00000000006</v>
      </c>
      <c r="O384" s="4">
        <v>1</v>
      </c>
      <c r="P384" s="1"/>
    </row>
    <row r="387" spans="1:8" ht="15.75" thickBot="1"/>
    <row r="388" spans="1:8" ht="27" customHeight="1">
      <c r="A388" s="602" t="s">
        <v>13</v>
      </c>
      <c r="B388" s="642" t="s">
        <v>327</v>
      </c>
      <c r="C388" s="589"/>
      <c r="D388" s="589"/>
      <c r="E388" s="589"/>
      <c r="F388" s="589"/>
      <c r="G388" s="590"/>
      <c r="H388" s="1"/>
    </row>
    <row r="389" spans="1:8">
      <c r="A389" s="603"/>
      <c r="B389" s="647" t="s">
        <v>27</v>
      </c>
      <c r="C389" s="648"/>
      <c r="D389" s="649" t="s">
        <v>26</v>
      </c>
      <c r="E389" s="648"/>
      <c r="F389" s="654" t="s">
        <v>9</v>
      </c>
      <c r="G389" s="653"/>
      <c r="H389" s="1"/>
    </row>
    <row r="390" spans="1:8" ht="15.75" thickBot="1">
      <c r="A390" s="604"/>
      <c r="B390" s="133" t="s">
        <v>7</v>
      </c>
      <c r="C390" s="132" t="s">
        <v>8</v>
      </c>
      <c r="D390" s="130" t="s">
        <v>7</v>
      </c>
      <c r="E390" s="131" t="s">
        <v>8</v>
      </c>
      <c r="F390" s="130" t="s">
        <v>7</v>
      </c>
      <c r="G390" s="129" t="s">
        <v>6</v>
      </c>
      <c r="H390" s="1"/>
    </row>
    <row r="391" spans="1:8" ht="15.75" customHeight="1">
      <c r="A391" s="14" t="s">
        <v>5</v>
      </c>
      <c r="B391" s="123">
        <v>7388.854556259007</v>
      </c>
      <c r="C391" s="12">
        <v>0.25033165530037271</v>
      </c>
      <c r="D391" s="123">
        <v>22127.406770711979</v>
      </c>
      <c r="E391" s="12">
        <v>0.74966834469962929</v>
      </c>
      <c r="F391" s="123">
        <v>29516.261326970925</v>
      </c>
      <c r="G391" s="10">
        <v>1</v>
      </c>
      <c r="H391" s="1"/>
    </row>
    <row r="392" spans="1:8">
      <c r="A392" s="9" t="s">
        <v>2</v>
      </c>
      <c r="B392" s="128">
        <v>511.38691600486243</v>
      </c>
      <c r="C392" s="8">
        <v>0.19438800164582637</v>
      </c>
      <c r="D392" s="122">
        <v>2119.3665856264156</v>
      </c>
      <c r="E392" s="8">
        <v>0.80561199835417741</v>
      </c>
      <c r="F392" s="122">
        <v>2630.7535016312681</v>
      </c>
      <c r="G392" s="6">
        <v>8.9128954120872267E-2</v>
      </c>
      <c r="H392" s="1"/>
    </row>
    <row r="393" spans="1:8">
      <c r="A393" s="9" t="s">
        <v>1</v>
      </c>
      <c r="B393" s="128">
        <v>3337.617368652147</v>
      </c>
      <c r="C393" s="8">
        <v>0.21898696398328493</v>
      </c>
      <c r="D393" s="122">
        <v>11903.551822162819</v>
      </c>
      <c r="E393" s="8">
        <v>0.78101303601671557</v>
      </c>
      <c r="F393" s="122">
        <v>15241.169190814957</v>
      </c>
      <c r="G393" s="6">
        <v>0.51636516637315821</v>
      </c>
      <c r="H393" s="1"/>
    </row>
    <row r="394" spans="1:8" ht="15.75" thickBot="1">
      <c r="A394" s="9" t="s">
        <v>0</v>
      </c>
      <c r="B394" s="128">
        <v>3539.8502716020012</v>
      </c>
      <c r="C394" s="8">
        <v>0.30399753757646403</v>
      </c>
      <c r="D394" s="122">
        <v>8104.4883629227243</v>
      </c>
      <c r="E394" s="8">
        <v>0.69600246242353625</v>
      </c>
      <c r="F394" s="122">
        <v>11644.338634524724</v>
      </c>
      <c r="G394" s="6">
        <v>0.39450587950597032</v>
      </c>
      <c r="H394" s="1"/>
    </row>
    <row r="395" spans="1:8" ht="15" customHeight="1">
      <c r="A395" s="13" t="s">
        <v>4</v>
      </c>
      <c r="B395" s="123">
        <v>4600.7995672948509</v>
      </c>
      <c r="C395" s="12">
        <v>0.26988050119304691</v>
      </c>
      <c r="D395" s="123">
        <v>12446.743871213434</v>
      </c>
      <c r="E395" s="12">
        <v>0.7301194988069537</v>
      </c>
      <c r="F395" s="123">
        <v>17047.543438508274</v>
      </c>
      <c r="G395" s="10">
        <v>1</v>
      </c>
      <c r="H395" s="1"/>
    </row>
    <row r="396" spans="1:8">
      <c r="A396" s="9" t="s">
        <v>2</v>
      </c>
      <c r="B396" s="122">
        <v>283.9014108964584</v>
      </c>
      <c r="C396" s="8">
        <v>0.26375682723487559</v>
      </c>
      <c r="D396" s="122">
        <v>792.47418048735881</v>
      </c>
      <c r="E396" s="8">
        <v>0.73624317276512485</v>
      </c>
      <c r="F396" s="122">
        <v>1076.3755913838168</v>
      </c>
      <c r="G396" s="6">
        <v>6.3139630367646915E-2</v>
      </c>
      <c r="H396" s="1"/>
    </row>
    <row r="397" spans="1:8">
      <c r="A397" s="9" t="s">
        <v>1</v>
      </c>
      <c r="B397" s="122">
        <v>1704.5025101172225</v>
      </c>
      <c r="C397" s="8">
        <v>0.23151794108200532</v>
      </c>
      <c r="D397" s="122">
        <v>5657.7887324153635</v>
      </c>
      <c r="E397" s="8">
        <v>0.76848205891799493</v>
      </c>
      <c r="F397" s="122">
        <v>7362.291242532584</v>
      </c>
      <c r="G397" s="6">
        <v>0.43186816147962331</v>
      </c>
      <c r="H397" s="1"/>
    </row>
    <row r="398" spans="1:8" ht="15.75" thickBot="1">
      <c r="A398" s="9" t="s">
        <v>0</v>
      </c>
      <c r="B398" s="122">
        <v>2612.3956462811698</v>
      </c>
      <c r="C398" s="8">
        <v>0.30345372181171099</v>
      </c>
      <c r="D398" s="122">
        <v>5996.4809583107117</v>
      </c>
      <c r="E398" s="8">
        <v>0.69654627818828985</v>
      </c>
      <c r="F398" s="122">
        <v>8608.8766045918746</v>
      </c>
      <c r="G398" s="6">
        <v>0.50499220815272994</v>
      </c>
      <c r="H398" s="1"/>
    </row>
    <row r="399" spans="1:8" ht="15.75" customHeight="1">
      <c r="A399" s="13" t="s">
        <v>3</v>
      </c>
      <c r="B399" s="123">
        <v>2679.9707430112735</v>
      </c>
      <c r="C399" s="12">
        <v>0.29736021841471855</v>
      </c>
      <c r="D399" s="123">
        <v>6332.5688539082121</v>
      </c>
      <c r="E399" s="12">
        <v>0.70263978158528306</v>
      </c>
      <c r="F399" s="123">
        <v>9012.5395969194706</v>
      </c>
      <c r="G399" s="10">
        <v>1</v>
      </c>
      <c r="H399" s="1"/>
    </row>
    <row r="400" spans="1:8">
      <c r="A400" s="9" t="s">
        <v>2</v>
      </c>
      <c r="B400" s="122">
        <v>279.87221224529128</v>
      </c>
      <c r="C400" s="8">
        <v>0.33800970333874447</v>
      </c>
      <c r="D400" s="122">
        <v>548.12831401418987</v>
      </c>
      <c r="E400" s="8">
        <v>0.66199029666125642</v>
      </c>
      <c r="F400" s="122">
        <v>828.00052625948047</v>
      </c>
      <c r="G400" s="6">
        <v>9.1872054192415981E-2</v>
      </c>
      <c r="H400" s="1"/>
    </row>
    <row r="401" spans="1:8">
      <c r="A401" s="9" t="s">
        <v>1</v>
      </c>
      <c r="B401" s="122">
        <v>511.99102537747262</v>
      </c>
      <c r="C401" s="8">
        <v>0.34895329132082159</v>
      </c>
      <c r="D401" s="122">
        <v>955.2283363873546</v>
      </c>
      <c r="E401" s="8">
        <v>0.65104670867917658</v>
      </c>
      <c r="F401" s="122">
        <v>1467.21936176483</v>
      </c>
      <c r="G401" s="6">
        <v>0.16279754956819636</v>
      </c>
      <c r="H401" s="1"/>
    </row>
    <row r="402" spans="1:8" ht="15.75" thickBot="1">
      <c r="A402" s="5" t="s">
        <v>0</v>
      </c>
      <c r="B402" s="121">
        <v>1888.1075053885072</v>
      </c>
      <c r="C402" s="4">
        <v>0.28108048853000756</v>
      </c>
      <c r="D402" s="121">
        <v>4829.2122035066786</v>
      </c>
      <c r="E402" s="4">
        <v>0.71891951146999222</v>
      </c>
      <c r="F402" s="121">
        <v>6717.3197088951874</v>
      </c>
      <c r="G402" s="2">
        <v>0.74533039623939079</v>
      </c>
      <c r="H402" s="1"/>
    </row>
    <row r="406" spans="1:8" ht="15.75" thickBot="1"/>
    <row r="407" spans="1:8" ht="25.5" customHeight="1">
      <c r="A407" s="602" t="s">
        <v>13</v>
      </c>
      <c r="B407" s="655" t="s">
        <v>328</v>
      </c>
      <c r="C407" s="581"/>
      <c r="D407" s="581"/>
      <c r="E407" s="581"/>
      <c r="F407" s="581"/>
      <c r="G407" s="656"/>
      <c r="H407" s="1"/>
    </row>
    <row r="408" spans="1:8">
      <c r="A408" s="603"/>
      <c r="B408" s="647" t="s">
        <v>27</v>
      </c>
      <c r="C408" s="648"/>
      <c r="D408" s="649" t="s">
        <v>26</v>
      </c>
      <c r="E408" s="648"/>
      <c r="F408" s="654" t="s">
        <v>9</v>
      </c>
      <c r="G408" s="657"/>
      <c r="H408" s="1"/>
    </row>
    <row r="409" spans="1:8" ht="15.75" thickBot="1">
      <c r="A409" s="604"/>
      <c r="B409" s="124" t="s">
        <v>7</v>
      </c>
      <c r="C409" s="16" t="s">
        <v>8</v>
      </c>
      <c r="D409" s="16" t="s">
        <v>7</v>
      </c>
      <c r="E409" s="16" t="s">
        <v>8</v>
      </c>
      <c r="F409" s="16" t="s">
        <v>7</v>
      </c>
      <c r="G409" s="16" t="s">
        <v>6</v>
      </c>
      <c r="H409" s="1"/>
    </row>
    <row r="410" spans="1:8" ht="15.75" customHeight="1">
      <c r="A410" s="14" t="s">
        <v>5</v>
      </c>
      <c r="B410" s="123">
        <v>20122.470119125515</v>
      </c>
      <c r="C410" s="12">
        <v>0.90939125075242833</v>
      </c>
      <c r="D410" s="123">
        <v>2004.9366515864597</v>
      </c>
      <c r="E410" s="12">
        <v>9.0608749247571604E-2</v>
      </c>
      <c r="F410" s="123">
        <v>22127.406770711979</v>
      </c>
      <c r="G410" s="10">
        <v>1</v>
      </c>
      <c r="H410" s="1"/>
    </row>
    <row r="411" spans="1:8">
      <c r="A411" s="9" t="s">
        <v>2</v>
      </c>
      <c r="B411" s="122">
        <v>1865.6733543400862</v>
      </c>
      <c r="C411" s="8">
        <v>0.88029761674696505</v>
      </c>
      <c r="D411" s="122">
        <v>253.69323128633062</v>
      </c>
      <c r="E411" s="8">
        <v>0.11970238325303556</v>
      </c>
      <c r="F411" s="122">
        <v>2119.3665856264156</v>
      </c>
      <c r="G411" s="6">
        <v>9.57801611181852E-2</v>
      </c>
      <c r="H411" s="1"/>
    </row>
    <row r="412" spans="1:8">
      <c r="A412" s="9" t="s">
        <v>1</v>
      </c>
      <c r="B412" s="122">
        <v>11204.050084975097</v>
      </c>
      <c r="C412" s="8">
        <v>0.9412358808834399</v>
      </c>
      <c r="D412" s="122">
        <v>699.50173718772396</v>
      </c>
      <c r="E412" s="8">
        <v>5.8764119116560272E-2</v>
      </c>
      <c r="F412" s="122">
        <v>11903.551822162819</v>
      </c>
      <c r="G412" s="6">
        <v>0.53795512260019818</v>
      </c>
      <c r="H412" s="1"/>
    </row>
    <row r="413" spans="1:8" ht="15.75" thickBot="1">
      <c r="A413" s="9" t="s">
        <v>0</v>
      </c>
      <c r="B413" s="122">
        <v>7052.7466798103196</v>
      </c>
      <c r="C413" s="8">
        <v>0.87022725729066086</v>
      </c>
      <c r="D413" s="122">
        <v>1051.7416831124044</v>
      </c>
      <c r="E413" s="8">
        <v>0.12977274270933919</v>
      </c>
      <c r="F413" s="122">
        <v>8104.4883629227243</v>
      </c>
      <c r="G413" s="6">
        <v>0.36626471628161567</v>
      </c>
      <c r="H413" s="1"/>
    </row>
    <row r="414" spans="1:8" ht="15" customHeight="1">
      <c r="A414" s="13" t="s">
        <v>4</v>
      </c>
      <c r="B414" s="123">
        <v>10177.370342568045</v>
      </c>
      <c r="C414" s="12">
        <v>0.81767331664195753</v>
      </c>
      <c r="D414" s="123">
        <v>2269.3735286453816</v>
      </c>
      <c r="E414" s="12">
        <v>0.182326683358042</v>
      </c>
      <c r="F414" s="123">
        <v>12446.743871213434</v>
      </c>
      <c r="G414" s="10">
        <v>1</v>
      </c>
      <c r="H414" s="1"/>
    </row>
    <row r="415" spans="1:8">
      <c r="A415" s="9" t="s">
        <v>2</v>
      </c>
      <c r="B415" s="122">
        <v>729.4237405828228</v>
      </c>
      <c r="C415" s="8">
        <v>0.92043849319385895</v>
      </c>
      <c r="D415" s="122">
        <v>63.050439904536049</v>
      </c>
      <c r="E415" s="8">
        <v>7.9561506806141047E-2</v>
      </c>
      <c r="F415" s="122">
        <v>792.47418048735881</v>
      </c>
      <c r="G415" s="6">
        <v>6.3669196432986491E-2</v>
      </c>
      <c r="H415" s="1"/>
    </row>
    <row r="416" spans="1:8">
      <c r="A416" s="9" t="s">
        <v>1</v>
      </c>
      <c r="B416" s="122">
        <v>5126.0470931535347</v>
      </c>
      <c r="C416" s="8">
        <v>0.90601599592870907</v>
      </c>
      <c r="D416" s="122">
        <v>531.74163926182996</v>
      </c>
      <c r="E416" s="8">
        <v>9.3984004071291011E-2</v>
      </c>
      <c r="F416" s="122">
        <v>5657.7887324153635</v>
      </c>
      <c r="G416" s="6">
        <v>0.45455974598309018</v>
      </c>
      <c r="H416" s="1"/>
    </row>
    <row r="417" spans="1:8" ht="15.75" thickBot="1">
      <c r="A417" s="9" t="s">
        <v>0</v>
      </c>
      <c r="B417" s="122">
        <v>4321.8995088316997</v>
      </c>
      <c r="C417" s="8">
        <v>0.72073930341458736</v>
      </c>
      <c r="D417" s="122">
        <v>1674.5814494790159</v>
      </c>
      <c r="E417" s="8">
        <v>0.27926069658541325</v>
      </c>
      <c r="F417" s="122">
        <v>5996.4809583107117</v>
      </c>
      <c r="G417" s="6">
        <v>0.4817710575839233</v>
      </c>
      <c r="H417" s="1"/>
    </row>
    <row r="418" spans="1:8" ht="15.75" customHeight="1">
      <c r="A418" s="13" t="s">
        <v>3</v>
      </c>
      <c r="B418" s="123">
        <v>4891.1003930902916</v>
      </c>
      <c r="C418" s="12">
        <v>0.77237224038577923</v>
      </c>
      <c r="D418" s="123">
        <v>1441.4684608179275</v>
      </c>
      <c r="E418" s="12">
        <v>0.22762775961422196</v>
      </c>
      <c r="F418" s="123">
        <v>6332.5688539082121</v>
      </c>
      <c r="G418" s="10">
        <v>1</v>
      </c>
      <c r="H418" s="1"/>
    </row>
    <row r="419" spans="1:8">
      <c r="A419" s="9" t="s">
        <v>2</v>
      </c>
      <c r="B419" s="122">
        <v>468.71486322889274</v>
      </c>
      <c r="C419" s="8">
        <v>0.85511886769045597</v>
      </c>
      <c r="D419" s="122">
        <v>79.413450785297186</v>
      </c>
      <c r="E419" s="8">
        <v>0.14488113230954411</v>
      </c>
      <c r="F419" s="122">
        <v>548.12831401418987</v>
      </c>
      <c r="G419" s="6">
        <v>8.6557023959701079E-2</v>
      </c>
      <c r="H419" s="1"/>
    </row>
    <row r="420" spans="1:8">
      <c r="A420" s="9" t="s">
        <v>1</v>
      </c>
      <c r="B420" s="122">
        <v>761.13480590459778</v>
      </c>
      <c r="C420" s="8">
        <v>0.79680928309056154</v>
      </c>
      <c r="D420" s="122">
        <v>194.09353048275665</v>
      </c>
      <c r="E420" s="8">
        <v>0.2031907169094383</v>
      </c>
      <c r="F420" s="122">
        <v>955.2283363873546</v>
      </c>
      <c r="G420" s="6">
        <v>0.15084373473457383</v>
      </c>
      <c r="H420" s="1"/>
    </row>
    <row r="421" spans="1:8" ht="15.75" thickBot="1">
      <c r="A421" s="5" t="s">
        <v>0</v>
      </c>
      <c r="B421" s="121">
        <v>3661.2507239568072</v>
      </c>
      <c r="C421" s="4">
        <v>0.75814658160977699</v>
      </c>
      <c r="D421" s="121">
        <v>1167.9614795498735</v>
      </c>
      <c r="E421" s="4">
        <v>0.24185341839022342</v>
      </c>
      <c r="F421" s="121">
        <v>4829.2122035066786</v>
      </c>
      <c r="G421" s="2">
        <v>0.76259924130572687</v>
      </c>
      <c r="H421" s="1"/>
    </row>
    <row r="426" spans="1:8" ht="15.75" thickBot="1"/>
    <row r="427" spans="1:8" ht="42" customHeight="1">
      <c r="A427" s="602" t="s">
        <v>13</v>
      </c>
      <c r="B427" s="642" t="s">
        <v>329</v>
      </c>
      <c r="C427" s="589"/>
      <c r="D427" s="589"/>
      <c r="E427" s="589"/>
      <c r="F427" s="589"/>
      <c r="G427" s="590"/>
      <c r="H427" s="1"/>
    </row>
    <row r="428" spans="1:8">
      <c r="A428" s="603"/>
      <c r="B428" s="647" t="s">
        <v>27</v>
      </c>
      <c r="C428" s="648"/>
      <c r="D428" s="649" t="s">
        <v>26</v>
      </c>
      <c r="E428" s="648"/>
      <c r="F428" s="654" t="s">
        <v>9</v>
      </c>
      <c r="G428" s="653"/>
      <c r="H428" s="1"/>
    </row>
    <row r="429" spans="1:8" ht="15.75" thickBot="1">
      <c r="A429" s="604"/>
      <c r="B429" s="124" t="s">
        <v>7</v>
      </c>
      <c r="C429" s="16" t="s">
        <v>8</v>
      </c>
      <c r="D429" s="16" t="s">
        <v>7</v>
      </c>
      <c r="E429" s="16" t="s">
        <v>8</v>
      </c>
      <c r="F429" s="16" t="s">
        <v>7</v>
      </c>
      <c r="G429" s="15" t="s">
        <v>6</v>
      </c>
      <c r="H429" s="1"/>
    </row>
    <row r="430" spans="1:8" ht="15.75" customHeight="1">
      <c r="A430" s="14" t="s">
        <v>5</v>
      </c>
      <c r="B430" s="123">
        <v>12720.702106500017</v>
      </c>
      <c r="C430" s="12">
        <v>0.63216405744311099</v>
      </c>
      <c r="D430" s="123">
        <v>7401.7676174999997</v>
      </c>
      <c r="E430" s="12">
        <v>0.36783594255688834</v>
      </c>
      <c r="F430" s="123">
        <v>20122.469724000031</v>
      </c>
      <c r="G430" s="10">
        <v>1</v>
      </c>
      <c r="H430" s="1"/>
    </row>
    <row r="431" spans="1:8">
      <c r="A431" s="9" t="s">
        <v>2</v>
      </c>
      <c r="B431" s="122">
        <v>982.82858350000026</v>
      </c>
      <c r="C431" s="8">
        <v>0.52679564915167798</v>
      </c>
      <c r="D431" s="122">
        <v>882.84472849999975</v>
      </c>
      <c r="E431" s="8">
        <v>0.47320435084832285</v>
      </c>
      <c r="F431" s="122">
        <v>1865.6733119999985</v>
      </c>
      <c r="G431" s="6">
        <v>9.271592093761799E-2</v>
      </c>
      <c r="H431" s="1"/>
    </row>
    <row r="432" spans="1:8">
      <c r="A432" s="9" t="s">
        <v>1</v>
      </c>
      <c r="B432" s="122">
        <v>6895.2993140000071</v>
      </c>
      <c r="C432" s="8">
        <v>0.61542919949754782</v>
      </c>
      <c r="D432" s="122">
        <v>4308.7503469999965</v>
      </c>
      <c r="E432" s="8">
        <v>0.38457080050245174</v>
      </c>
      <c r="F432" s="122">
        <v>11204.049661000008</v>
      </c>
      <c r="G432" s="6">
        <v>0.55679296898814368</v>
      </c>
      <c r="H432" s="1"/>
    </row>
    <row r="433" spans="1:26" ht="15.75" thickBot="1">
      <c r="A433" s="9" t="s">
        <v>0</v>
      </c>
      <c r="B433" s="122">
        <v>4842.5742090000003</v>
      </c>
      <c r="C433" s="8">
        <v>0.68662244370441594</v>
      </c>
      <c r="D433" s="122">
        <v>2210.1725420000002</v>
      </c>
      <c r="E433" s="8">
        <v>0.31337755629558406</v>
      </c>
      <c r="F433" s="122">
        <v>7052.7467509999997</v>
      </c>
      <c r="G433" s="6">
        <v>0.35049111007423717</v>
      </c>
      <c r="H433" s="1"/>
    </row>
    <row r="434" spans="1:26" ht="15" customHeight="1">
      <c r="A434" s="13" t="s">
        <v>4</v>
      </c>
      <c r="B434" s="123">
        <v>5771.3188649721669</v>
      </c>
      <c r="C434" s="12">
        <v>0.56707368118785551</v>
      </c>
      <c r="D434" s="123">
        <v>4406.0514775958864</v>
      </c>
      <c r="E434" s="12">
        <v>0.43292631881214533</v>
      </c>
      <c r="F434" s="123">
        <v>10177.370342568045</v>
      </c>
      <c r="G434" s="10">
        <v>1</v>
      </c>
      <c r="H434" s="1"/>
    </row>
    <row r="435" spans="1:26">
      <c r="A435" s="9" t="s">
        <v>2</v>
      </c>
      <c r="B435" s="122">
        <v>421.45623559561272</v>
      </c>
      <c r="C435" s="8">
        <v>0.57779341711425725</v>
      </c>
      <c r="D435" s="122">
        <v>307.9675049872103</v>
      </c>
      <c r="E435" s="8">
        <v>0.42220658288574309</v>
      </c>
      <c r="F435" s="122">
        <v>729.4237405828228</v>
      </c>
      <c r="G435" s="6">
        <v>7.1671140582545423E-2</v>
      </c>
      <c r="H435" s="1"/>
    </row>
    <row r="436" spans="1:26">
      <c r="A436" s="9" t="s">
        <v>1</v>
      </c>
      <c r="B436" s="122">
        <v>2727.0870386039355</v>
      </c>
      <c r="C436" s="8">
        <v>0.53200584954560703</v>
      </c>
      <c r="D436" s="122">
        <v>2398.9600545496005</v>
      </c>
      <c r="E436" s="8">
        <v>0.46799415045439324</v>
      </c>
      <c r="F436" s="122">
        <v>5126.0470931535347</v>
      </c>
      <c r="G436" s="6">
        <v>0.50367107814807932</v>
      </c>
      <c r="H436" s="1"/>
    </row>
    <row r="437" spans="1:26" ht="15.75" thickBot="1">
      <c r="A437" s="9" t="s">
        <v>0</v>
      </c>
      <c r="B437" s="122">
        <v>2622.7755907726228</v>
      </c>
      <c r="C437" s="8">
        <v>0.60685714358074327</v>
      </c>
      <c r="D437" s="122">
        <v>1699.1239180590762</v>
      </c>
      <c r="E437" s="8">
        <v>0.3931428564192565</v>
      </c>
      <c r="F437" s="122">
        <v>4321.8995088316997</v>
      </c>
      <c r="G437" s="6">
        <v>0.42465778126937642</v>
      </c>
      <c r="H437" s="1"/>
    </row>
    <row r="438" spans="1:26" ht="15.75" customHeight="1">
      <c r="A438" s="13" t="s">
        <v>3</v>
      </c>
      <c r="B438" s="123">
        <v>2331.1965533397074</v>
      </c>
      <c r="C438" s="12">
        <v>0.47662005806157914</v>
      </c>
      <c r="D438" s="123">
        <v>2559.9038397505933</v>
      </c>
      <c r="E438" s="12">
        <v>0.52337994193842274</v>
      </c>
      <c r="F438" s="123">
        <v>4891.1003930902916</v>
      </c>
      <c r="G438" s="10">
        <v>1</v>
      </c>
      <c r="H438" s="1"/>
    </row>
    <row r="439" spans="1:26">
      <c r="A439" s="9" t="s">
        <v>2</v>
      </c>
      <c r="B439" s="122">
        <v>230.1320723403233</v>
      </c>
      <c r="C439" s="8">
        <v>0.490985224481649</v>
      </c>
      <c r="D439" s="122">
        <v>238.58279088857009</v>
      </c>
      <c r="E439" s="8">
        <v>0.50901477551835239</v>
      </c>
      <c r="F439" s="122">
        <v>468.71486322889274</v>
      </c>
      <c r="G439" s="6">
        <v>9.5830145684813808E-2</v>
      </c>
      <c r="H439" s="1"/>
    </row>
    <row r="440" spans="1:26">
      <c r="A440" s="9" t="s">
        <v>1</v>
      </c>
      <c r="B440" s="122">
        <v>318.2208918234378</v>
      </c>
      <c r="C440" s="8">
        <v>0.41808742597868304</v>
      </c>
      <c r="D440" s="122">
        <v>442.91391408115936</v>
      </c>
      <c r="E440" s="8">
        <v>0.58191257402131624</v>
      </c>
      <c r="F440" s="122">
        <v>761.13480590459778</v>
      </c>
      <c r="G440" s="6">
        <v>0.15561627133637676</v>
      </c>
      <c r="H440" s="1"/>
    </row>
    <row r="441" spans="1:26" ht="15.75" thickBot="1">
      <c r="A441" s="5" t="s">
        <v>0</v>
      </c>
      <c r="B441" s="121">
        <v>1782.8435891759443</v>
      </c>
      <c r="C441" s="4">
        <v>0.48694933059628859</v>
      </c>
      <c r="D441" s="121">
        <v>1878.4071347808638</v>
      </c>
      <c r="E441" s="4">
        <v>0.51305066940371158</v>
      </c>
      <c r="F441" s="121">
        <v>3661.2507239568072</v>
      </c>
      <c r="G441" s="2">
        <v>0.74855358297881069</v>
      </c>
      <c r="H441" s="1"/>
    </row>
    <row r="446" spans="1:26" ht="15.75" thickBot="1"/>
    <row r="447" spans="1:26" ht="15" customHeight="1">
      <c r="A447" s="602" t="s">
        <v>13</v>
      </c>
      <c r="B447" s="642" t="s">
        <v>330</v>
      </c>
      <c r="C447" s="589"/>
      <c r="D447" s="589"/>
      <c r="E447" s="589"/>
      <c r="F447" s="589"/>
      <c r="G447" s="589"/>
      <c r="H447" s="589"/>
      <c r="I447" s="589"/>
      <c r="J447" s="589"/>
      <c r="K447" s="589"/>
      <c r="L447" s="589"/>
      <c r="M447" s="589"/>
      <c r="N447" s="589"/>
      <c r="O447" s="589"/>
      <c r="P447" s="589"/>
      <c r="Q447" s="589"/>
      <c r="R447" s="589"/>
      <c r="S447" s="589"/>
      <c r="T447" s="589"/>
      <c r="U447" s="589"/>
      <c r="V447" s="589"/>
      <c r="W447" s="589"/>
      <c r="X447" s="589"/>
      <c r="Y447" s="590"/>
      <c r="Z447" s="1"/>
    </row>
    <row r="448" spans="1:26" ht="34.5" customHeight="1">
      <c r="A448" s="603"/>
      <c r="B448" s="650" t="s">
        <v>165</v>
      </c>
      <c r="C448" s="648"/>
      <c r="D448" s="651" t="s">
        <v>164</v>
      </c>
      <c r="E448" s="648"/>
      <c r="F448" s="651" t="s">
        <v>163</v>
      </c>
      <c r="G448" s="648"/>
      <c r="H448" s="651" t="s">
        <v>162</v>
      </c>
      <c r="I448" s="648"/>
      <c r="J448" s="651" t="s">
        <v>161</v>
      </c>
      <c r="K448" s="648"/>
      <c r="L448" s="651" t="s">
        <v>160</v>
      </c>
      <c r="M448" s="648"/>
      <c r="N448" s="651" t="s">
        <v>58</v>
      </c>
      <c r="O448" s="648"/>
      <c r="P448" s="651" t="s">
        <v>159</v>
      </c>
      <c r="Q448" s="648"/>
      <c r="R448" s="651" t="s">
        <v>158</v>
      </c>
      <c r="S448" s="648"/>
      <c r="T448" s="651" t="s">
        <v>56</v>
      </c>
      <c r="U448" s="648"/>
      <c r="V448" s="651" t="s">
        <v>157</v>
      </c>
      <c r="W448" s="648"/>
      <c r="X448" s="652" t="s">
        <v>9</v>
      </c>
      <c r="Y448" s="653"/>
      <c r="Z448" s="1"/>
    </row>
    <row r="449" spans="1:26" ht="15.75" thickBot="1">
      <c r="A449" s="604"/>
      <c r="B449" s="124" t="s">
        <v>7</v>
      </c>
      <c r="C449" s="16" t="s">
        <v>8</v>
      </c>
      <c r="D449" s="16" t="s">
        <v>7</v>
      </c>
      <c r="E449" s="16" t="s">
        <v>8</v>
      </c>
      <c r="F449" s="16" t="s">
        <v>7</v>
      </c>
      <c r="G449" s="16" t="s">
        <v>8</v>
      </c>
      <c r="H449" s="16" t="s">
        <v>7</v>
      </c>
      <c r="I449" s="16" t="s">
        <v>8</v>
      </c>
      <c r="J449" s="16" t="s">
        <v>7</v>
      </c>
      <c r="K449" s="16" t="s">
        <v>8</v>
      </c>
      <c r="L449" s="16" t="s">
        <v>7</v>
      </c>
      <c r="M449" s="16" t="s">
        <v>8</v>
      </c>
      <c r="N449" s="16" t="s">
        <v>7</v>
      </c>
      <c r="O449" s="16" t="s">
        <v>8</v>
      </c>
      <c r="P449" s="16" t="s">
        <v>7</v>
      </c>
      <c r="Q449" s="16" t="s">
        <v>8</v>
      </c>
      <c r="R449" s="16" t="s">
        <v>7</v>
      </c>
      <c r="S449" s="16" t="s">
        <v>8</v>
      </c>
      <c r="T449" s="16" t="s">
        <v>7</v>
      </c>
      <c r="U449" s="16" t="s">
        <v>8</v>
      </c>
      <c r="V449" s="16" t="s">
        <v>7</v>
      </c>
      <c r="W449" s="16" t="s">
        <v>8</v>
      </c>
      <c r="X449" s="16" t="s">
        <v>7</v>
      </c>
      <c r="Y449" s="15" t="s">
        <v>6</v>
      </c>
      <c r="Z449" s="1"/>
    </row>
    <row r="450" spans="1:26" ht="15.75" customHeight="1">
      <c r="A450" s="14" t="s">
        <v>5</v>
      </c>
      <c r="B450" s="123">
        <v>91.675581999999991</v>
      </c>
      <c r="C450" s="12">
        <v>1.2385633640166087E-2</v>
      </c>
      <c r="D450" s="123">
        <v>1793.689355</v>
      </c>
      <c r="E450" s="12">
        <v>0.24233256806917042</v>
      </c>
      <c r="F450" s="123">
        <v>150.43101199999995</v>
      </c>
      <c r="G450" s="12">
        <v>2.0323660478658623E-2</v>
      </c>
      <c r="H450" s="123">
        <v>310.977619</v>
      </c>
      <c r="I450" s="12">
        <v>4.2013966807706256E-2</v>
      </c>
      <c r="J450" s="123">
        <v>51.747953000000003</v>
      </c>
      <c r="K450" s="12">
        <v>6.9912966299634036E-3</v>
      </c>
      <c r="L450" s="123">
        <v>181.97991099999999</v>
      </c>
      <c r="M450" s="12">
        <v>2.4586007073465109E-2</v>
      </c>
      <c r="N450" s="123">
        <v>0</v>
      </c>
      <c r="O450" s="12">
        <v>0</v>
      </c>
      <c r="P450" s="123">
        <v>57.082385000000002</v>
      </c>
      <c r="Q450" s="12">
        <v>7.7119936682475843E-3</v>
      </c>
      <c r="R450" s="123">
        <v>408.80354900000003</v>
      </c>
      <c r="S450" s="12">
        <v>5.5230530074122527E-2</v>
      </c>
      <c r="T450" s="123">
        <v>617.14726699999994</v>
      </c>
      <c r="U450" s="12">
        <v>8.3378362965743288E-2</v>
      </c>
      <c r="V450" s="123">
        <v>3738.232984499999</v>
      </c>
      <c r="W450" s="12">
        <v>0.50504598059275663</v>
      </c>
      <c r="X450" s="123">
        <v>7401.7676174999997</v>
      </c>
      <c r="Y450" s="12">
        <v>1</v>
      </c>
      <c r="Z450" s="1"/>
    </row>
    <row r="451" spans="1:26">
      <c r="A451" s="9" t="s">
        <v>2</v>
      </c>
      <c r="B451" s="122">
        <v>10.881852</v>
      </c>
      <c r="C451" s="8">
        <v>1.2325895651536422E-2</v>
      </c>
      <c r="D451" s="122">
        <v>93.592246000000017</v>
      </c>
      <c r="E451" s="8">
        <v>0.10601212532470827</v>
      </c>
      <c r="F451" s="122">
        <v>20.033203999999998</v>
      </c>
      <c r="G451" s="8">
        <v>2.2691650471807739E-2</v>
      </c>
      <c r="H451" s="122">
        <v>48.922038000000001</v>
      </c>
      <c r="I451" s="8">
        <v>5.5414090859579747E-2</v>
      </c>
      <c r="J451" s="122">
        <v>6.108333</v>
      </c>
      <c r="K451" s="8">
        <v>6.9189210772979117E-3</v>
      </c>
      <c r="L451" s="122">
        <v>13.924871</v>
      </c>
      <c r="M451" s="8">
        <v>1.5772729394509834E-2</v>
      </c>
      <c r="N451" s="122">
        <v>0</v>
      </c>
      <c r="O451" s="8">
        <v>0</v>
      </c>
      <c r="P451" s="122">
        <v>27.052812000000003</v>
      </c>
      <c r="Q451" s="8">
        <v>3.0642774574827183E-2</v>
      </c>
      <c r="R451" s="122">
        <v>42.845213000000008</v>
      </c>
      <c r="S451" s="8">
        <v>4.8530858957266824E-2</v>
      </c>
      <c r="T451" s="122">
        <v>30.003780999999996</v>
      </c>
      <c r="U451" s="8">
        <v>3.3985343097622633E-2</v>
      </c>
      <c r="V451" s="122">
        <v>589.48037850000014</v>
      </c>
      <c r="W451" s="8">
        <v>0.66770561059084388</v>
      </c>
      <c r="X451" s="122">
        <v>882.84472849999975</v>
      </c>
      <c r="Y451" s="8">
        <v>0.11927485083599354</v>
      </c>
      <c r="Z451" s="1"/>
    </row>
    <row r="452" spans="1:26">
      <c r="A452" s="9" t="s">
        <v>1</v>
      </c>
      <c r="B452" s="122">
        <v>80.793729999999996</v>
      </c>
      <c r="C452" s="8">
        <v>1.8751081750710691E-2</v>
      </c>
      <c r="D452" s="122">
        <v>853.26837599999976</v>
      </c>
      <c r="E452" s="8">
        <v>0.19803151895168283</v>
      </c>
      <c r="F452" s="122">
        <v>58.025908000000001</v>
      </c>
      <c r="G452" s="8">
        <v>1.3466992359026098E-2</v>
      </c>
      <c r="H452" s="122">
        <v>190.38394099999999</v>
      </c>
      <c r="I452" s="8">
        <v>4.4185419360060256E-2</v>
      </c>
      <c r="J452" s="122">
        <v>45.639620000000001</v>
      </c>
      <c r="K452" s="8">
        <v>1.0592310142029224E-2</v>
      </c>
      <c r="L452" s="122">
        <v>80.793729999999996</v>
      </c>
      <c r="M452" s="8">
        <v>1.8751081750710691E-2</v>
      </c>
      <c r="N452" s="122">
        <v>0</v>
      </c>
      <c r="O452" s="8">
        <v>0</v>
      </c>
      <c r="P452" s="122">
        <v>30.029572999999999</v>
      </c>
      <c r="Q452" s="8">
        <v>6.9694390673872165E-3</v>
      </c>
      <c r="R452" s="122">
        <v>122.921616</v>
      </c>
      <c r="S452" s="8">
        <v>2.8528368111553553E-2</v>
      </c>
      <c r="T452" s="122">
        <v>380.25327600000003</v>
      </c>
      <c r="U452" s="8">
        <v>8.825140594760951E-2</v>
      </c>
      <c r="V452" s="122">
        <v>2466.6405769999978</v>
      </c>
      <c r="W452" s="8">
        <v>0.57247238255923028</v>
      </c>
      <c r="X452" s="122">
        <v>4308.7503469999965</v>
      </c>
      <c r="Y452" s="8">
        <v>0.58212450993635867</v>
      </c>
      <c r="Z452" s="1"/>
    </row>
    <row r="453" spans="1:26" ht="15.75" thickBot="1">
      <c r="A453" s="9" t="s">
        <v>0</v>
      </c>
      <c r="B453" s="122">
        <v>0</v>
      </c>
      <c r="C453" s="8">
        <v>0</v>
      </c>
      <c r="D453" s="122">
        <v>846.82873300000017</v>
      </c>
      <c r="E453" s="8">
        <v>0.38315050834614889</v>
      </c>
      <c r="F453" s="122">
        <v>72.371899999999997</v>
      </c>
      <c r="G453" s="8">
        <v>3.2744909560097138E-2</v>
      </c>
      <c r="H453" s="122">
        <v>71.671639999999996</v>
      </c>
      <c r="I453" s="8">
        <v>3.2428074567944748E-2</v>
      </c>
      <c r="J453" s="122">
        <v>0</v>
      </c>
      <c r="K453" s="8">
        <v>0</v>
      </c>
      <c r="L453" s="122">
        <v>87.261309999999995</v>
      </c>
      <c r="M453" s="8">
        <v>3.9481673191467954E-2</v>
      </c>
      <c r="N453" s="122">
        <v>0</v>
      </c>
      <c r="O453" s="8">
        <v>0</v>
      </c>
      <c r="P453" s="122">
        <v>0</v>
      </c>
      <c r="Q453" s="8">
        <v>0</v>
      </c>
      <c r="R453" s="122">
        <v>243.03672</v>
      </c>
      <c r="S453" s="8">
        <v>0.10996278135827098</v>
      </c>
      <c r="T453" s="122">
        <v>206.89021</v>
      </c>
      <c r="U453" s="8">
        <v>9.3608171338869145E-2</v>
      </c>
      <c r="V453" s="122">
        <v>682.11202899999989</v>
      </c>
      <c r="W453" s="8">
        <v>0.30862388163720111</v>
      </c>
      <c r="X453" s="122">
        <v>2210.1725420000002</v>
      </c>
      <c r="Y453" s="8">
        <v>0.29860063922764735</v>
      </c>
      <c r="Z453" s="1"/>
    </row>
    <row r="454" spans="1:26" ht="15" customHeight="1">
      <c r="A454" s="13" t="s">
        <v>4</v>
      </c>
      <c r="B454" s="123">
        <v>0</v>
      </c>
      <c r="C454" s="12">
        <v>0</v>
      </c>
      <c r="D454" s="123">
        <v>955.52587563411146</v>
      </c>
      <c r="E454" s="12">
        <v>0.21686670718506529</v>
      </c>
      <c r="F454" s="123">
        <v>306.35129131114991</v>
      </c>
      <c r="G454" s="12">
        <v>6.9529666838642368E-2</v>
      </c>
      <c r="H454" s="123">
        <v>133.6592528560318</v>
      </c>
      <c r="I454" s="12">
        <v>3.0335381585001705E-2</v>
      </c>
      <c r="J454" s="123">
        <v>72.982762499515133</v>
      </c>
      <c r="K454" s="12">
        <v>1.6564210125692262E-2</v>
      </c>
      <c r="L454" s="123">
        <v>138.91005291005291</v>
      </c>
      <c r="M454" s="12">
        <v>3.1527106212078951E-2</v>
      </c>
      <c r="N454" s="123">
        <v>15.172413793103448</v>
      </c>
      <c r="O454" s="12">
        <v>3.4435398383911098E-3</v>
      </c>
      <c r="P454" s="123">
        <v>222.6458019670182</v>
      </c>
      <c r="Q454" s="12">
        <v>5.0531820406352228E-2</v>
      </c>
      <c r="R454" s="123">
        <v>419.48450331887909</v>
      </c>
      <c r="S454" s="12">
        <v>9.5206446282322194E-2</v>
      </c>
      <c r="T454" s="123">
        <v>364.87820006592727</v>
      </c>
      <c r="U454" s="12">
        <v>8.2812968010310004E-2</v>
      </c>
      <c r="V454" s="123">
        <v>1776.441323240098</v>
      </c>
      <c r="W454" s="12">
        <v>0.40318215351614406</v>
      </c>
      <c r="X454" s="123">
        <v>4406.0514775958864</v>
      </c>
      <c r="Y454" s="12">
        <v>1</v>
      </c>
      <c r="Z454" s="1"/>
    </row>
    <row r="455" spans="1:26">
      <c r="A455" s="9" t="s">
        <v>2</v>
      </c>
      <c r="B455" s="122">
        <v>0</v>
      </c>
      <c r="C455" s="8">
        <v>0</v>
      </c>
      <c r="D455" s="122">
        <v>85.974870344620243</v>
      </c>
      <c r="E455" s="8">
        <v>0.27916864264036795</v>
      </c>
      <c r="F455" s="122">
        <v>0</v>
      </c>
      <c r="G455" s="8">
        <v>0</v>
      </c>
      <c r="H455" s="122">
        <v>16.513559322033899</v>
      </c>
      <c r="I455" s="8">
        <v>5.3621109547644305E-2</v>
      </c>
      <c r="J455" s="122">
        <v>16.814285714285713</v>
      </c>
      <c r="K455" s="8">
        <v>5.4597596960705319E-2</v>
      </c>
      <c r="L455" s="122">
        <v>0</v>
      </c>
      <c r="M455" s="8">
        <v>0</v>
      </c>
      <c r="N455" s="122">
        <v>0</v>
      </c>
      <c r="O455" s="8">
        <v>0</v>
      </c>
      <c r="P455" s="122">
        <v>0</v>
      </c>
      <c r="Q455" s="8">
        <v>0</v>
      </c>
      <c r="R455" s="122">
        <v>29.340677966101694</v>
      </c>
      <c r="S455" s="8">
        <v>9.527199295691989E-2</v>
      </c>
      <c r="T455" s="122">
        <v>29.354468412942992</v>
      </c>
      <c r="U455" s="8">
        <v>9.5316771859297517E-2</v>
      </c>
      <c r="V455" s="122">
        <v>129.96964322722573</v>
      </c>
      <c r="W455" s="8">
        <v>0.42202388603506491</v>
      </c>
      <c r="X455" s="122">
        <v>307.9675049872103</v>
      </c>
      <c r="Y455" s="8">
        <v>6.9896483632381295E-2</v>
      </c>
      <c r="Z455" s="1"/>
    </row>
    <row r="456" spans="1:26">
      <c r="A456" s="9" t="s">
        <v>1</v>
      </c>
      <c r="B456" s="122">
        <v>0</v>
      </c>
      <c r="C456" s="8">
        <v>0</v>
      </c>
      <c r="D456" s="122">
        <v>613.57691043992452</v>
      </c>
      <c r="E456" s="8">
        <v>0.25576787294823139</v>
      </c>
      <c r="F456" s="122">
        <v>71.670150960272721</v>
      </c>
      <c r="G456" s="8">
        <v>2.9875508274658884E-2</v>
      </c>
      <c r="H456" s="122">
        <v>117.14569353399791</v>
      </c>
      <c r="I456" s="8">
        <v>4.8831865004101437E-2</v>
      </c>
      <c r="J456" s="122">
        <v>56.16847678522943</v>
      </c>
      <c r="K456" s="8">
        <v>2.3413677388544486E-2</v>
      </c>
      <c r="L456" s="122">
        <v>0</v>
      </c>
      <c r="M456" s="8">
        <v>0</v>
      </c>
      <c r="N456" s="122">
        <v>15.172413793103448</v>
      </c>
      <c r="O456" s="8">
        <v>6.3245795878631404E-3</v>
      </c>
      <c r="P456" s="122">
        <v>165.85334913682948</v>
      </c>
      <c r="Q456" s="8">
        <v>6.9135519293991782E-2</v>
      </c>
      <c r="R456" s="122">
        <v>121.84585662933698</v>
      </c>
      <c r="S456" s="8">
        <v>5.0791115257737489E-2</v>
      </c>
      <c r="T456" s="122">
        <v>102.55527748453012</v>
      </c>
      <c r="U456" s="8">
        <v>4.2749889599051558E-2</v>
      </c>
      <c r="V456" s="122">
        <v>1134.9719257863758</v>
      </c>
      <c r="W456" s="8">
        <v>0.47310997264581978</v>
      </c>
      <c r="X456" s="122">
        <v>2398.9600545496005</v>
      </c>
      <c r="Y456" s="8">
        <v>0.54446936599537121</v>
      </c>
      <c r="Z456" s="1"/>
    </row>
    <row r="457" spans="1:26" ht="15.75" thickBot="1">
      <c r="A457" s="9" t="s">
        <v>0</v>
      </c>
      <c r="B457" s="122">
        <v>0</v>
      </c>
      <c r="C457" s="8">
        <v>0</v>
      </c>
      <c r="D457" s="122">
        <v>255.97409484956654</v>
      </c>
      <c r="E457" s="8">
        <v>0.15065063361709835</v>
      </c>
      <c r="F457" s="122">
        <v>234.68114035087717</v>
      </c>
      <c r="G457" s="8">
        <v>0.13811890813646802</v>
      </c>
      <c r="H457" s="122">
        <v>0</v>
      </c>
      <c r="I457" s="8">
        <v>0</v>
      </c>
      <c r="J457" s="122">
        <v>0</v>
      </c>
      <c r="K457" s="8">
        <v>0</v>
      </c>
      <c r="L457" s="122">
        <v>138.91005291005291</v>
      </c>
      <c r="M457" s="8">
        <v>8.1753927087749464E-2</v>
      </c>
      <c r="N457" s="122">
        <v>0</v>
      </c>
      <c r="O457" s="8">
        <v>0</v>
      </c>
      <c r="P457" s="122">
        <v>56.79245283018868</v>
      </c>
      <c r="Q457" s="8">
        <v>3.3424550279454124E-2</v>
      </c>
      <c r="R457" s="122">
        <v>268.29796872344042</v>
      </c>
      <c r="S457" s="8">
        <v>0.1579037090066506</v>
      </c>
      <c r="T457" s="122">
        <v>232.96845416845417</v>
      </c>
      <c r="U457" s="8">
        <v>0.1371109262204819</v>
      </c>
      <c r="V457" s="122">
        <v>511.49975422649607</v>
      </c>
      <c r="W457" s="8">
        <v>0.30103734565209733</v>
      </c>
      <c r="X457" s="122">
        <v>1699.1239180590762</v>
      </c>
      <c r="Y457" s="8">
        <v>0.38563415037224774</v>
      </c>
      <c r="Z457" s="1"/>
    </row>
    <row r="458" spans="1:26" ht="15.75" customHeight="1">
      <c r="A458" s="13" t="s">
        <v>3</v>
      </c>
      <c r="B458" s="123">
        <v>68.086489505242753</v>
      </c>
      <c r="C458" s="12">
        <v>2.6597284026057908E-2</v>
      </c>
      <c r="D458" s="123">
        <v>944.83491409482201</v>
      </c>
      <c r="E458" s="12">
        <v>0.36909000229745959</v>
      </c>
      <c r="F458" s="123">
        <v>93.318176246106333</v>
      </c>
      <c r="G458" s="12">
        <v>3.6453781894869204E-2</v>
      </c>
      <c r="H458" s="123">
        <v>219.37799224306858</v>
      </c>
      <c r="I458" s="12">
        <v>8.5697747249928791E-2</v>
      </c>
      <c r="J458" s="123">
        <v>22.067329617489364</v>
      </c>
      <c r="K458" s="12">
        <v>8.6203744354863502E-3</v>
      </c>
      <c r="L458" s="123">
        <v>101.04932724540944</v>
      </c>
      <c r="M458" s="12">
        <v>3.947387619655842E-2</v>
      </c>
      <c r="N458" s="123">
        <v>95.6640625</v>
      </c>
      <c r="O458" s="12">
        <v>3.7370178135019465E-2</v>
      </c>
      <c r="P458" s="123">
        <v>65.810979530596939</v>
      </c>
      <c r="Q458" s="12">
        <v>2.5708379552650998E-2</v>
      </c>
      <c r="R458" s="123">
        <v>172.96271281530665</v>
      </c>
      <c r="S458" s="12">
        <v>6.756609765160479E-2</v>
      </c>
      <c r="T458" s="123">
        <v>57.01215252421985</v>
      </c>
      <c r="U458" s="12">
        <v>2.2271208644217836E-2</v>
      </c>
      <c r="V458" s="123">
        <v>719.71970342833049</v>
      </c>
      <c r="W458" s="12">
        <v>0.2811510699161463</v>
      </c>
      <c r="X458" s="123">
        <v>2559.9038397505933</v>
      </c>
      <c r="Y458" s="12">
        <v>1</v>
      </c>
      <c r="Z458" s="1"/>
    </row>
    <row r="459" spans="1:26">
      <c r="A459" s="9" t="s">
        <v>2</v>
      </c>
      <c r="B459" s="122">
        <v>0</v>
      </c>
      <c r="C459" s="8">
        <v>0</v>
      </c>
      <c r="D459" s="122">
        <v>108.39156940215013</v>
      </c>
      <c r="E459" s="8">
        <v>0.45431428226009113</v>
      </c>
      <c r="F459" s="122">
        <v>10.070292014569405</v>
      </c>
      <c r="G459" s="8">
        <v>4.2208794595217591E-2</v>
      </c>
      <c r="H459" s="122">
        <v>5.4680511182108624</v>
      </c>
      <c r="I459" s="8">
        <v>2.2918883201281316E-2</v>
      </c>
      <c r="J459" s="122">
        <v>13.038758188917933</v>
      </c>
      <c r="K459" s="8">
        <v>5.4650874609844247E-2</v>
      </c>
      <c r="L459" s="122">
        <v>0</v>
      </c>
      <c r="M459" s="8">
        <v>0</v>
      </c>
      <c r="N459" s="122">
        <v>0</v>
      </c>
      <c r="O459" s="8">
        <v>0</v>
      </c>
      <c r="P459" s="122">
        <v>0</v>
      </c>
      <c r="Q459" s="8">
        <v>0</v>
      </c>
      <c r="R459" s="122">
        <v>16.830839078526989</v>
      </c>
      <c r="S459" s="8">
        <v>7.0545067462086233E-2</v>
      </c>
      <c r="T459" s="122">
        <v>0</v>
      </c>
      <c r="U459" s="8">
        <v>0</v>
      </c>
      <c r="V459" s="122">
        <v>84.783281086194663</v>
      </c>
      <c r="W459" s="8">
        <v>0.35536209787147904</v>
      </c>
      <c r="X459" s="122">
        <v>238.58279088857009</v>
      </c>
      <c r="Y459" s="8">
        <v>9.3199903521303668E-2</v>
      </c>
      <c r="Z459" s="1"/>
    </row>
    <row r="460" spans="1:26">
      <c r="A460" s="9" t="s">
        <v>1</v>
      </c>
      <c r="B460" s="122">
        <v>24.049314784053159</v>
      </c>
      <c r="C460" s="8">
        <v>5.4297943730091024E-2</v>
      </c>
      <c r="D460" s="122">
        <v>152.73158456148093</v>
      </c>
      <c r="E460" s="8">
        <v>0.34483356631125039</v>
      </c>
      <c r="F460" s="122">
        <v>11.057884231536926</v>
      </c>
      <c r="G460" s="8">
        <v>2.496621551047205E-2</v>
      </c>
      <c r="H460" s="122">
        <v>29.115027088679785</v>
      </c>
      <c r="I460" s="8">
        <v>6.573518275911458E-2</v>
      </c>
      <c r="J460" s="122">
        <v>9.0285714285714285</v>
      </c>
      <c r="K460" s="8">
        <v>2.0384483624321263E-2</v>
      </c>
      <c r="L460" s="122">
        <v>11.057884231536926</v>
      </c>
      <c r="M460" s="8">
        <v>2.496621551047205E-2</v>
      </c>
      <c r="N460" s="122">
        <v>0</v>
      </c>
      <c r="O460" s="8">
        <v>0</v>
      </c>
      <c r="P460" s="122">
        <v>9.5448504983388709</v>
      </c>
      <c r="Q460" s="8">
        <v>2.1550125644934869E-2</v>
      </c>
      <c r="R460" s="122">
        <v>52.688449015590081</v>
      </c>
      <c r="S460" s="8">
        <v>0.11895866745323216</v>
      </c>
      <c r="T460" s="122">
        <v>11.057884231536926</v>
      </c>
      <c r="U460" s="8">
        <v>2.496621551047205E-2</v>
      </c>
      <c r="V460" s="122">
        <v>132.58246400983458</v>
      </c>
      <c r="W460" s="8">
        <v>0.29934138394564014</v>
      </c>
      <c r="X460" s="122">
        <v>442.91391408115936</v>
      </c>
      <c r="Y460" s="8">
        <v>0.17301974675904688</v>
      </c>
      <c r="Z460" s="1"/>
    </row>
    <row r="461" spans="1:26" ht="15.75" thickBot="1">
      <c r="A461" s="5" t="s">
        <v>0</v>
      </c>
      <c r="B461" s="121">
        <v>44.037174721189594</v>
      </c>
      <c r="C461" s="4">
        <v>2.3443892384026211E-2</v>
      </c>
      <c r="D461" s="121">
        <v>683.71176013119089</v>
      </c>
      <c r="E461" s="4">
        <v>0.36398486114723638</v>
      </c>
      <c r="F461" s="121">
        <v>72.19</v>
      </c>
      <c r="G461" s="4">
        <v>3.8431497976833297E-2</v>
      </c>
      <c r="H461" s="121">
        <v>184.79491403617789</v>
      </c>
      <c r="I461" s="4">
        <v>9.8378520084644039E-2</v>
      </c>
      <c r="J461" s="121">
        <v>0</v>
      </c>
      <c r="K461" s="4">
        <v>0</v>
      </c>
      <c r="L461" s="121">
        <v>89.991443013872527</v>
      </c>
      <c r="M461" s="4">
        <v>4.7908380109709804E-2</v>
      </c>
      <c r="N461" s="121">
        <v>95.6640625</v>
      </c>
      <c r="O461" s="4">
        <v>5.0928289575071402E-2</v>
      </c>
      <c r="P461" s="121">
        <v>56.266129032258064</v>
      </c>
      <c r="Q461" s="4">
        <v>2.9954171271193614E-2</v>
      </c>
      <c r="R461" s="121">
        <v>103.44342472118959</v>
      </c>
      <c r="S461" s="4">
        <v>5.5069757139342083E-2</v>
      </c>
      <c r="T461" s="121">
        <v>45.954268292682926</v>
      </c>
      <c r="U461" s="4">
        <v>2.4464487725683593E-2</v>
      </c>
      <c r="V461" s="121">
        <v>502.35395833230143</v>
      </c>
      <c r="W461" s="4">
        <v>0.26743614258625908</v>
      </c>
      <c r="X461" s="121">
        <v>1878.4071347808638</v>
      </c>
      <c r="Y461" s="4">
        <v>0.73378034971964934</v>
      </c>
      <c r="Z461" s="1"/>
    </row>
    <row r="466" spans="1:22" ht="15.75" thickBot="1"/>
    <row r="467" spans="1:22" ht="15" customHeight="1">
      <c r="A467" s="602" t="s">
        <v>13</v>
      </c>
      <c r="B467" s="642" t="s">
        <v>331</v>
      </c>
      <c r="C467" s="589"/>
      <c r="D467" s="589"/>
      <c r="E467" s="589"/>
      <c r="F467" s="589"/>
      <c r="G467" s="589"/>
      <c r="H467" s="589"/>
      <c r="I467" s="589"/>
      <c r="J467" s="589"/>
      <c r="K467" s="589"/>
      <c r="L467" s="589"/>
      <c r="M467" s="589"/>
      <c r="N467" s="589"/>
      <c r="O467" s="589"/>
      <c r="P467" s="589"/>
      <c r="Q467" s="589"/>
      <c r="R467" s="589"/>
      <c r="S467" s="589"/>
      <c r="T467" s="589"/>
      <c r="U467" s="590"/>
      <c r="V467" s="1"/>
    </row>
    <row r="468" spans="1:22" ht="30" customHeight="1">
      <c r="A468" s="603"/>
      <c r="B468" s="647" t="s">
        <v>91</v>
      </c>
      <c r="C468" s="648"/>
      <c r="D468" s="649" t="s">
        <v>90</v>
      </c>
      <c r="E468" s="648"/>
      <c r="F468" s="649" t="s">
        <v>89</v>
      </c>
      <c r="G468" s="648"/>
      <c r="H468" s="649" t="s">
        <v>88</v>
      </c>
      <c r="I468" s="648"/>
      <c r="J468" s="649" t="s">
        <v>76</v>
      </c>
      <c r="K468" s="648"/>
      <c r="L468" s="649" t="s">
        <v>0</v>
      </c>
      <c r="M468" s="648"/>
      <c r="N468" s="649" t="s">
        <v>75</v>
      </c>
      <c r="O468" s="648"/>
      <c r="P468" s="649" t="s">
        <v>74</v>
      </c>
      <c r="Q468" s="648"/>
      <c r="R468" s="649" t="s">
        <v>73</v>
      </c>
      <c r="S468" s="648"/>
      <c r="T468" s="654" t="s">
        <v>9</v>
      </c>
      <c r="U468" s="653"/>
      <c r="V468" s="1"/>
    </row>
    <row r="469" spans="1:22" ht="15.75" thickBot="1">
      <c r="A469" s="604"/>
      <c r="B469" s="124" t="s">
        <v>7</v>
      </c>
      <c r="C469" s="16" t="s">
        <v>8</v>
      </c>
      <c r="D469" s="16" t="s">
        <v>7</v>
      </c>
      <c r="E469" s="16" t="s">
        <v>8</v>
      </c>
      <c r="F469" s="16" t="s">
        <v>7</v>
      </c>
      <c r="G469" s="16" t="s">
        <v>8</v>
      </c>
      <c r="H469" s="16" t="s">
        <v>7</v>
      </c>
      <c r="I469" s="16" t="s">
        <v>8</v>
      </c>
      <c r="J469" s="16" t="s">
        <v>7</v>
      </c>
      <c r="K469" s="16" t="s">
        <v>8</v>
      </c>
      <c r="L469" s="16" t="s">
        <v>7</v>
      </c>
      <c r="M469" s="16" t="s">
        <v>8</v>
      </c>
      <c r="N469" s="16" t="s">
        <v>7</v>
      </c>
      <c r="O469" s="16" t="s">
        <v>8</v>
      </c>
      <c r="P469" s="16" t="s">
        <v>7</v>
      </c>
      <c r="Q469" s="16" t="s">
        <v>8</v>
      </c>
      <c r="R469" s="16" t="s">
        <v>7</v>
      </c>
      <c r="S469" s="16" t="s">
        <v>8</v>
      </c>
      <c r="T469" s="16" t="s">
        <v>7</v>
      </c>
      <c r="U469" s="15" t="s">
        <v>6</v>
      </c>
      <c r="V469" s="1"/>
    </row>
    <row r="470" spans="1:22" ht="15.75" customHeight="1">
      <c r="A470" s="14" t="s">
        <v>5</v>
      </c>
      <c r="B470" s="123">
        <v>105.06654300000001</v>
      </c>
      <c r="C470" s="12">
        <v>2.8105937600904508E-2</v>
      </c>
      <c r="D470" s="123">
        <v>14.850269000000001</v>
      </c>
      <c r="E470" s="12">
        <v>3.9725370413172022E-3</v>
      </c>
      <c r="F470" s="123">
        <v>6.9052629999999997</v>
      </c>
      <c r="G470" s="12">
        <v>1.8471997407950756E-3</v>
      </c>
      <c r="H470" s="123">
        <v>148.86741299999997</v>
      </c>
      <c r="I470" s="12">
        <v>3.9822936028132944E-2</v>
      </c>
      <c r="J470" s="123">
        <v>290.71750500000002</v>
      </c>
      <c r="K470" s="12">
        <v>7.7768696120711273E-2</v>
      </c>
      <c r="L470" s="123">
        <v>2701.4594604999984</v>
      </c>
      <c r="M470" s="12">
        <v>0.72265679311620745</v>
      </c>
      <c r="N470" s="123">
        <v>155.33290399999998</v>
      </c>
      <c r="O470" s="12">
        <v>4.155249409120932E-2</v>
      </c>
      <c r="P470" s="123">
        <v>247.71982200000002</v>
      </c>
      <c r="Q470" s="12">
        <v>6.6266555088227971E-2</v>
      </c>
      <c r="R470" s="123">
        <v>67.313805000000002</v>
      </c>
      <c r="S470" s="12">
        <v>1.800685117249412E-2</v>
      </c>
      <c r="T470" s="123">
        <v>3738.232984499999</v>
      </c>
      <c r="U470" s="10">
        <v>1</v>
      </c>
      <c r="V470" s="1"/>
    </row>
    <row r="471" spans="1:22">
      <c r="A471" s="9" t="s">
        <v>2</v>
      </c>
      <c r="B471" s="122">
        <v>6.9052629999999997</v>
      </c>
      <c r="C471" s="8">
        <v>1.1714152416016334E-2</v>
      </c>
      <c r="D471" s="122">
        <v>14.850269000000001</v>
      </c>
      <c r="E471" s="8">
        <v>2.5192134533448252E-2</v>
      </c>
      <c r="F471" s="122">
        <v>6.9052629999999997</v>
      </c>
      <c r="G471" s="8">
        <v>1.1714152416016334E-2</v>
      </c>
      <c r="H471" s="122">
        <v>13.810525999999999</v>
      </c>
      <c r="I471" s="8">
        <v>2.3428304832032669E-2</v>
      </c>
      <c r="J471" s="122">
        <v>95.348697000000016</v>
      </c>
      <c r="K471" s="8">
        <v>0.16175041693945033</v>
      </c>
      <c r="L471" s="122">
        <v>436.01316150000025</v>
      </c>
      <c r="M471" s="8">
        <v>0.73965678486107611</v>
      </c>
      <c r="N471" s="122">
        <v>15.647199000000001</v>
      </c>
      <c r="O471" s="8">
        <v>2.6544054001960297E-2</v>
      </c>
      <c r="P471" s="122">
        <v>0</v>
      </c>
      <c r="Q471" s="8">
        <v>0</v>
      </c>
      <c r="R471" s="122">
        <v>0</v>
      </c>
      <c r="S471" s="8">
        <v>0</v>
      </c>
      <c r="T471" s="122">
        <v>589.48037850000014</v>
      </c>
      <c r="U471" s="6">
        <v>0.15768957711950773</v>
      </c>
      <c r="V471" s="1"/>
    </row>
    <row r="472" spans="1:22">
      <c r="A472" s="9" t="s">
        <v>1</v>
      </c>
      <c r="B472" s="122">
        <v>98.161280000000005</v>
      </c>
      <c r="C472" s="8">
        <v>3.979553442657896E-2</v>
      </c>
      <c r="D472" s="122">
        <v>0</v>
      </c>
      <c r="E472" s="8">
        <v>0</v>
      </c>
      <c r="F472" s="122">
        <v>0</v>
      </c>
      <c r="G472" s="8">
        <v>0</v>
      </c>
      <c r="H472" s="122">
        <v>80.793729999999996</v>
      </c>
      <c r="I472" s="8">
        <v>3.2754561306318798E-2</v>
      </c>
      <c r="J472" s="122">
        <v>195.36880799999997</v>
      </c>
      <c r="K472" s="8">
        <v>7.9204408547277436E-2</v>
      </c>
      <c r="L472" s="122">
        <v>2092.3167589999994</v>
      </c>
      <c r="M472" s="8">
        <v>0.84824549571982544</v>
      </c>
      <c r="N472" s="122">
        <v>0</v>
      </c>
      <c r="O472" s="8">
        <v>0</v>
      </c>
      <c r="P472" s="122">
        <v>0</v>
      </c>
      <c r="Q472" s="8">
        <v>0</v>
      </c>
      <c r="R472" s="122">
        <v>0</v>
      </c>
      <c r="S472" s="8">
        <v>0</v>
      </c>
      <c r="T472" s="122">
        <v>2466.6405769999978</v>
      </c>
      <c r="U472" s="6">
        <v>0.659841317335634</v>
      </c>
      <c r="V472" s="1"/>
    </row>
    <row r="473" spans="1:22" ht="15.75" thickBot="1">
      <c r="A473" s="9" t="s">
        <v>0</v>
      </c>
      <c r="B473" s="122">
        <v>0</v>
      </c>
      <c r="C473" s="8">
        <v>0</v>
      </c>
      <c r="D473" s="122">
        <v>0</v>
      </c>
      <c r="E473" s="8">
        <v>0</v>
      </c>
      <c r="F473" s="122">
        <v>0</v>
      </c>
      <c r="G473" s="8">
        <v>0</v>
      </c>
      <c r="H473" s="122">
        <v>54.263157</v>
      </c>
      <c r="I473" s="8">
        <v>7.955167874630753E-2</v>
      </c>
      <c r="J473" s="122">
        <v>0</v>
      </c>
      <c r="K473" s="8">
        <v>0</v>
      </c>
      <c r="L473" s="122">
        <v>173.12953999999999</v>
      </c>
      <c r="M473" s="8">
        <v>0.25381393765158189</v>
      </c>
      <c r="N473" s="122">
        <v>139.68570499999998</v>
      </c>
      <c r="O473" s="8">
        <v>0.20478411032390692</v>
      </c>
      <c r="P473" s="122">
        <v>247.71982200000002</v>
      </c>
      <c r="Q473" s="8">
        <v>0.36316588986587134</v>
      </c>
      <c r="R473" s="122">
        <v>67.313805000000002</v>
      </c>
      <c r="S473" s="8">
        <v>9.8684383412332419E-2</v>
      </c>
      <c r="T473" s="122">
        <v>682.11202899999989</v>
      </c>
      <c r="U473" s="6">
        <v>0.18246910554485801</v>
      </c>
      <c r="V473" s="1"/>
    </row>
    <row r="474" spans="1:22" ht="15" customHeight="1">
      <c r="A474" s="13" t="s">
        <v>4</v>
      </c>
      <c r="B474" s="123">
        <v>83.700542339455197</v>
      </c>
      <c r="C474" s="12">
        <v>4.7116975519794588E-2</v>
      </c>
      <c r="D474" s="123">
        <v>15.172413793103448</v>
      </c>
      <c r="E474" s="12">
        <v>8.5409034312656524E-3</v>
      </c>
      <c r="F474" s="123">
        <v>64.345713341776332</v>
      </c>
      <c r="G474" s="12">
        <v>3.6221693618573615E-2</v>
      </c>
      <c r="H474" s="123">
        <v>12.868055555555555</v>
      </c>
      <c r="I474" s="12">
        <v>7.2437267627197344E-3</v>
      </c>
      <c r="J474" s="123">
        <v>64.697946400031412</v>
      </c>
      <c r="K474" s="12">
        <v>3.6419973772073219E-2</v>
      </c>
      <c r="L474" s="123">
        <v>1164.7281014253749</v>
      </c>
      <c r="M474" s="12">
        <v>0.65565244750161344</v>
      </c>
      <c r="N474" s="123">
        <v>234.31363636363636</v>
      </c>
      <c r="O474" s="12">
        <v>0.13190057746251116</v>
      </c>
      <c r="P474" s="123">
        <v>69.021164021164026</v>
      </c>
      <c r="Q474" s="12">
        <v>3.8853613186206747E-2</v>
      </c>
      <c r="R474" s="123">
        <v>67.59375</v>
      </c>
      <c r="S474" s="12">
        <v>3.8050088745241517E-2</v>
      </c>
      <c r="T474" s="123">
        <v>1776.441323240098</v>
      </c>
      <c r="U474" s="10">
        <v>1</v>
      </c>
      <c r="V474" s="1"/>
    </row>
    <row r="475" spans="1:22">
      <c r="A475" s="9" t="s">
        <v>2</v>
      </c>
      <c r="B475" s="122">
        <v>12.093984962406015</v>
      </c>
      <c r="C475" s="8">
        <v>9.3052382557226226E-2</v>
      </c>
      <c r="D475" s="122">
        <v>0</v>
      </c>
      <c r="E475" s="8">
        <v>0</v>
      </c>
      <c r="F475" s="122">
        <v>4</v>
      </c>
      <c r="G475" s="8">
        <v>3.0776417482402455E-2</v>
      </c>
      <c r="H475" s="122">
        <v>5.1805555555555554</v>
      </c>
      <c r="I475" s="8">
        <v>3.9859735142139294E-2</v>
      </c>
      <c r="J475" s="122">
        <v>5.8636363636363633</v>
      </c>
      <c r="K475" s="8">
        <v>4.5115430173067239E-2</v>
      </c>
      <c r="L475" s="122">
        <v>96.967829981991457</v>
      </c>
      <c r="M475" s="8">
        <v>0.74608060447209779</v>
      </c>
      <c r="N475" s="122">
        <v>5.8636363636363633</v>
      </c>
      <c r="O475" s="8">
        <v>4.5115430173067239E-2</v>
      </c>
      <c r="P475" s="122">
        <v>0</v>
      </c>
      <c r="Q475" s="8">
        <v>0</v>
      </c>
      <c r="R475" s="122">
        <v>0</v>
      </c>
      <c r="S475" s="8">
        <v>0</v>
      </c>
      <c r="T475" s="122">
        <v>129.96964322722573</v>
      </c>
      <c r="U475" s="6">
        <v>7.3162924959531278E-2</v>
      </c>
      <c r="V475" s="1"/>
    </row>
    <row r="476" spans="1:22">
      <c r="A476" s="9" t="s">
        <v>1</v>
      </c>
      <c r="B476" s="122">
        <v>0</v>
      </c>
      <c r="C476" s="8">
        <v>0</v>
      </c>
      <c r="D476" s="122">
        <v>15.172413793103448</v>
      </c>
      <c r="E476" s="8">
        <v>1.3368096116202259E-2</v>
      </c>
      <c r="F476" s="122">
        <v>60.345713341776332</v>
      </c>
      <c r="G476" s="8">
        <v>5.3169344519218169E-2</v>
      </c>
      <c r="H476" s="122">
        <v>7.6875</v>
      </c>
      <c r="I476" s="8">
        <v>6.7732952906950942E-3</v>
      </c>
      <c r="J476" s="122">
        <v>58.834310036395038</v>
      </c>
      <c r="K476" s="8">
        <v>5.1837678712300432E-2</v>
      </c>
      <c r="L476" s="122">
        <v>992.93198861510086</v>
      </c>
      <c r="M476" s="8">
        <v>0.87485158536158392</v>
      </c>
      <c r="N476" s="122">
        <v>0</v>
      </c>
      <c r="O476" s="8">
        <v>0</v>
      </c>
      <c r="P476" s="122">
        <v>0</v>
      </c>
      <c r="Q476" s="8">
        <v>0</v>
      </c>
      <c r="R476" s="122">
        <v>0</v>
      </c>
      <c r="S476" s="8">
        <v>0</v>
      </c>
      <c r="T476" s="122">
        <v>1134.9719257863758</v>
      </c>
      <c r="U476" s="6">
        <v>0.63890200646552775</v>
      </c>
      <c r="V476" s="1"/>
    </row>
    <row r="477" spans="1:22" ht="15.75" thickBot="1">
      <c r="A477" s="9" t="s">
        <v>0</v>
      </c>
      <c r="B477" s="122">
        <v>71.606557377049185</v>
      </c>
      <c r="C477" s="8">
        <v>0.13999333682053197</v>
      </c>
      <c r="D477" s="122">
        <v>0</v>
      </c>
      <c r="E477" s="8">
        <v>0</v>
      </c>
      <c r="F477" s="122">
        <v>0</v>
      </c>
      <c r="G477" s="8">
        <v>0</v>
      </c>
      <c r="H477" s="122">
        <v>0</v>
      </c>
      <c r="I477" s="8">
        <v>0</v>
      </c>
      <c r="J477" s="122">
        <v>0</v>
      </c>
      <c r="K477" s="8">
        <v>0</v>
      </c>
      <c r="L477" s="122">
        <v>74.828282828282823</v>
      </c>
      <c r="M477" s="8">
        <v>0.14629192332934784</v>
      </c>
      <c r="N477" s="122">
        <v>228.45</v>
      </c>
      <c r="O477" s="8">
        <v>0.44662778058509206</v>
      </c>
      <c r="P477" s="122">
        <v>69.021164021164026</v>
      </c>
      <c r="Q477" s="8">
        <v>0.13493880192677651</v>
      </c>
      <c r="R477" s="122">
        <v>67.59375</v>
      </c>
      <c r="S477" s="8">
        <v>0.13214815733825155</v>
      </c>
      <c r="T477" s="122">
        <v>511.49975422649607</v>
      </c>
      <c r="U477" s="6">
        <v>0.28793506857494072</v>
      </c>
      <c r="V477" s="1"/>
    </row>
    <row r="478" spans="1:22" ht="15.75" customHeight="1">
      <c r="A478" s="13" t="s">
        <v>3</v>
      </c>
      <c r="B478" s="123">
        <v>0</v>
      </c>
      <c r="C478" s="12">
        <v>0</v>
      </c>
      <c r="D478" s="123">
        <v>11.057884231536926</v>
      </c>
      <c r="E478" s="12">
        <v>1.5364153821082749E-2</v>
      </c>
      <c r="F478" s="123">
        <v>9.5448504983388709</v>
      </c>
      <c r="G478" s="12">
        <v>1.3261899671320233E-2</v>
      </c>
      <c r="H478" s="123">
        <v>0</v>
      </c>
      <c r="I478" s="12">
        <v>0</v>
      </c>
      <c r="J478" s="123">
        <v>0</v>
      </c>
      <c r="K478" s="12">
        <v>0</v>
      </c>
      <c r="L478" s="123">
        <v>174.67335393529092</v>
      </c>
      <c r="M478" s="12">
        <v>0.24269636235224293</v>
      </c>
      <c r="N478" s="123">
        <v>124.52249571673329</v>
      </c>
      <c r="O478" s="12">
        <v>0.17301526569799297</v>
      </c>
      <c r="P478" s="123">
        <v>186.52181775203377</v>
      </c>
      <c r="Q478" s="12">
        <v>0.25915897100433843</v>
      </c>
      <c r="R478" s="123">
        <v>213.39930129439691</v>
      </c>
      <c r="S478" s="12">
        <v>0.29650334745302298</v>
      </c>
      <c r="T478" s="123">
        <v>719.71970342833049</v>
      </c>
      <c r="U478" s="10">
        <v>1</v>
      </c>
      <c r="V478" s="1"/>
    </row>
    <row r="479" spans="1:22">
      <c r="A479" s="9" t="s">
        <v>2</v>
      </c>
      <c r="B479" s="122">
        <v>0</v>
      </c>
      <c r="C479" s="8">
        <v>0</v>
      </c>
      <c r="D479" s="122">
        <v>0</v>
      </c>
      <c r="E479" s="8">
        <v>0</v>
      </c>
      <c r="F479" s="122">
        <v>0</v>
      </c>
      <c r="G479" s="8">
        <v>0</v>
      </c>
      <c r="H479" s="122">
        <v>0</v>
      </c>
      <c r="I479" s="8">
        <v>0</v>
      </c>
      <c r="J479" s="122">
        <v>0</v>
      </c>
      <c r="K479" s="8">
        <v>0</v>
      </c>
      <c r="L479" s="122">
        <v>73.751508886869075</v>
      </c>
      <c r="M479" s="8">
        <v>0.86988269316788802</v>
      </c>
      <c r="N479" s="122">
        <v>6.8470588235294114</v>
      </c>
      <c r="O479" s="8">
        <v>8.0759540510921837E-2</v>
      </c>
      <c r="P479" s="122">
        <v>4.1847133757961785</v>
      </c>
      <c r="Q479" s="8">
        <v>4.9357766321190176E-2</v>
      </c>
      <c r="R479" s="122">
        <v>0</v>
      </c>
      <c r="S479" s="8">
        <v>0</v>
      </c>
      <c r="T479" s="122">
        <v>84.783281086194663</v>
      </c>
      <c r="U479" s="6">
        <v>0.11780041685997465</v>
      </c>
      <c r="V479" s="1"/>
    </row>
    <row r="480" spans="1:22">
      <c r="A480" s="9" t="s">
        <v>1</v>
      </c>
      <c r="B480" s="122">
        <v>0</v>
      </c>
      <c r="C480" s="8">
        <v>0</v>
      </c>
      <c r="D480" s="122">
        <v>11.057884231536926</v>
      </c>
      <c r="E480" s="8">
        <v>8.3403822022169422E-2</v>
      </c>
      <c r="F480" s="122">
        <v>9.5448504983388709</v>
      </c>
      <c r="G480" s="8">
        <v>7.1991802005058989E-2</v>
      </c>
      <c r="H480" s="122">
        <v>0</v>
      </c>
      <c r="I480" s="8">
        <v>0</v>
      </c>
      <c r="J480" s="122">
        <v>0</v>
      </c>
      <c r="K480" s="8">
        <v>0</v>
      </c>
      <c r="L480" s="122">
        <v>100.92184504842182</v>
      </c>
      <c r="M480" s="8">
        <v>0.76120055395060193</v>
      </c>
      <c r="N480" s="122">
        <v>0</v>
      </c>
      <c r="O480" s="8">
        <v>0</v>
      </c>
      <c r="P480" s="122">
        <v>11.057884231536926</v>
      </c>
      <c r="Q480" s="8">
        <v>8.3403822022169422E-2</v>
      </c>
      <c r="R480" s="122">
        <v>0</v>
      </c>
      <c r="S480" s="8">
        <v>0</v>
      </c>
      <c r="T480" s="122">
        <v>132.58246400983458</v>
      </c>
      <c r="U480" s="6">
        <v>0.18421402579127405</v>
      </c>
      <c r="V480" s="1"/>
    </row>
    <row r="481" spans="1:22" ht="15.75" thickBot="1">
      <c r="A481" s="5" t="s">
        <v>0</v>
      </c>
      <c r="B481" s="121">
        <v>0</v>
      </c>
      <c r="C481" s="4">
        <v>0</v>
      </c>
      <c r="D481" s="121">
        <v>0</v>
      </c>
      <c r="E481" s="4">
        <v>0</v>
      </c>
      <c r="F481" s="121">
        <v>0</v>
      </c>
      <c r="G481" s="4">
        <v>0</v>
      </c>
      <c r="H481" s="121">
        <v>0</v>
      </c>
      <c r="I481" s="4">
        <v>0</v>
      </c>
      <c r="J481" s="121">
        <v>0</v>
      </c>
      <c r="K481" s="4">
        <v>0</v>
      </c>
      <c r="L481" s="121">
        <v>0</v>
      </c>
      <c r="M481" s="4">
        <v>0</v>
      </c>
      <c r="N481" s="121">
        <v>117.67543689320388</v>
      </c>
      <c r="O481" s="4">
        <v>0.23424805347181699</v>
      </c>
      <c r="P481" s="121">
        <v>171.27922014470067</v>
      </c>
      <c r="Q481" s="4">
        <v>0.34095326075125981</v>
      </c>
      <c r="R481" s="121">
        <v>213.39930129439691</v>
      </c>
      <c r="S481" s="4">
        <v>0.4247986857769232</v>
      </c>
      <c r="T481" s="121">
        <v>502.35395833230143</v>
      </c>
      <c r="U481" s="2">
        <v>0.69798555734875156</v>
      </c>
      <c r="V481" s="1"/>
    </row>
    <row r="486" spans="1:22" ht="15.75" thickBot="1"/>
    <row r="487" spans="1:22" ht="34.5" customHeight="1">
      <c r="A487" s="602" t="s">
        <v>13</v>
      </c>
      <c r="B487" s="642" t="s">
        <v>332</v>
      </c>
      <c r="C487" s="589"/>
      <c r="D487" s="589"/>
      <c r="E487" s="589"/>
      <c r="F487" s="589"/>
      <c r="G487" s="590"/>
      <c r="I487" s="1"/>
    </row>
    <row r="488" spans="1:22">
      <c r="A488" s="603"/>
      <c r="B488" s="643" t="s">
        <v>27</v>
      </c>
      <c r="C488" s="644"/>
      <c r="D488" s="645" t="s">
        <v>26</v>
      </c>
      <c r="E488" s="644"/>
      <c r="F488" s="645" t="s">
        <v>9</v>
      </c>
      <c r="G488" s="646"/>
      <c r="I488" s="1"/>
    </row>
    <row r="489" spans="1:22" ht="15.75" thickBot="1">
      <c r="A489" s="604"/>
      <c r="B489" s="124" t="s">
        <v>7</v>
      </c>
      <c r="C489" s="16" t="s">
        <v>8</v>
      </c>
      <c r="D489" s="16" t="s">
        <v>7</v>
      </c>
      <c r="E489" s="16" t="s">
        <v>8</v>
      </c>
      <c r="F489" s="16" t="s">
        <v>7</v>
      </c>
      <c r="G489" s="15" t="s">
        <v>6</v>
      </c>
      <c r="I489" s="1"/>
    </row>
    <row r="490" spans="1:22" ht="15.75" customHeight="1">
      <c r="A490" s="14" t="s">
        <v>5</v>
      </c>
      <c r="B490" s="123">
        <v>3423.889658999999</v>
      </c>
      <c r="C490" s="12">
        <v>0.63807449433610397</v>
      </c>
      <c r="D490" s="123">
        <v>1942.0820094999999</v>
      </c>
      <c r="E490" s="12">
        <v>0.36192550566389542</v>
      </c>
      <c r="F490" s="123">
        <v>5365.9716685000021</v>
      </c>
      <c r="G490" s="12">
        <v>1</v>
      </c>
      <c r="I490" s="1"/>
    </row>
    <row r="491" spans="1:22">
      <c r="A491" s="9" t="s">
        <v>2</v>
      </c>
      <c r="B491" s="122">
        <v>453.14722300000028</v>
      </c>
      <c r="C491" s="8">
        <v>0.59755355223787088</v>
      </c>
      <c r="D491" s="122">
        <v>305.19020350000011</v>
      </c>
      <c r="E491" s="8">
        <v>0.40244644776212973</v>
      </c>
      <c r="F491" s="122">
        <v>758.33742649999988</v>
      </c>
      <c r="G491" s="8">
        <v>0.14132341230045753</v>
      </c>
      <c r="I491" s="1"/>
    </row>
    <row r="492" spans="1:22">
      <c r="A492" s="9" t="s">
        <v>1</v>
      </c>
      <c r="B492" s="122">
        <v>2137.5289159999988</v>
      </c>
      <c r="C492" s="8">
        <v>0.6444819223024596</v>
      </c>
      <c r="D492" s="122">
        <v>1179.133417</v>
      </c>
      <c r="E492" s="8">
        <v>0.35551807769754085</v>
      </c>
      <c r="F492" s="122">
        <v>3316.662332999997</v>
      </c>
      <c r="G492" s="8">
        <v>0.61809165942300492</v>
      </c>
      <c r="I492" s="1"/>
    </row>
    <row r="493" spans="1:22" ht="15.75" thickBot="1">
      <c r="A493" s="9" t="s">
        <v>0</v>
      </c>
      <c r="B493" s="122">
        <v>833.21352000000002</v>
      </c>
      <c r="C493" s="8">
        <v>0.64541568580327635</v>
      </c>
      <c r="D493" s="122">
        <v>457.75838899999997</v>
      </c>
      <c r="E493" s="8">
        <v>0.35458431419672354</v>
      </c>
      <c r="F493" s="122">
        <v>1290.9719090000001</v>
      </c>
      <c r="G493" s="8">
        <v>0.24058492827653655</v>
      </c>
      <c r="I493" s="1"/>
    </row>
    <row r="494" spans="1:22" ht="15" customHeight="1">
      <c r="A494" s="13" t="s">
        <v>4</v>
      </c>
      <c r="B494" s="123">
        <v>1770.0028857566722</v>
      </c>
      <c r="C494" s="12">
        <v>0.56294680602183444</v>
      </c>
      <c r="D494" s="123">
        <v>1374.1714248939538</v>
      </c>
      <c r="E494" s="12">
        <v>0.437053193978166</v>
      </c>
      <c r="F494" s="123">
        <v>3144.1743106506246</v>
      </c>
      <c r="G494" s="12">
        <v>1</v>
      </c>
      <c r="I494" s="1"/>
    </row>
    <row r="495" spans="1:22">
      <c r="A495" s="9" t="s">
        <v>2</v>
      </c>
      <c r="B495" s="122">
        <v>141.57020969539929</v>
      </c>
      <c r="C495" s="8">
        <v>0.63772480525459085</v>
      </c>
      <c r="D495" s="122">
        <v>80.422424947190791</v>
      </c>
      <c r="E495" s="8">
        <v>0.36227519474540926</v>
      </c>
      <c r="F495" s="122">
        <v>221.99263464259005</v>
      </c>
      <c r="G495" s="8">
        <v>7.0604429878651689E-2</v>
      </c>
      <c r="I495" s="1"/>
    </row>
    <row r="496" spans="1:22">
      <c r="A496" s="9" t="s">
        <v>1</v>
      </c>
      <c r="B496" s="122">
        <v>1012.443493876127</v>
      </c>
      <c r="C496" s="8">
        <v>0.59078941335181989</v>
      </c>
      <c r="D496" s="122">
        <v>701.2694992732761</v>
      </c>
      <c r="E496" s="8">
        <v>0.40921058664818027</v>
      </c>
      <c r="F496" s="122">
        <v>1713.7129931494028</v>
      </c>
      <c r="G496" s="8">
        <v>0.54504388873872067</v>
      </c>
      <c r="I496" s="1"/>
    </row>
    <row r="497" spans="1:14" ht="15.75" thickBot="1">
      <c r="A497" s="9" t="s">
        <v>0</v>
      </c>
      <c r="B497" s="122">
        <v>615.98918218514575</v>
      </c>
      <c r="C497" s="8">
        <v>0.50972705451333966</v>
      </c>
      <c r="D497" s="122">
        <v>592.47950067348654</v>
      </c>
      <c r="E497" s="8">
        <v>0.49027294548666051</v>
      </c>
      <c r="F497" s="122">
        <v>1208.4686828586321</v>
      </c>
      <c r="G497" s="8">
        <v>0.38435168138262776</v>
      </c>
      <c r="I497" s="1"/>
    </row>
    <row r="498" spans="1:14" ht="15.75" customHeight="1">
      <c r="A498" s="13" t="s">
        <v>3</v>
      </c>
      <c r="B498" s="123">
        <v>613.02357118133739</v>
      </c>
      <c r="C498" s="12">
        <v>0.42170918560083703</v>
      </c>
      <c r="D498" s="123">
        <v>840.64068872308405</v>
      </c>
      <c r="E498" s="12">
        <v>0.57829081439916241</v>
      </c>
      <c r="F498" s="123">
        <v>1453.6642599044221</v>
      </c>
      <c r="G498" s="12">
        <v>1</v>
      </c>
      <c r="I498" s="1"/>
    </row>
    <row r="499" spans="1:14">
      <c r="A499" s="9" t="s">
        <v>2</v>
      </c>
      <c r="B499" s="122">
        <v>22.691522682924976</v>
      </c>
      <c r="C499" s="8">
        <v>0.18890565351679683</v>
      </c>
      <c r="D499" s="122">
        <v>97.429406788925505</v>
      </c>
      <c r="E499" s="8">
        <v>0.81109434648320322</v>
      </c>
      <c r="F499" s="122">
        <v>120.12092947185049</v>
      </c>
      <c r="G499" s="8">
        <v>8.2633199965821816E-2</v>
      </c>
      <c r="I499" s="1"/>
    </row>
    <row r="500" spans="1:14">
      <c r="A500" s="9" t="s">
        <v>1</v>
      </c>
      <c r="B500" s="122">
        <v>132.03751699259288</v>
      </c>
      <c r="C500" s="8">
        <v>0.51764167181510645</v>
      </c>
      <c r="D500" s="122">
        <v>123.03761351149569</v>
      </c>
      <c r="E500" s="8">
        <v>0.48235832818489349</v>
      </c>
      <c r="F500" s="122">
        <v>255.07513050408858</v>
      </c>
      <c r="G500" s="8">
        <v>0.17547045596406124</v>
      </c>
      <c r="I500" s="1"/>
    </row>
    <row r="501" spans="1:14" ht="15.75" thickBot="1">
      <c r="A501" s="5" t="s">
        <v>0</v>
      </c>
      <c r="B501" s="121">
        <v>458.29453150581946</v>
      </c>
      <c r="C501" s="4">
        <v>0.42494950851236118</v>
      </c>
      <c r="D501" s="121">
        <v>620.1736684226629</v>
      </c>
      <c r="E501" s="4">
        <v>0.57505049148763876</v>
      </c>
      <c r="F501" s="121">
        <v>1078.4681999284824</v>
      </c>
      <c r="G501" s="4">
        <v>0.74189634407011651</v>
      </c>
      <c r="I501" s="1"/>
    </row>
    <row r="506" spans="1:14" ht="15.75" thickBot="1"/>
    <row r="507" spans="1:14" ht="15" customHeight="1">
      <c r="A507" s="602" t="s">
        <v>13</v>
      </c>
      <c r="B507" s="642" t="s">
        <v>333</v>
      </c>
      <c r="C507" s="589"/>
      <c r="D507" s="589"/>
      <c r="E507" s="589"/>
      <c r="F507" s="589"/>
      <c r="G507" s="589"/>
      <c r="H507" s="589"/>
      <c r="I507" s="589"/>
      <c r="J507" s="589"/>
      <c r="K507" s="589"/>
      <c r="L507" s="589"/>
      <c r="M507" s="590"/>
      <c r="N507" s="1"/>
    </row>
    <row r="508" spans="1:14" ht="51.75" customHeight="1">
      <c r="A508" s="603"/>
      <c r="B508" s="650" t="s">
        <v>156</v>
      </c>
      <c r="C508" s="648"/>
      <c r="D508" s="651" t="s">
        <v>155</v>
      </c>
      <c r="E508" s="648"/>
      <c r="F508" s="651" t="s">
        <v>154</v>
      </c>
      <c r="G508" s="648"/>
      <c r="H508" s="651" t="s">
        <v>153</v>
      </c>
      <c r="I508" s="648"/>
      <c r="J508" s="651" t="s">
        <v>152</v>
      </c>
      <c r="K508" s="648"/>
      <c r="L508" s="652" t="s">
        <v>9</v>
      </c>
      <c r="M508" s="653"/>
      <c r="N508" s="1"/>
    </row>
    <row r="509" spans="1:14" ht="15.75" thickBot="1">
      <c r="A509" s="604"/>
      <c r="B509" s="124" t="s">
        <v>7</v>
      </c>
      <c r="C509" s="16" t="s">
        <v>8</v>
      </c>
      <c r="D509" s="16" t="s">
        <v>7</v>
      </c>
      <c r="E509" s="16" t="s">
        <v>8</v>
      </c>
      <c r="F509" s="16" t="s">
        <v>7</v>
      </c>
      <c r="G509" s="16" t="s">
        <v>8</v>
      </c>
      <c r="H509" s="16" t="s">
        <v>7</v>
      </c>
      <c r="I509" s="16" t="s">
        <v>8</v>
      </c>
      <c r="J509" s="16" t="s">
        <v>7</v>
      </c>
      <c r="K509" s="16" t="s">
        <v>8</v>
      </c>
      <c r="L509" s="16" t="s">
        <v>7</v>
      </c>
      <c r="M509" s="15" t="s">
        <v>6</v>
      </c>
      <c r="N509" s="1"/>
    </row>
    <row r="510" spans="1:14" ht="15.75" customHeight="1">
      <c r="A510" s="14" t="s">
        <v>5</v>
      </c>
      <c r="B510" s="123">
        <v>124048.34277349837</v>
      </c>
      <c r="C510" s="12">
        <v>0.61672393579881901</v>
      </c>
      <c r="D510" s="123">
        <v>32082.951797500096</v>
      </c>
      <c r="E510" s="12">
        <v>0.15950494671844334</v>
      </c>
      <c r="F510" s="123">
        <v>37016.710244100017</v>
      </c>
      <c r="G510" s="12">
        <v>0.18403382682628647</v>
      </c>
      <c r="H510" s="123">
        <v>6975.1781198000072</v>
      </c>
      <c r="I510" s="12">
        <v>3.4678087645197406E-2</v>
      </c>
      <c r="J510" s="123">
        <v>1017.6121159999998</v>
      </c>
      <c r="K510" s="12">
        <v>5.0592030112163767E-3</v>
      </c>
      <c r="L510" s="123">
        <v>201140.79505090602</v>
      </c>
      <c r="M510" s="12">
        <v>1</v>
      </c>
      <c r="N510" s="1"/>
    </row>
    <row r="511" spans="1:14">
      <c r="A511" s="9" t="s">
        <v>2</v>
      </c>
      <c r="B511" s="122">
        <v>5838.8284115000215</v>
      </c>
      <c r="C511" s="8">
        <v>0.69031593175662931</v>
      </c>
      <c r="D511" s="122">
        <v>722.37490650000063</v>
      </c>
      <c r="E511" s="8">
        <v>8.540530248773763E-2</v>
      </c>
      <c r="F511" s="122">
        <v>1585.4658680999992</v>
      </c>
      <c r="G511" s="8">
        <v>0.18744725326233883</v>
      </c>
      <c r="H511" s="122">
        <v>265.41280079999984</v>
      </c>
      <c r="I511" s="8">
        <v>3.1379357633378173E-2</v>
      </c>
      <c r="J511" s="122">
        <v>46.115402000000003</v>
      </c>
      <c r="K511" s="8">
        <v>5.4521548599136141E-3</v>
      </c>
      <c r="L511" s="122">
        <v>8458.1973889000419</v>
      </c>
      <c r="M511" s="8">
        <v>4.2051128348972601E-2</v>
      </c>
      <c r="N511" s="1"/>
    </row>
    <row r="512" spans="1:14">
      <c r="A512" s="9" t="s">
        <v>1</v>
      </c>
      <c r="B512" s="122">
        <v>45846.132021000034</v>
      </c>
      <c r="C512" s="8">
        <v>0.70439841199802766</v>
      </c>
      <c r="D512" s="122">
        <v>6652.890374000006</v>
      </c>
      <c r="E512" s="8">
        <v>0.10221768354407727</v>
      </c>
      <c r="F512" s="122">
        <v>10803.925631999999</v>
      </c>
      <c r="G512" s="8">
        <v>0.16599585882271742</v>
      </c>
      <c r="H512" s="122">
        <v>1493.3776489999998</v>
      </c>
      <c r="I512" s="8">
        <v>2.2944854845924737E-2</v>
      </c>
      <c r="J512" s="122">
        <v>289.18735200000003</v>
      </c>
      <c r="K512" s="8">
        <v>4.4431907892558426E-3</v>
      </c>
      <c r="L512" s="122">
        <v>65085.513027999841</v>
      </c>
      <c r="M512" s="8">
        <v>0.32358186220516616</v>
      </c>
      <c r="N512" s="1"/>
    </row>
    <row r="513" spans="1:14" ht="15.75" thickBot="1">
      <c r="A513" s="9" t="s">
        <v>0</v>
      </c>
      <c r="B513" s="122">
        <v>72363.382341000121</v>
      </c>
      <c r="C513" s="8">
        <v>0.56712410435213279</v>
      </c>
      <c r="D513" s="122">
        <v>24707.686517000053</v>
      </c>
      <c r="E513" s="8">
        <v>0.19363833106274977</v>
      </c>
      <c r="F513" s="122">
        <v>24627.318744000026</v>
      </c>
      <c r="G513" s="8">
        <v>0.19300847519080289</v>
      </c>
      <c r="H513" s="122">
        <v>5216.387670000001</v>
      </c>
      <c r="I513" s="8">
        <v>4.0881715165849902E-2</v>
      </c>
      <c r="J513" s="122">
        <v>682.30936199999996</v>
      </c>
      <c r="K513" s="8">
        <v>5.3473742284719343E-3</v>
      </c>
      <c r="L513" s="122">
        <v>127597.08463399927</v>
      </c>
      <c r="M513" s="8">
        <v>0.63436700944582713</v>
      </c>
      <c r="N513" s="1"/>
    </row>
    <row r="514" spans="1:14" ht="15" customHeight="1">
      <c r="A514" s="13" t="s">
        <v>4</v>
      </c>
      <c r="B514" s="123">
        <v>111416.70759251986</v>
      </c>
      <c r="C514" s="12">
        <v>0.594103650476978</v>
      </c>
      <c r="D514" s="123">
        <v>31813.733353110492</v>
      </c>
      <c r="E514" s="12">
        <v>0.16963932545474947</v>
      </c>
      <c r="F514" s="123">
        <v>36712.036693612776</v>
      </c>
      <c r="G514" s="12">
        <v>0.19575838747531268</v>
      </c>
      <c r="H514" s="123">
        <v>7060.5019471108635</v>
      </c>
      <c r="I514" s="12">
        <v>3.7648482634394333E-2</v>
      </c>
      <c r="J514" s="123">
        <v>534.51072037733331</v>
      </c>
      <c r="K514" s="12">
        <v>2.8501539585663767E-3</v>
      </c>
      <c r="L514" s="123">
        <v>187537.49030673117</v>
      </c>
      <c r="M514" s="12">
        <v>1</v>
      </c>
      <c r="N514" s="1"/>
    </row>
    <row r="515" spans="1:14">
      <c r="A515" s="9" t="s">
        <v>2</v>
      </c>
      <c r="B515" s="122">
        <v>5512.289635643534</v>
      </c>
      <c r="C515" s="8">
        <v>0.65468552517184331</v>
      </c>
      <c r="D515" s="122">
        <v>720.11364346663709</v>
      </c>
      <c r="E515" s="8">
        <v>8.5526706689701276E-2</v>
      </c>
      <c r="F515" s="122">
        <v>1874.7024489263624</v>
      </c>
      <c r="G515" s="8">
        <v>0.22265530994236485</v>
      </c>
      <c r="H515" s="122">
        <v>234.0313313642726</v>
      </c>
      <c r="I515" s="8">
        <v>2.7795514243328968E-2</v>
      </c>
      <c r="J515" s="122">
        <v>78.614750747567427</v>
      </c>
      <c r="K515" s="8">
        <v>9.3369439527674798E-3</v>
      </c>
      <c r="L515" s="122">
        <v>8419.7518101483238</v>
      </c>
      <c r="M515" s="8">
        <v>4.4896366035277586E-2</v>
      </c>
      <c r="N515" s="1"/>
    </row>
    <row r="516" spans="1:14">
      <c r="A516" s="9" t="s">
        <v>1</v>
      </c>
      <c r="B516" s="122">
        <v>43240.714557345986</v>
      </c>
      <c r="C516" s="8">
        <v>0.69617014621609885</v>
      </c>
      <c r="D516" s="122">
        <v>6867.2664061189262</v>
      </c>
      <c r="E516" s="8">
        <v>0.11056213818373471</v>
      </c>
      <c r="F516" s="122">
        <v>9919.7672445148582</v>
      </c>
      <c r="G516" s="8">
        <v>0.1597070234323954</v>
      </c>
      <c r="H516" s="122">
        <v>1864.1889630920273</v>
      </c>
      <c r="I516" s="8">
        <v>3.0013211305494895E-2</v>
      </c>
      <c r="J516" s="122">
        <v>220.34212210542648</v>
      </c>
      <c r="K516" s="8">
        <v>3.5474808622846981E-3</v>
      </c>
      <c r="L516" s="122">
        <v>62112.279293176696</v>
      </c>
      <c r="M516" s="8">
        <v>0.3311992668323947</v>
      </c>
      <c r="N516" s="1"/>
    </row>
    <row r="517" spans="1:14" ht="15.75" thickBot="1">
      <c r="A517" s="9" t="s">
        <v>0</v>
      </c>
      <c r="B517" s="122">
        <v>62663.703399530445</v>
      </c>
      <c r="C517" s="8">
        <v>0.53556221928581005</v>
      </c>
      <c r="D517" s="122">
        <v>24226.35330352488</v>
      </c>
      <c r="E517" s="8">
        <v>0.20705318767570838</v>
      </c>
      <c r="F517" s="122">
        <v>24917.567000171428</v>
      </c>
      <c r="G517" s="8">
        <v>0.21296072140406999</v>
      </c>
      <c r="H517" s="122">
        <v>4962.2816526545703</v>
      </c>
      <c r="I517" s="8">
        <v>4.2410684821364279E-2</v>
      </c>
      <c r="J517" s="122">
        <v>235.55384752433932</v>
      </c>
      <c r="K517" s="8">
        <v>2.0131868130601389E-3</v>
      </c>
      <c r="L517" s="122">
        <v>117005.45920340416</v>
      </c>
      <c r="M517" s="8">
        <v>0.62390436713231712</v>
      </c>
      <c r="N517" s="1"/>
    </row>
    <row r="518" spans="1:14" ht="15.75" customHeight="1">
      <c r="A518" s="13" t="s">
        <v>3</v>
      </c>
      <c r="B518" s="123">
        <v>72992.814652312256</v>
      </c>
      <c r="C518" s="12">
        <v>0.55605819733433404</v>
      </c>
      <c r="D518" s="123">
        <v>26738.383286148743</v>
      </c>
      <c r="E518" s="12">
        <v>0.2036926138627724</v>
      </c>
      <c r="F518" s="123">
        <v>25017.387078839594</v>
      </c>
      <c r="G518" s="12">
        <v>0.19058208985826705</v>
      </c>
      <c r="H518" s="123">
        <v>6076.5608645060165</v>
      </c>
      <c r="I518" s="12">
        <v>4.6291152031942381E-2</v>
      </c>
      <c r="J518" s="123">
        <v>443.15481447049586</v>
      </c>
      <c r="K518" s="12">
        <v>3.3759469126964149E-3</v>
      </c>
      <c r="L518" s="123">
        <v>131268.30069627549</v>
      </c>
      <c r="M518" s="12">
        <v>1</v>
      </c>
      <c r="N518" s="1"/>
    </row>
    <row r="519" spans="1:14">
      <c r="A519" s="9" t="s">
        <v>2</v>
      </c>
      <c r="B519" s="122">
        <v>4806.5488585181838</v>
      </c>
      <c r="C519" s="8">
        <v>0.65870403709439562</v>
      </c>
      <c r="D519" s="122">
        <v>614.88089067941303</v>
      </c>
      <c r="E519" s="8">
        <v>8.4265142609533883E-2</v>
      </c>
      <c r="F519" s="122">
        <v>1588.8089756564743</v>
      </c>
      <c r="G519" s="8">
        <v>0.21773520195930648</v>
      </c>
      <c r="H519" s="122">
        <v>263.48804980445772</v>
      </c>
      <c r="I519" s="8">
        <v>3.6109201683187014E-2</v>
      </c>
      <c r="J519" s="122">
        <v>23.251212178162</v>
      </c>
      <c r="K519" s="8">
        <v>3.1864166535936068E-3</v>
      </c>
      <c r="L519" s="122">
        <v>7296.9779868365704</v>
      </c>
      <c r="M519" s="8">
        <v>5.5588271868621898E-2</v>
      </c>
      <c r="N519" s="1"/>
    </row>
    <row r="520" spans="1:14">
      <c r="A520" s="9" t="s">
        <v>1</v>
      </c>
      <c r="B520" s="122">
        <v>13383.046254221956</v>
      </c>
      <c r="C520" s="8">
        <v>0.67088787841373021</v>
      </c>
      <c r="D520" s="122">
        <v>2502.5611724597647</v>
      </c>
      <c r="E520" s="8">
        <v>0.12545260052900536</v>
      </c>
      <c r="F520" s="122">
        <v>3182.3805036006247</v>
      </c>
      <c r="G520" s="8">
        <v>0.15953172871178753</v>
      </c>
      <c r="H520" s="122">
        <v>820.61944526508728</v>
      </c>
      <c r="I520" s="8">
        <v>4.1137393397655354E-2</v>
      </c>
      <c r="J520" s="122">
        <v>59.653257608160303</v>
      </c>
      <c r="K520" s="8">
        <v>2.9903989478166108E-3</v>
      </c>
      <c r="L520" s="122">
        <v>19948.260633155693</v>
      </c>
      <c r="M520" s="8">
        <v>0.15196555853428284</v>
      </c>
      <c r="N520" s="1"/>
    </row>
    <row r="521" spans="1:14" ht="15.75" thickBot="1">
      <c r="A521" s="5" t="s">
        <v>0</v>
      </c>
      <c r="B521" s="121">
        <v>54803.219539572579</v>
      </c>
      <c r="C521" s="4">
        <v>0.52683720749714913</v>
      </c>
      <c r="D521" s="121">
        <v>23620.941223009548</v>
      </c>
      <c r="E521" s="4">
        <v>0.22707408099260915</v>
      </c>
      <c r="F521" s="121">
        <v>20246.197599582454</v>
      </c>
      <c r="G521" s="4">
        <v>0.19463181717084013</v>
      </c>
      <c r="H521" s="121">
        <v>4992.4533694364827</v>
      </c>
      <c r="I521" s="4">
        <v>4.7993716679627083E-2</v>
      </c>
      <c r="J521" s="121">
        <v>360.25034468417357</v>
      </c>
      <c r="K521" s="4">
        <v>3.4631776597768777E-3</v>
      </c>
      <c r="L521" s="121">
        <v>104023.062076285</v>
      </c>
      <c r="M521" s="4">
        <v>0.79244616959710878</v>
      </c>
      <c r="N521" s="1"/>
    </row>
    <row r="526" spans="1:14" ht="15.75" thickBot="1"/>
    <row r="527" spans="1:14" ht="28.5" customHeight="1">
      <c r="A527" s="602" t="s">
        <v>13</v>
      </c>
      <c r="B527" s="642" t="s">
        <v>334</v>
      </c>
      <c r="C527" s="589"/>
      <c r="D527" s="589"/>
      <c r="E527" s="589"/>
      <c r="F527" s="589"/>
      <c r="G527" s="590"/>
      <c r="H527" s="1"/>
    </row>
    <row r="528" spans="1:14">
      <c r="A528" s="603"/>
      <c r="B528" s="647" t="s">
        <v>27</v>
      </c>
      <c r="C528" s="648"/>
      <c r="D528" s="649" t="s">
        <v>26</v>
      </c>
      <c r="E528" s="648"/>
      <c r="F528" s="654" t="s">
        <v>9</v>
      </c>
      <c r="G528" s="653"/>
      <c r="H528" s="1"/>
    </row>
    <row r="529" spans="1:8" ht="15.75" thickBot="1">
      <c r="A529" s="604"/>
      <c r="B529" s="124" t="s">
        <v>7</v>
      </c>
      <c r="C529" s="16" t="s">
        <v>8</v>
      </c>
      <c r="D529" s="16" t="s">
        <v>7</v>
      </c>
      <c r="E529" s="16" t="s">
        <v>8</v>
      </c>
      <c r="F529" s="16" t="s">
        <v>7</v>
      </c>
      <c r="G529" s="15" t="s">
        <v>6</v>
      </c>
      <c r="H529" s="1"/>
    </row>
    <row r="530" spans="1:8" ht="15.75" customHeight="1">
      <c r="A530" s="14" t="s">
        <v>5</v>
      </c>
      <c r="B530" s="123">
        <v>71985.991083699555</v>
      </c>
      <c r="C530" s="12">
        <v>0.46106061748539146</v>
      </c>
      <c r="D530" s="123">
        <v>84145.303487299359</v>
      </c>
      <c r="E530" s="12">
        <v>0.53893938251459128</v>
      </c>
      <c r="F530" s="123">
        <v>156131.29457100161</v>
      </c>
      <c r="G530" s="10">
        <v>1</v>
      </c>
      <c r="H530" s="1"/>
    </row>
    <row r="531" spans="1:8">
      <c r="A531" s="9" t="s">
        <v>2</v>
      </c>
      <c r="B531" s="122">
        <v>2884.5051437000006</v>
      </c>
      <c r="C531" s="8">
        <v>0.43963050737760861</v>
      </c>
      <c r="D531" s="122">
        <v>3676.6981743000069</v>
      </c>
      <c r="E531" s="8">
        <v>0.56036949262238855</v>
      </c>
      <c r="F531" s="122">
        <v>6561.2033180000262</v>
      </c>
      <c r="G531" s="6">
        <v>4.2023627204450555E-2</v>
      </c>
      <c r="H531" s="1"/>
    </row>
    <row r="532" spans="1:8">
      <c r="A532" s="9" t="s">
        <v>1</v>
      </c>
      <c r="B532" s="122">
        <v>22382.228895000066</v>
      </c>
      <c r="C532" s="8">
        <v>0.42633610825354645</v>
      </c>
      <c r="D532" s="122">
        <v>30116.793500000134</v>
      </c>
      <c r="E532" s="8">
        <v>0.57366389174645793</v>
      </c>
      <c r="F532" s="122">
        <v>52499.022394999971</v>
      </c>
      <c r="G532" s="6">
        <v>0.33624919680100218</v>
      </c>
      <c r="H532" s="1"/>
    </row>
    <row r="533" spans="1:8" ht="15.75" thickBot="1">
      <c r="A533" s="9" t="s">
        <v>0</v>
      </c>
      <c r="B533" s="122">
        <v>46719.257045000035</v>
      </c>
      <c r="C533" s="8">
        <v>0.48128919970319223</v>
      </c>
      <c r="D533" s="122">
        <v>50351.811813000109</v>
      </c>
      <c r="E533" s="8">
        <v>0.5187108002968146</v>
      </c>
      <c r="F533" s="122">
        <v>97071.068857999475</v>
      </c>
      <c r="G533" s="6">
        <v>0.62172717599453353</v>
      </c>
      <c r="H533" s="1"/>
    </row>
    <row r="534" spans="1:8" ht="15" customHeight="1">
      <c r="A534" s="13" t="s">
        <v>4</v>
      </c>
      <c r="B534" s="123">
        <v>49183.45956232048</v>
      </c>
      <c r="C534" s="12">
        <v>0.34338691717768588</v>
      </c>
      <c r="D534" s="123">
        <v>94046.981383309554</v>
      </c>
      <c r="E534" s="12">
        <v>0.65661308282231434</v>
      </c>
      <c r="F534" s="123">
        <v>143230.44094562999</v>
      </c>
      <c r="G534" s="10">
        <v>1</v>
      </c>
      <c r="H534" s="1"/>
    </row>
    <row r="535" spans="1:8">
      <c r="A535" s="9" t="s">
        <v>2</v>
      </c>
      <c r="B535" s="122">
        <v>2255.4479650688418</v>
      </c>
      <c r="C535" s="8">
        <v>0.36189056838293499</v>
      </c>
      <c r="D535" s="122">
        <v>3976.9553140413591</v>
      </c>
      <c r="E535" s="8">
        <v>0.63810943161707234</v>
      </c>
      <c r="F535" s="122">
        <v>6232.4032791101554</v>
      </c>
      <c r="G535" s="6">
        <v>4.3513119403688523E-2</v>
      </c>
      <c r="H535" s="1"/>
    </row>
    <row r="536" spans="1:8">
      <c r="A536" s="9" t="s">
        <v>1</v>
      </c>
      <c r="B536" s="122">
        <v>19986.014013175587</v>
      </c>
      <c r="C536" s="8">
        <v>0.39885889690402831</v>
      </c>
      <c r="D536" s="122">
        <v>30121.966950289505</v>
      </c>
      <c r="E536" s="8">
        <v>0.60114110309597923</v>
      </c>
      <c r="F536" s="122">
        <v>50107.980963464717</v>
      </c>
      <c r="G536" s="6">
        <v>0.34984170007886534</v>
      </c>
      <c r="H536" s="1"/>
    </row>
    <row r="537" spans="1:8" ht="15.75" thickBot="1">
      <c r="A537" s="9" t="s">
        <v>0</v>
      </c>
      <c r="B537" s="122">
        <v>26941.997584076045</v>
      </c>
      <c r="C537" s="8">
        <v>0.31006997355462507</v>
      </c>
      <c r="D537" s="122">
        <v>59948.059118979247</v>
      </c>
      <c r="E537" s="8">
        <v>0.68993002644538182</v>
      </c>
      <c r="F537" s="122">
        <v>86890.056703054695</v>
      </c>
      <c r="G537" s="6">
        <v>0.60664518051744321</v>
      </c>
      <c r="H537" s="1"/>
    </row>
    <row r="538" spans="1:8" ht="15.75" customHeight="1">
      <c r="A538" s="13" t="s">
        <v>3</v>
      </c>
      <c r="B538" s="123">
        <v>24086.400367298891</v>
      </c>
      <c r="C538" s="12">
        <v>0.24151319612305858</v>
      </c>
      <c r="D538" s="123">
        <v>75644.797571162213</v>
      </c>
      <c r="E538" s="12">
        <v>0.75848680387695155</v>
      </c>
      <c r="F538" s="123">
        <v>99731.1979384601</v>
      </c>
      <c r="G538" s="10">
        <v>1</v>
      </c>
      <c r="H538" s="1"/>
    </row>
    <row r="539" spans="1:8">
      <c r="A539" s="9" t="s">
        <v>2</v>
      </c>
      <c r="B539" s="122">
        <v>1582.677255131948</v>
      </c>
      <c r="C539" s="8">
        <v>0.2919298650630307</v>
      </c>
      <c r="D539" s="122">
        <v>3838.7524940656854</v>
      </c>
      <c r="E539" s="8">
        <v>0.70807013493698023</v>
      </c>
      <c r="F539" s="122">
        <v>5421.429749197574</v>
      </c>
      <c r="G539" s="6">
        <v>5.4360419420038539E-2</v>
      </c>
      <c r="H539" s="1"/>
    </row>
    <row r="540" spans="1:8">
      <c r="A540" s="9" t="s">
        <v>1</v>
      </c>
      <c r="B540" s="122">
        <v>4461.4541526677467</v>
      </c>
      <c r="C540" s="8">
        <v>0.28084882326716759</v>
      </c>
      <c r="D540" s="122">
        <v>11424.153274013946</v>
      </c>
      <c r="E540" s="8">
        <v>0.71915117673282902</v>
      </c>
      <c r="F540" s="122">
        <v>15885.607426681747</v>
      </c>
      <c r="G540" s="6">
        <v>0.15928423357036264</v>
      </c>
      <c r="H540" s="1"/>
    </row>
    <row r="541" spans="1:8" ht="15.75" thickBot="1">
      <c r="A541" s="5" t="s">
        <v>0</v>
      </c>
      <c r="B541" s="121">
        <v>18042.26895949911</v>
      </c>
      <c r="C541" s="4">
        <v>0.23006008332201991</v>
      </c>
      <c r="D541" s="121">
        <v>60381.891803082988</v>
      </c>
      <c r="E541" s="4">
        <v>0.76993991667798067</v>
      </c>
      <c r="F541" s="121">
        <v>78424.160762582047</v>
      </c>
      <c r="G541" s="2">
        <v>0.78635534700961163</v>
      </c>
      <c r="H541" s="1"/>
    </row>
    <row r="544" spans="1:8" ht="15.75" thickBot="1"/>
    <row r="545" spans="1:24" ht="15" customHeight="1">
      <c r="A545" s="602" t="s">
        <v>13</v>
      </c>
      <c r="B545" s="642" t="s">
        <v>335</v>
      </c>
      <c r="C545" s="589"/>
      <c r="D545" s="589"/>
      <c r="E545" s="589"/>
      <c r="F545" s="589"/>
      <c r="G545" s="589"/>
      <c r="H545" s="589"/>
      <c r="I545" s="589"/>
      <c r="J545" s="589"/>
      <c r="K545" s="589"/>
      <c r="L545" s="589"/>
      <c r="M545" s="589"/>
      <c r="N545" s="589"/>
      <c r="O545" s="589"/>
      <c r="P545" s="589"/>
      <c r="Q545" s="589"/>
      <c r="R545" s="589"/>
      <c r="S545" s="589"/>
      <c r="T545" s="589"/>
      <c r="U545" s="589"/>
      <c r="V545" s="589"/>
      <c r="W545" s="590"/>
      <c r="X545" s="1"/>
    </row>
    <row r="546" spans="1:24" ht="28.5" customHeight="1">
      <c r="A546" s="603"/>
      <c r="B546" s="647" t="s">
        <v>69</v>
      </c>
      <c r="C546" s="648"/>
      <c r="D546" s="649" t="s">
        <v>68</v>
      </c>
      <c r="E546" s="648"/>
      <c r="F546" s="649" t="s">
        <v>67</v>
      </c>
      <c r="G546" s="648"/>
      <c r="H546" s="649" t="s">
        <v>66</v>
      </c>
      <c r="I546" s="648"/>
      <c r="J546" s="649" t="s">
        <v>65</v>
      </c>
      <c r="K546" s="648"/>
      <c r="L546" s="649" t="s">
        <v>64</v>
      </c>
      <c r="M546" s="648"/>
      <c r="N546" s="649" t="s">
        <v>63</v>
      </c>
      <c r="O546" s="648"/>
      <c r="P546" s="649" t="s">
        <v>62</v>
      </c>
      <c r="Q546" s="648"/>
      <c r="R546" s="649" t="s">
        <v>61</v>
      </c>
      <c r="S546" s="648"/>
      <c r="T546" s="649" t="s">
        <v>60</v>
      </c>
      <c r="U546" s="648"/>
      <c r="V546" s="654" t="s">
        <v>9</v>
      </c>
      <c r="W546" s="653"/>
      <c r="X546" s="1"/>
    </row>
    <row r="547" spans="1:24" ht="15.75" thickBot="1">
      <c r="A547" s="604"/>
      <c r="B547" s="124" t="s">
        <v>7</v>
      </c>
      <c r="C547" s="16" t="s">
        <v>8</v>
      </c>
      <c r="D547" s="16" t="s">
        <v>7</v>
      </c>
      <c r="E547" s="16" t="s">
        <v>8</v>
      </c>
      <c r="F547" s="16" t="s">
        <v>7</v>
      </c>
      <c r="G547" s="16" t="s">
        <v>8</v>
      </c>
      <c r="H547" s="16" t="s">
        <v>7</v>
      </c>
      <c r="I547" s="16" t="s">
        <v>8</v>
      </c>
      <c r="J547" s="16" t="s">
        <v>7</v>
      </c>
      <c r="K547" s="16" t="s">
        <v>8</v>
      </c>
      <c r="L547" s="16" t="s">
        <v>7</v>
      </c>
      <c r="M547" s="16" t="s">
        <v>8</v>
      </c>
      <c r="N547" s="16" t="s">
        <v>7</v>
      </c>
      <c r="O547" s="16" t="s">
        <v>8</v>
      </c>
      <c r="P547" s="16" t="s">
        <v>7</v>
      </c>
      <c r="Q547" s="16" t="s">
        <v>8</v>
      </c>
      <c r="R547" s="16" t="s">
        <v>7</v>
      </c>
      <c r="S547" s="16" t="s">
        <v>8</v>
      </c>
      <c r="T547" s="16" t="s">
        <v>7</v>
      </c>
      <c r="U547" s="16" t="s">
        <v>8</v>
      </c>
      <c r="V547" s="16" t="s">
        <v>7</v>
      </c>
      <c r="W547" s="15" t="s">
        <v>6</v>
      </c>
      <c r="X547" s="1"/>
    </row>
    <row r="548" spans="1:24" ht="15.75" customHeight="1">
      <c r="A548" s="14" t="s">
        <v>5</v>
      </c>
      <c r="B548" s="123">
        <v>0</v>
      </c>
      <c r="C548" s="12">
        <v>0</v>
      </c>
      <c r="D548" s="123">
        <v>35119.345610099961</v>
      </c>
      <c r="E548" s="12">
        <v>0.22493469811158989</v>
      </c>
      <c r="F548" s="123">
        <v>18008.306613000008</v>
      </c>
      <c r="G548" s="12">
        <v>0.11534078842093137</v>
      </c>
      <c r="H548" s="123">
        <v>17758.62312199999</v>
      </c>
      <c r="I548" s="12">
        <v>0.11374159915086179</v>
      </c>
      <c r="J548" s="123">
        <v>5566.9093445000026</v>
      </c>
      <c r="K548" s="12">
        <v>3.5655307667793776E-2</v>
      </c>
      <c r="L548" s="123">
        <v>0</v>
      </c>
      <c r="M548" s="12">
        <v>0</v>
      </c>
      <c r="N548" s="123">
        <v>0</v>
      </c>
      <c r="O548" s="12">
        <v>0</v>
      </c>
      <c r="P548" s="123">
        <v>0</v>
      </c>
      <c r="Q548" s="12">
        <v>0</v>
      </c>
      <c r="R548" s="123">
        <v>0</v>
      </c>
      <c r="S548" s="12">
        <v>0</v>
      </c>
      <c r="T548" s="123">
        <v>79678.109881399214</v>
      </c>
      <c r="U548" s="12">
        <v>0.5103276066488075</v>
      </c>
      <c r="V548" s="123">
        <v>156131.29457100161</v>
      </c>
      <c r="W548" s="10">
        <v>1</v>
      </c>
      <c r="X548" s="1"/>
    </row>
    <row r="549" spans="1:24">
      <c r="A549" s="9" t="s">
        <v>2</v>
      </c>
      <c r="B549" s="122">
        <v>0</v>
      </c>
      <c r="C549" s="8">
        <v>0</v>
      </c>
      <c r="D549" s="122">
        <v>1180.1479190999996</v>
      </c>
      <c r="E549" s="8">
        <v>0.1798676038376037</v>
      </c>
      <c r="F549" s="122">
        <v>710.82812000000024</v>
      </c>
      <c r="G549" s="8">
        <v>0.10833807238527605</v>
      </c>
      <c r="H549" s="122">
        <v>455.4949510000003</v>
      </c>
      <c r="I549" s="8">
        <v>6.942247159913395E-2</v>
      </c>
      <c r="J549" s="122">
        <v>161.81169149999999</v>
      </c>
      <c r="K549" s="8">
        <v>2.4661892591574669E-2</v>
      </c>
      <c r="L549" s="122">
        <v>0</v>
      </c>
      <c r="M549" s="8">
        <v>0</v>
      </c>
      <c r="N549" s="122">
        <v>0</v>
      </c>
      <c r="O549" s="8">
        <v>0</v>
      </c>
      <c r="P549" s="122">
        <v>0</v>
      </c>
      <c r="Q549" s="8">
        <v>0</v>
      </c>
      <c r="R549" s="122">
        <v>0</v>
      </c>
      <c r="S549" s="8">
        <v>0</v>
      </c>
      <c r="T549" s="122">
        <v>4052.920636400012</v>
      </c>
      <c r="U549" s="8">
        <v>0.61770995958640951</v>
      </c>
      <c r="V549" s="122">
        <v>6561.2033180000262</v>
      </c>
      <c r="W549" s="6">
        <v>4.2023627204450555E-2</v>
      </c>
      <c r="X549" s="1"/>
    </row>
    <row r="550" spans="1:24">
      <c r="A550" s="9" t="s">
        <v>1</v>
      </c>
      <c r="B550" s="122">
        <v>0</v>
      </c>
      <c r="C550" s="8">
        <v>0</v>
      </c>
      <c r="D550" s="122">
        <v>8503.014601000019</v>
      </c>
      <c r="E550" s="8">
        <v>0.16196519883787111</v>
      </c>
      <c r="F550" s="122">
        <v>4474.1380039999995</v>
      </c>
      <c r="G550" s="8">
        <v>8.5223263213109246E-2</v>
      </c>
      <c r="H550" s="122">
        <v>4032.6104619999974</v>
      </c>
      <c r="I550" s="8">
        <v>7.6813058187233316E-2</v>
      </c>
      <c r="J550" s="122">
        <v>1295.7923129999997</v>
      </c>
      <c r="K550" s="8">
        <v>2.4682217951612972E-2</v>
      </c>
      <c r="L550" s="122">
        <v>0</v>
      </c>
      <c r="M550" s="8">
        <v>0</v>
      </c>
      <c r="N550" s="122">
        <v>0</v>
      </c>
      <c r="O550" s="8">
        <v>0</v>
      </c>
      <c r="P550" s="122">
        <v>0</v>
      </c>
      <c r="Q550" s="8">
        <v>0</v>
      </c>
      <c r="R550" s="122">
        <v>0</v>
      </c>
      <c r="S550" s="8">
        <v>0</v>
      </c>
      <c r="T550" s="122">
        <v>34193.467015000162</v>
      </c>
      <c r="U550" s="8">
        <v>0.65131626181017732</v>
      </c>
      <c r="V550" s="122">
        <v>52499.022394999971</v>
      </c>
      <c r="W550" s="6">
        <v>0.33624919680100218</v>
      </c>
      <c r="X550" s="1"/>
    </row>
    <row r="551" spans="1:24" ht="15.75" thickBot="1">
      <c r="A551" s="9" t="s">
        <v>0</v>
      </c>
      <c r="B551" s="122">
        <v>0</v>
      </c>
      <c r="C551" s="8">
        <v>0</v>
      </c>
      <c r="D551" s="122">
        <v>25436.183089999977</v>
      </c>
      <c r="E551" s="8">
        <v>0.26203670557299957</v>
      </c>
      <c r="F551" s="122">
        <v>12823.340488999982</v>
      </c>
      <c r="G551" s="8">
        <v>0.13210259905305688</v>
      </c>
      <c r="H551" s="122">
        <v>13270.51770899998</v>
      </c>
      <c r="I551" s="8">
        <v>0.13670929830197678</v>
      </c>
      <c r="J551" s="122">
        <v>4109.3053399999999</v>
      </c>
      <c r="K551" s="8">
        <v>4.2332956547653781E-2</v>
      </c>
      <c r="L551" s="122">
        <v>0</v>
      </c>
      <c r="M551" s="8">
        <v>0</v>
      </c>
      <c r="N551" s="122">
        <v>0</v>
      </c>
      <c r="O551" s="8">
        <v>0</v>
      </c>
      <c r="P551" s="122">
        <v>0</v>
      </c>
      <c r="Q551" s="8">
        <v>0</v>
      </c>
      <c r="R551" s="122">
        <v>0</v>
      </c>
      <c r="S551" s="8">
        <v>0</v>
      </c>
      <c r="T551" s="122">
        <v>41431.722230000058</v>
      </c>
      <c r="U551" s="8">
        <v>0.42681844052431833</v>
      </c>
      <c r="V551" s="122">
        <v>97071.068857999475</v>
      </c>
      <c r="W551" s="6">
        <v>0.62172717599453353</v>
      </c>
      <c r="X551" s="1"/>
    </row>
    <row r="552" spans="1:24" ht="15" customHeight="1">
      <c r="A552" s="13" t="s">
        <v>4</v>
      </c>
      <c r="B552" s="123">
        <v>1203.5884048352918</v>
      </c>
      <c r="C552" s="12">
        <v>8.4031606471990945E-3</v>
      </c>
      <c r="D552" s="123">
        <v>30046.625680972462</v>
      </c>
      <c r="E552" s="12">
        <v>0.20977821113025899</v>
      </c>
      <c r="F552" s="123">
        <v>15635.100398030952</v>
      </c>
      <c r="G552" s="12">
        <v>0.10916045705651362</v>
      </c>
      <c r="H552" s="123">
        <v>12881.626405338786</v>
      </c>
      <c r="I552" s="12">
        <v>8.9936373303693362E-2</v>
      </c>
      <c r="J552" s="123">
        <v>3858.3059866739472</v>
      </c>
      <c r="K552" s="12">
        <v>2.6937751229423032E-2</v>
      </c>
      <c r="L552" s="123">
        <v>1492.3469145561603</v>
      </c>
      <c r="M552" s="12">
        <v>1.041920212423735E-2</v>
      </c>
      <c r="N552" s="123">
        <v>504.53835139795837</v>
      </c>
      <c r="O552" s="12">
        <v>3.5225636957263869E-3</v>
      </c>
      <c r="P552" s="123">
        <v>0</v>
      </c>
      <c r="Q552" s="12">
        <v>0</v>
      </c>
      <c r="R552" s="123">
        <v>0</v>
      </c>
      <c r="S552" s="12">
        <v>0</v>
      </c>
      <c r="T552" s="123">
        <v>77608.308803824577</v>
      </c>
      <c r="U552" s="12">
        <v>0.54184228081294916</v>
      </c>
      <c r="V552" s="123">
        <v>143230.44094562999</v>
      </c>
      <c r="W552" s="10">
        <v>1</v>
      </c>
      <c r="X552" s="1"/>
    </row>
    <row r="553" spans="1:24">
      <c r="A553" s="9" t="s">
        <v>2</v>
      </c>
      <c r="B553" s="122">
        <v>88.639365539555115</v>
      </c>
      <c r="C553" s="8">
        <v>1.4222341137111204E-2</v>
      </c>
      <c r="D553" s="122">
        <v>817.678948858171</v>
      </c>
      <c r="E553" s="8">
        <v>0.13119801659800756</v>
      </c>
      <c r="F553" s="122">
        <v>558.33360553773343</v>
      </c>
      <c r="G553" s="8">
        <v>8.9585602942152787E-2</v>
      </c>
      <c r="H553" s="122">
        <v>616.02808866152998</v>
      </c>
      <c r="I553" s="8">
        <v>9.8842783605858811E-2</v>
      </c>
      <c r="J553" s="122">
        <v>185.9594551373674</v>
      </c>
      <c r="K553" s="8">
        <v>2.9837519622754285E-2</v>
      </c>
      <c r="L553" s="122">
        <v>27.843437370814385</v>
      </c>
      <c r="M553" s="8">
        <v>4.4675281948041382E-3</v>
      </c>
      <c r="N553" s="122">
        <v>5.1805555555555554</v>
      </c>
      <c r="O553" s="8">
        <v>8.3122919418899025E-4</v>
      </c>
      <c r="P553" s="122">
        <v>0</v>
      </c>
      <c r="Q553" s="8">
        <v>0</v>
      </c>
      <c r="R553" s="122">
        <v>0</v>
      </c>
      <c r="S553" s="8">
        <v>0</v>
      </c>
      <c r="T553" s="122">
        <v>3932.7398224494709</v>
      </c>
      <c r="U553" s="8">
        <v>0.63101497870512901</v>
      </c>
      <c r="V553" s="122">
        <v>6232.4032791101554</v>
      </c>
      <c r="W553" s="6">
        <v>4.3513119403688523E-2</v>
      </c>
      <c r="X553" s="1"/>
    </row>
    <row r="554" spans="1:24">
      <c r="A554" s="9" t="s">
        <v>1</v>
      </c>
      <c r="B554" s="122">
        <v>451.32729562303763</v>
      </c>
      <c r="C554" s="8">
        <v>9.0070940186577127E-3</v>
      </c>
      <c r="D554" s="122">
        <v>6774.4226769151828</v>
      </c>
      <c r="E554" s="8">
        <v>0.13519648061362968</v>
      </c>
      <c r="F554" s="122">
        <v>5253.9434127296863</v>
      </c>
      <c r="G554" s="8">
        <v>0.10485242693295703</v>
      </c>
      <c r="H554" s="122">
        <v>3940.967535964724</v>
      </c>
      <c r="I554" s="8">
        <v>7.8649497748436631E-2</v>
      </c>
      <c r="J554" s="122">
        <v>1166.4315131143421</v>
      </c>
      <c r="K554" s="8">
        <v>2.3278357872068792E-2</v>
      </c>
      <c r="L554" s="122">
        <v>485.33465174237512</v>
      </c>
      <c r="M554" s="8">
        <v>9.6857754475529086E-3</v>
      </c>
      <c r="N554" s="122">
        <v>137.9893747897712</v>
      </c>
      <c r="O554" s="8">
        <v>2.753840249328416E-3</v>
      </c>
      <c r="P554" s="122">
        <v>0</v>
      </c>
      <c r="Q554" s="8">
        <v>0</v>
      </c>
      <c r="R554" s="122">
        <v>0</v>
      </c>
      <c r="S554" s="8">
        <v>0</v>
      </c>
      <c r="T554" s="122">
        <v>31897.564502586025</v>
      </c>
      <c r="U554" s="8">
        <v>0.63657652711737733</v>
      </c>
      <c r="V554" s="122">
        <v>50107.980963464717</v>
      </c>
      <c r="W554" s="6">
        <v>0.34984170007886534</v>
      </c>
      <c r="X554" s="1"/>
    </row>
    <row r="555" spans="1:24" ht="15.75" thickBot="1">
      <c r="A555" s="9" t="s">
        <v>0</v>
      </c>
      <c r="B555" s="122">
        <v>663.62174367269927</v>
      </c>
      <c r="C555" s="8">
        <v>7.6374877500726621E-3</v>
      </c>
      <c r="D555" s="122">
        <v>22454.524055199054</v>
      </c>
      <c r="E555" s="8">
        <v>0.25842455290295197</v>
      </c>
      <c r="F555" s="122">
        <v>9822.8233797635421</v>
      </c>
      <c r="G555" s="8">
        <v>0.11304887754110778</v>
      </c>
      <c r="H555" s="122">
        <v>8324.6307807125359</v>
      </c>
      <c r="I555" s="8">
        <v>9.5806483464061037E-2</v>
      </c>
      <c r="J555" s="122">
        <v>2505.9150184222372</v>
      </c>
      <c r="K555" s="8">
        <v>2.8840066556593002E-2</v>
      </c>
      <c r="L555" s="122">
        <v>979.16882544297073</v>
      </c>
      <c r="M555" s="8">
        <v>1.1269054971264016E-2</v>
      </c>
      <c r="N555" s="122">
        <v>361.36842105263156</v>
      </c>
      <c r="O555" s="8">
        <v>4.1589157006491784E-3</v>
      </c>
      <c r="P555" s="122">
        <v>0</v>
      </c>
      <c r="Q555" s="8">
        <v>0</v>
      </c>
      <c r="R555" s="122">
        <v>0</v>
      </c>
      <c r="S555" s="8">
        <v>0</v>
      </c>
      <c r="T555" s="122">
        <v>41778.004478789488</v>
      </c>
      <c r="U555" s="8">
        <v>0.48081456111330567</v>
      </c>
      <c r="V555" s="122">
        <v>86890.056703054695</v>
      </c>
      <c r="W555" s="6">
        <v>0.60664518051744321</v>
      </c>
      <c r="X555" s="1"/>
    </row>
    <row r="556" spans="1:24" ht="15.75" customHeight="1">
      <c r="A556" s="13" t="s">
        <v>3</v>
      </c>
      <c r="B556" s="123">
        <v>2398.976351545753</v>
      </c>
      <c r="C556" s="12">
        <v>2.4054422298487376E-2</v>
      </c>
      <c r="D556" s="123">
        <v>20647.47299331244</v>
      </c>
      <c r="E556" s="12">
        <v>0.20703123415857416</v>
      </c>
      <c r="F556" s="123">
        <v>11994.957705606734</v>
      </c>
      <c r="G556" s="12">
        <v>0.12027287301821357</v>
      </c>
      <c r="H556" s="123">
        <v>9922.5476763913375</v>
      </c>
      <c r="I556" s="12">
        <v>9.949291577259628E-2</v>
      </c>
      <c r="J556" s="123">
        <v>3391.8287270643873</v>
      </c>
      <c r="K556" s="12">
        <v>3.4009706061661281E-2</v>
      </c>
      <c r="L556" s="123">
        <v>665.77628131184088</v>
      </c>
      <c r="M556" s="12">
        <v>6.675707251833707E-3</v>
      </c>
      <c r="N556" s="123">
        <v>314.20005244202162</v>
      </c>
      <c r="O556" s="12">
        <v>3.1504690501752636E-3</v>
      </c>
      <c r="P556" s="123">
        <v>139.76515332761861</v>
      </c>
      <c r="Q556" s="12">
        <v>1.4014185752973885E-3</v>
      </c>
      <c r="R556" s="123">
        <v>164.48776395225187</v>
      </c>
      <c r="S556" s="12">
        <v>1.6493110215496489E-3</v>
      </c>
      <c r="T556" s="123">
        <v>50091.185233506738</v>
      </c>
      <c r="U556" s="12">
        <v>0.50226194279162162</v>
      </c>
      <c r="V556" s="123">
        <v>99731.1979384601</v>
      </c>
      <c r="W556" s="10">
        <v>1</v>
      </c>
      <c r="X556" s="1"/>
    </row>
    <row r="557" spans="1:24">
      <c r="A557" s="9" t="s">
        <v>2</v>
      </c>
      <c r="B557" s="122">
        <v>91.046632858661866</v>
      </c>
      <c r="C557" s="8">
        <v>1.6793841674723847E-2</v>
      </c>
      <c r="D557" s="122">
        <v>664.98261468209989</v>
      </c>
      <c r="E557" s="8">
        <v>0.12265816314977133</v>
      </c>
      <c r="F557" s="122">
        <v>521.85596527063456</v>
      </c>
      <c r="G557" s="8">
        <v>9.6257996398067217E-2</v>
      </c>
      <c r="H557" s="122">
        <v>409.19578690265632</v>
      </c>
      <c r="I557" s="8">
        <v>7.5477467353186931E-2</v>
      </c>
      <c r="J557" s="122">
        <v>190.5538722006504</v>
      </c>
      <c r="K557" s="8">
        <v>3.5148269186528573E-2</v>
      </c>
      <c r="L557" s="122">
        <v>33.733704628461254</v>
      </c>
      <c r="M557" s="8">
        <v>6.2222893570564441E-3</v>
      </c>
      <c r="N557" s="122">
        <v>24.488057908805889</v>
      </c>
      <c r="O557" s="8">
        <v>4.5169003457861583E-3</v>
      </c>
      <c r="P557" s="122">
        <v>17.640999085276476</v>
      </c>
      <c r="Q557" s="8">
        <v>3.253938518319364E-3</v>
      </c>
      <c r="R557" s="122">
        <v>26.716494393284471</v>
      </c>
      <c r="S557" s="8">
        <v>4.9279425592923679E-3</v>
      </c>
      <c r="T557" s="122">
        <v>3441.2156212670943</v>
      </c>
      <c r="U557" s="8">
        <v>0.63474319145727731</v>
      </c>
      <c r="V557" s="122">
        <v>5421.429749197574</v>
      </c>
      <c r="W557" s="6">
        <v>5.4360419420038539E-2</v>
      </c>
      <c r="X557" s="1"/>
    </row>
    <row r="558" spans="1:24">
      <c r="A558" s="9" t="s">
        <v>1</v>
      </c>
      <c r="B558" s="122">
        <v>416.01228090134992</v>
      </c>
      <c r="C558" s="8">
        <v>2.6187999597837748E-2</v>
      </c>
      <c r="D558" s="122">
        <v>2219.6531334155284</v>
      </c>
      <c r="E558" s="8">
        <v>0.13972730622106144</v>
      </c>
      <c r="F558" s="122">
        <v>1431.4856618086828</v>
      </c>
      <c r="G558" s="8">
        <v>9.0112113648505132E-2</v>
      </c>
      <c r="H558" s="122">
        <v>1138.6116379561136</v>
      </c>
      <c r="I558" s="8">
        <v>7.1675675180269238E-2</v>
      </c>
      <c r="J558" s="122">
        <v>449.28873025951407</v>
      </c>
      <c r="K558" s="8">
        <v>2.8282754205853081E-2</v>
      </c>
      <c r="L558" s="122">
        <v>145.01245758131375</v>
      </c>
      <c r="M558" s="8">
        <v>9.1285434473061602E-3</v>
      </c>
      <c r="N558" s="122">
        <v>79.849014150355103</v>
      </c>
      <c r="O558" s="8">
        <v>5.0265005300483053E-3</v>
      </c>
      <c r="P558" s="122">
        <v>29.763025210084034</v>
      </c>
      <c r="Q558" s="8">
        <v>1.8735843339609118E-3</v>
      </c>
      <c r="R558" s="122">
        <v>42.54870385509021</v>
      </c>
      <c r="S558" s="8">
        <v>2.6784436195763377E-3</v>
      </c>
      <c r="T558" s="122">
        <v>9933.382781543678</v>
      </c>
      <c r="U558" s="8">
        <v>0.62530707921557938</v>
      </c>
      <c r="V558" s="122">
        <v>15885.607426681747</v>
      </c>
      <c r="W558" s="6">
        <v>0.15928423357036264</v>
      </c>
      <c r="X558" s="1"/>
    </row>
    <row r="559" spans="1:24" ht="15.75" thickBot="1">
      <c r="A559" s="5" t="s">
        <v>0</v>
      </c>
      <c r="B559" s="121">
        <v>1891.9174377857398</v>
      </c>
      <c r="C559" s="4">
        <v>2.4124165555475304E-2</v>
      </c>
      <c r="D559" s="121">
        <v>17762.837245214785</v>
      </c>
      <c r="E559" s="4">
        <v>0.22649700133851913</v>
      </c>
      <c r="F559" s="121">
        <v>10041.616078527446</v>
      </c>
      <c r="G559" s="4">
        <v>0.12804237853340891</v>
      </c>
      <c r="H559" s="121">
        <v>8374.7402515325957</v>
      </c>
      <c r="I559" s="4">
        <v>0.10678775737091949</v>
      </c>
      <c r="J559" s="121">
        <v>2751.9861246042233</v>
      </c>
      <c r="K559" s="4">
        <v>3.509104972044863E-2</v>
      </c>
      <c r="L559" s="121">
        <v>487.03011910206595</v>
      </c>
      <c r="M559" s="4">
        <v>6.2102050486262791E-3</v>
      </c>
      <c r="N559" s="121">
        <v>209.86298038286066</v>
      </c>
      <c r="O559" s="4">
        <v>2.6759990587363869E-3</v>
      </c>
      <c r="P559" s="121">
        <v>92.361129032258063</v>
      </c>
      <c r="Q559" s="4">
        <v>1.1777126861691029E-3</v>
      </c>
      <c r="R559" s="121">
        <v>95.22256570387718</v>
      </c>
      <c r="S559" s="4">
        <v>1.2141993586918948E-3</v>
      </c>
      <c r="T559" s="121">
        <v>36716.586830696018</v>
      </c>
      <c r="U559" s="4">
        <v>0.46817953132900259</v>
      </c>
      <c r="V559" s="121">
        <v>78424.160762582047</v>
      </c>
      <c r="W559" s="2">
        <v>0.78635534700961163</v>
      </c>
      <c r="X559" s="1"/>
    </row>
    <row r="562" spans="1:22" ht="15.75" thickBot="1"/>
    <row r="563" spans="1:22" ht="15" customHeight="1">
      <c r="A563" s="602" t="s">
        <v>13</v>
      </c>
      <c r="B563" s="642" t="s">
        <v>336</v>
      </c>
      <c r="C563" s="589"/>
      <c r="D563" s="589"/>
      <c r="E563" s="589"/>
      <c r="F563" s="589"/>
      <c r="G563" s="589"/>
      <c r="H563" s="589"/>
      <c r="I563" s="589"/>
      <c r="J563" s="589"/>
      <c r="K563" s="589"/>
      <c r="L563" s="589"/>
      <c r="M563" s="589"/>
      <c r="N563" s="589"/>
      <c r="O563" s="589"/>
      <c r="P563" s="589"/>
      <c r="Q563" s="589"/>
      <c r="R563" s="589"/>
      <c r="S563" s="589"/>
      <c r="T563" s="589"/>
      <c r="U563" s="590"/>
      <c r="V563" s="1"/>
    </row>
    <row r="564" spans="1:22" ht="51.75" customHeight="1">
      <c r="A564" s="603"/>
      <c r="B564" s="650" t="s">
        <v>53</v>
      </c>
      <c r="C564" s="648"/>
      <c r="D564" s="651" t="s">
        <v>52</v>
      </c>
      <c r="E564" s="648"/>
      <c r="F564" s="651" t="s">
        <v>51</v>
      </c>
      <c r="G564" s="648"/>
      <c r="H564" s="651" t="s">
        <v>50</v>
      </c>
      <c r="I564" s="648"/>
      <c r="J564" s="651" t="s">
        <v>49</v>
      </c>
      <c r="K564" s="648"/>
      <c r="L564" s="651" t="s">
        <v>151</v>
      </c>
      <c r="M564" s="648"/>
      <c r="N564" s="651" t="s">
        <v>47</v>
      </c>
      <c r="O564" s="648"/>
      <c r="P564" s="651" t="s">
        <v>46</v>
      </c>
      <c r="Q564" s="648"/>
      <c r="R564" s="651" t="s">
        <v>45</v>
      </c>
      <c r="S564" s="648"/>
      <c r="T564" s="652" t="s">
        <v>9</v>
      </c>
      <c r="U564" s="653"/>
      <c r="V564" s="1"/>
    </row>
    <row r="565" spans="1:22" ht="15.75" thickBot="1">
      <c r="A565" s="604"/>
      <c r="B565" s="124" t="s">
        <v>7</v>
      </c>
      <c r="C565" s="16" t="s">
        <v>8</v>
      </c>
      <c r="D565" s="16" t="s">
        <v>7</v>
      </c>
      <c r="E565" s="16" t="s">
        <v>8</v>
      </c>
      <c r="F565" s="16" t="s">
        <v>7</v>
      </c>
      <c r="G565" s="16" t="s">
        <v>8</v>
      </c>
      <c r="H565" s="16" t="s">
        <v>7</v>
      </c>
      <c r="I565" s="16" t="s">
        <v>8</v>
      </c>
      <c r="J565" s="16" t="s">
        <v>7</v>
      </c>
      <c r="K565" s="16" t="s">
        <v>8</v>
      </c>
      <c r="L565" s="16" t="s">
        <v>7</v>
      </c>
      <c r="M565" s="16" t="s">
        <v>8</v>
      </c>
      <c r="N565" s="16" t="s">
        <v>7</v>
      </c>
      <c r="O565" s="16" t="s">
        <v>8</v>
      </c>
      <c r="P565" s="16" t="s">
        <v>7</v>
      </c>
      <c r="Q565" s="16" t="s">
        <v>8</v>
      </c>
      <c r="R565" s="16" t="s">
        <v>7</v>
      </c>
      <c r="S565" s="16" t="s">
        <v>8</v>
      </c>
      <c r="T565" s="16" t="s">
        <v>7</v>
      </c>
      <c r="U565" s="15" t="s">
        <v>6</v>
      </c>
      <c r="V565" s="1"/>
    </row>
    <row r="566" spans="1:22" ht="15.75" customHeight="1">
      <c r="A566" s="14" t="s">
        <v>5</v>
      </c>
      <c r="B566" s="123">
        <v>18111.765331299994</v>
      </c>
      <c r="C566" s="12">
        <v>0.1160034276348331</v>
      </c>
      <c r="D566" s="123">
        <v>8323.0769495000131</v>
      </c>
      <c r="E566" s="12">
        <v>5.3308191495940266E-2</v>
      </c>
      <c r="F566" s="123">
        <v>6246.5447950000071</v>
      </c>
      <c r="G566" s="12">
        <v>4.000828156945406E-2</v>
      </c>
      <c r="H566" s="123">
        <v>7866.7933190000085</v>
      </c>
      <c r="I566" s="12">
        <v>5.0385756043433941E-2</v>
      </c>
      <c r="J566" s="123">
        <v>12364.337799500001</v>
      </c>
      <c r="K566" s="12">
        <v>7.9191925190098558E-2</v>
      </c>
      <c r="L566" s="123">
        <v>67667.800313299536</v>
      </c>
      <c r="M566" s="12">
        <v>0.43340318479539164</v>
      </c>
      <c r="N566" s="123">
        <v>2779.0898129999991</v>
      </c>
      <c r="O566" s="12">
        <v>1.7799697495854631E-2</v>
      </c>
      <c r="P566" s="123">
        <v>12115.784140299991</v>
      </c>
      <c r="Q566" s="12">
        <v>7.7599972341164877E-2</v>
      </c>
      <c r="R566" s="123">
        <v>20656.102110100044</v>
      </c>
      <c r="S566" s="12">
        <v>0.13229956343381605</v>
      </c>
      <c r="T566" s="123">
        <v>156131.29457100161</v>
      </c>
      <c r="U566" s="12">
        <v>1</v>
      </c>
      <c r="V566" s="1"/>
    </row>
    <row r="567" spans="1:22">
      <c r="A567" s="9" t="s">
        <v>2</v>
      </c>
      <c r="B567" s="122">
        <v>754.18045930000051</v>
      </c>
      <c r="C567" s="8">
        <v>0.11494544868484403</v>
      </c>
      <c r="D567" s="122">
        <v>210.13251749999995</v>
      </c>
      <c r="E567" s="8">
        <v>3.2026521251600562E-2</v>
      </c>
      <c r="F567" s="122">
        <v>233.34671299999994</v>
      </c>
      <c r="G567" s="8">
        <v>3.5564621562608159E-2</v>
      </c>
      <c r="H567" s="122">
        <v>401.54321600000031</v>
      </c>
      <c r="I567" s="8">
        <v>6.1199630088951115E-2</v>
      </c>
      <c r="J567" s="122">
        <v>464.31085150000035</v>
      </c>
      <c r="K567" s="8">
        <v>7.0766112402919829E-2</v>
      </c>
      <c r="L567" s="122">
        <v>3148.8136243000058</v>
      </c>
      <c r="M567" s="8">
        <v>0.47991404498341644</v>
      </c>
      <c r="N567" s="122">
        <v>112.54162100000002</v>
      </c>
      <c r="O567" s="8">
        <v>1.715258856424293E-2</v>
      </c>
      <c r="P567" s="122">
        <v>342.59120930000006</v>
      </c>
      <c r="Q567" s="8">
        <v>5.2214691832538442E-2</v>
      </c>
      <c r="R567" s="122">
        <v>893.74310609999998</v>
      </c>
      <c r="S567" s="8">
        <v>0.13621634062887553</v>
      </c>
      <c r="T567" s="122">
        <v>6561.2033180000262</v>
      </c>
      <c r="U567" s="8">
        <v>4.2023627204450555E-2</v>
      </c>
      <c r="V567" s="1"/>
    </row>
    <row r="568" spans="1:22">
      <c r="A568" s="9" t="s">
        <v>1</v>
      </c>
      <c r="B568" s="122">
        <v>7147.5521830000125</v>
      </c>
      <c r="C568" s="8">
        <v>0.13614638629310455</v>
      </c>
      <c r="D568" s="122">
        <v>2923.2970819999982</v>
      </c>
      <c r="E568" s="8">
        <v>5.5682886054625166E-2</v>
      </c>
      <c r="F568" s="122">
        <v>1793.4597519999995</v>
      </c>
      <c r="G568" s="8">
        <v>3.4161774261358614E-2</v>
      </c>
      <c r="H568" s="122">
        <v>3150.1652069999977</v>
      </c>
      <c r="I568" s="8">
        <v>6.0004264142259928E-2</v>
      </c>
      <c r="J568" s="122">
        <v>4365.1958659999973</v>
      </c>
      <c r="K568" s="8">
        <v>8.3148136229213673E-2</v>
      </c>
      <c r="L568" s="122">
        <v>21621.247982000044</v>
      </c>
      <c r="M568" s="8">
        <v>0.41184096380543767</v>
      </c>
      <c r="N568" s="122">
        <v>1013.4511029999999</v>
      </c>
      <c r="O568" s="8">
        <v>1.9304189997574536E-2</v>
      </c>
      <c r="P568" s="122">
        <v>3867.6218519999957</v>
      </c>
      <c r="Q568" s="8">
        <v>7.3670359476414746E-2</v>
      </c>
      <c r="R568" s="122">
        <v>6617.0313680000099</v>
      </c>
      <c r="S568" s="8">
        <v>0.12604103974001274</v>
      </c>
      <c r="T568" s="122">
        <v>52499.022394999971</v>
      </c>
      <c r="U568" s="8">
        <v>0.33624919680100218</v>
      </c>
      <c r="V568" s="1"/>
    </row>
    <row r="569" spans="1:22" ht="15.75" thickBot="1">
      <c r="A569" s="9" t="s">
        <v>0</v>
      </c>
      <c r="B569" s="122">
        <v>10210.032688999994</v>
      </c>
      <c r="C569" s="8">
        <v>0.10518100613413202</v>
      </c>
      <c r="D569" s="122">
        <v>5189.6473500000011</v>
      </c>
      <c r="E569" s="8">
        <v>5.346234888576E-2</v>
      </c>
      <c r="F569" s="122">
        <v>4219.7383300000001</v>
      </c>
      <c r="G569" s="8">
        <v>4.3470607459498038E-2</v>
      </c>
      <c r="H569" s="122">
        <v>4315.0848960000003</v>
      </c>
      <c r="I569" s="8">
        <v>4.4452842095643631E-2</v>
      </c>
      <c r="J569" s="122">
        <v>7534.8310820000015</v>
      </c>
      <c r="K569" s="8">
        <v>7.7621799889958334E-2</v>
      </c>
      <c r="L569" s="122">
        <v>42897.73870700007</v>
      </c>
      <c r="M569" s="8">
        <v>0.44192094731905213</v>
      </c>
      <c r="N569" s="122">
        <v>1653.0970890000001</v>
      </c>
      <c r="O569" s="8">
        <v>1.7029760859213726E-2</v>
      </c>
      <c r="P569" s="122">
        <v>7905.5710789999994</v>
      </c>
      <c r="Q569" s="8">
        <v>8.1441063460058041E-2</v>
      </c>
      <c r="R569" s="122">
        <v>13145.327635999989</v>
      </c>
      <c r="S569" s="8">
        <v>0.13541962389669002</v>
      </c>
      <c r="T569" s="122">
        <v>97071.068857999475</v>
      </c>
      <c r="U569" s="8">
        <v>0.62172717599453353</v>
      </c>
      <c r="V569" s="1"/>
    </row>
    <row r="570" spans="1:22" ht="15" customHeight="1">
      <c r="A570" s="13" t="s">
        <v>4</v>
      </c>
      <c r="B570" s="123">
        <v>14061.802634641717</v>
      </c>
      <c r="C570" s="12">
        <v>9.817607585233612E-2</v>
      </c>
      <c r="D570" s="123">
        <v>7827.8637256541406</v>
      </c>
      <c r="E570" s="12">
        <v>5.4652235055434782E-2</v>
      </c>
      <c r="F570" s="123">
        <v>4864.5052202988927</v>
      </c>
      <c r="G570" s="12">
        <v>3.3962788833034802E-2</v>
      </c>
      <c r="H570" s="123">
        <v>8007.9380034977485</v>
      </c>
      <c r="I570" s="12">
        <v>5.5909469737215618E-2</v>
      </c>
      <c r="J570" s="123">
        <v>8690.282627707149</v>
      </c>
      <c r="K570" s="12">
        <v>6.0673433456830343E-2</v>
      </c>
      <c r="L570" s="123">
        <v>66093.585991574015</v>
      </c>
      <c r="M570" s="12">
        <v>0.46144929496281462</v>
      </c>
      <c r="N570" s="123">
        <v>2572.3602859875937</v>
      </c>
      <c r="O570" s="12">
        <v>1.7959592032283533E-2</v>
      </c>
      <c r="P570" s="123">
        <v>14090.637158473053</v>
      </c>
      <c r="Q570" s="12">
        <v>9.8377391464024272E-2</v>
      </c>
      <c r="R570" s="123">
        <v>17021.465297795778</v>
      </c>
      <c r="S570" s="12">
        <v>0.1188397186060266</v>
      </c>
      <c r="T570" s="123">
        <v>143230.44094562999</v>
      </c>
      <c r="U570" s="12">
        <v>1</v>
      </c>
      <c r="V570" s="1"/>
    </row>
    <row r="571" spans="1:22">
      <c r="A571" s="9" t="s">
        <v>2</v>
      </c>
      <c r="B571" s="122">
        <v>733.36046947961347</v>
      </c>
      <c r="C571" s="8">
        <v>0.11766896919807804</v>
      </c>
      <c r="D571" s="122">
        <v>273.07695698220886</v>
      </c>
      <c r="E571" s="8">
        <v>4.3815675069922309E-2</v>
      </c>
      <c r="F571" s="122">
        <v>189.19673128313858</v>
      </c>
      <c r="G571" s="8">
        <v>3.0356946238907626E-2</v>
      </c>
      <c r="H571" s="122">
        <v>368.68117201945444</v>
      </c>
      <c r="I571" s="8">
        <v>5.9155538483076739E-2</v>
      </c>
      <c r="J571" s="122">
        <v>489.97657616691964</v>
      </c>
      <c r="K571" s="8">
        <v>7.8617598095622132E-2</v>
      </c>
      <c r="L571" s="122">
        <v>2726.2023565253448</v>
      </c>
      <c r="M571" s="8">
        <v>0.43742393334254587</v>
      </c>
      <c r="N571" s="122">
        <v>125.14149002449631</v>
      </c>
      <c r="O571" s="8">
        <v>2.0079170814242247E-2</v>
      </c>
      <c r="P571" s="122">
        <v>327.6917232893482</v>
      </c>
      <c r="Q571" s="8">
        <v>5.257870978723557E-2</v>
      </c>
      <c r="R571" s="122">
        <v>999.07580333966405</v>
      </c>
      <c r="S571" s="8">
        <v>0.16030345897037479</v>
      </c>
      <c r="T571" s="122">
        <v>6232.4032791101554</v>
      </c>
      <c r="U571" s="8">
        <v>4.3513119403688523E-2</v>
      </c>
      <c r="V571" s="1"/>
    </row>
    <row r="572" spans="1:22">
      <c r="A572" s="9" t="s">
        <v>1</v>
      </c>
      <c r="B572" s="122">
        <v>5838.8576010962661</v>
      </c>
      <c r="C572" s="8">
        <v>0.11652550130394515</v>
      </c>
      <c r="D572" s="122">
        <v>2685.606652777783</v>
      </c>
      <c r="E572" s="8">
        <v>5.3596385269163847E-2</v>
      </c>
      <c r="F572" s="122">
        <v>2126.6780099895332</v>
      </c>
      <c r="G572" s="8">
        <v>4.2441901850728332E-2</v>
      </c>
      <c r="H572" s="122">
        <v>2689.2932963867156</v>
      </c>
      <c r="I572" s="8">
        <v>5.3669959249556733E-2</v>
      </c>
      <c r="J572" s="122">
        <v>2967.8292352868534</v>
      </c>
      <c r="K572" s="8">
        <v>5.9228673321537133E-2</v>
      </c>
      <c r="L572" s="122">
        <v>23689.848440557096</v>
      </c>
      <c r="M572" s="8">
        <v>0.47277595275351642</v>
      </c>
      <c r="N572" s="122">
        <v>1071.9269430436818</v>
      </c>
      <c r="O572" s="8">
        <v>2.13923395521615E-2</v>
      </c>
      <c r="P572" s="122">
        <v>3601.748039011974</v>
      </c>
      <c r="Q572" s="8">
        <v>7.1879727934720028E-2</v>
      </c>
      <c r="R572" s="122">
        <v>5436.1927453151193</v>
      </c>
      <c r="S572" s="8">
        <v>0.10848955876467695</v>
      </c>
      <c r="T572" s="122">
        <v>50107.980963464717</v>
      </c>
      <c r="U572" s="8">
        <v>0.34984170007886534</v>
      </c>
      <c r="V572" s="1"/>
    </row>
    <row r="573" spans="1:22" ht="15.75" thickBot="1">
      <c r="A573" s="9" t="s">
        <v>0</v>
      </c>
      <c r="B573" s="122">
        <v>7489.5845640658281</v>
      </c>
      <c r="C573" s="8">
        <v>8.6196106300878095E-2</v>
      </c>
      <c r="D573" s="122">
        <v>4869.1801158941526</v>
      </c>
      <c r="E573" s="8">
        <v>5.6038404170162918E-2</v>
      </c>
      <c r="F573" s="122">
        <v>2548.6304790262252</v>
      </c>
      <c r="G573" s="8">
        <v>2.9331670109689612E-2</v>
      </c>
      <c r="H573" s="122">
        <v>4949.9635350915933</v>
      </c>
      <c r="I573" s="8">
        <v>5.696812412043889E-2</v>
      </c>
      <c r="J573" s="122">
        <v>5232.4768162533837</v>
      </c>
      <c r="K573" s="8">
        <v>6.0219512045380348E-2</v>
      </c>
      <c r="L573" s="122">
        <v>39677.535194491822</v>
      </c>
      <c r="M573" s="8">
        <v>0.45664068709368122</v>
      </c>
      <c r="N573" s="122">
        <v>1375.2918529194153</v>
      </c>
      <c r="O573" s="8">
        <v>1.5827954372494565E-2</v>
      </c>
      <c r="P573" s="122">
        <v>10161.197396171727</v>
      </c>
      <c r="Q573" s="8">
        <v>0.11694315531289672</v>
      </c>
      <c r="R573" s="122">
        <v>10586.196749140987</v>
      </c>
      <c r="S573" s="8">
        <v>0.12183438647438263</v>
      </c>
      <c r="T573" s="122">
        <v>86890.056703054695</v>
      </c>
      <c r="U573" s="8">
        <v>0.60664518051744321</v>
      </c>
      <c r="V573" s="1"/>
    </row>
    <row r="574" spans="1:22" ht="15.75" customHeight="1">
      <c r="A574" s="13" t="s">
        <v>3</v>
      </c>
      <c r="B574" s="123">
        <v>9292.689975738951</v>
      </c>
      <c r="C574" s="12">
        <v>9.3177362428485788E-2</v>
      </c>
      <c r="D574" s="123">
        <v>4576.7370193067754</v>
      </c>
      <c r="E574" s="12">
        <v>4.5890725409022816E-2</v>
      </c>
      <c r="F574" s="123">
        <v>3445.7446458398563</v>
      </c>
      <c r="G574" s="12">
        <v>3.4550318426597858E-2</v>
      </c>
      <c r="H574" s="123">
        <v>3656.3788648287123</v>
      </c>
      <c r="I574" s="12">
        <v>3.6662337768016272E-2</v>
      </c>
      <c r="J574" s="123">
        <v>7964.8535558153599</v>
      </c>
      <c r="K574" s="12">
        <v>7.9863209511733063E-2</v>
      </c>
      <c r="L574" s="123">
        <v>47973.968905729263</v>
      </c>
      <c r="M574" s="12">
        <v>0.4810327149116565</v>
      </c>
      <c r="N574" s="123">
        <v>1589.8948873518834</v>
      </c>
      <c r="O574" s="12">
        <v>1.5941800762615328E-2</v>
      </c>
      <c r="P574" s="123">
        <v>9909.1195090923629</v>
      </c>
      <c r="Q574" s="12">
        <v>9.9358272174840015E-2</v>
      </c>
      <c r="R574" s="123">
        <v>11321.810574757994</v>
      </c>
      <c r="S574" s="12">
        <v>0.11352325860704295</v>
      </c>
      <c r="T574" s="123">
        <v>99731.1979384601</v>
      </c>
      <c r="U574" s="12">
        <v>1</v>
      </c>
      <c r="V574" s="1"/>
    </row>
    <row r="575" spans="1:22">
      <c r="A575" s="9" t="s">
        <v>2</v>
      </c>
      <c r="B575" s="122">
        <v>565.45967553285959</v>
      </c>
      <c r="C575" s="8">
        <v>0.10430083975847022</v>
      </c>
      <c r="D575" s="122">
        <v>289.0257030542524</v>
      </c>
      <c r="E575" s="8">
        <v>5.3311712301912811E-2</v>
      </c>
      <c r="F575" s="122">
        <v>211.64119316690389</v>
      </c>
      <c r="G575" s="8">
        <v>3.9037892762186749E-2</v>
      </c>
      <c r="H575" s="122">
        <v>255.49870459368745</v>
      </c>
      <c r="I575" s="8">
        <v>4.7127550556475217E-2</v>
      </c>
      <c r="J575" s="122">
        <v>501.03081600666309</v>
      </c>
      <c r="K575" s="8">
        <v>9.2416731228661717E-2</v>
      </c>
      <c r="L575" s="122">
        <v>2383.8423528537087</v>
      </c>
      <c r="M575" s="8">
        <v>0.43970732134019469</v>
      </c>
      <c r="N575" s="122">
        <v>121.82421979577741</v>
      </c>
      <c r="O575" s="8">
        <v>2.2470865699921433E-2</v>
      </c>
      <c r="P575" s="122">
        <v>353.31038148886375</v>
      </c>
      <c r="Q575" s="8">
        <v>6.5169226169749267E-2</v>
      </c>
      <c r="R575" s="122">
        <v>739.7967027049001</v>
      </c>
      <c r="S575" s="8">
        <v>0.13645786018243572</v>
      </c>
      <c r="T575" s="122">
        <v>5421.429749197574</v>
      </c>
      <c r="U575" s="8">
        <v>5.4360419420038539E-2</v>
      </c>
      <c r="V575" s="1"/>
    </row>
    <row r="576" spans="1:22">
      <c r="A576" s="9" t="s">
        <v>1</v>
      </c>
      <c r="B576" s="122">
        <v>1688.7171634451108</v>
      </c>
      <c r="C576" s="8">
        <v>0.10630485307151125</v>
      </c>
      <c r="D576" s="122">
        <v>864.98920405646152</v>
      </c>
      <c r="E576" s="8">
        <v>5.445112552659525E-2</v>
      </c>
      <c r="F576" s="122">
        <v>522.76094192758001</v>
      </c>
      <c r="G576" s="8">
        <v>3.2907834613207267E-2</v>
      </c>
      <c r="H576" s="122">
        <v>705.26573126362598</v>
      </c>
      <c r="I576" s="8">
        <v>4.439652273409761E-2</v>
      </c>
      <c r="J576" s="122">
        <v>1488.0753260467291</v>
      </c>
      <c r="K576" s="8">
        <v>9.3674436619107904E-2</v>
      </c>
      <c r="L576" s="122">
        <v>6978.4593334591882</v>
      </c>
      <c r="M576" s="8">
        <v>0.43929445982267223</v>
      </c>
      <c r="N576" s="122">
        <v>249.51526871506155</v>
      </c>
      <c r="O576" s="8">
        <v>1.5707002068801681E-2</v>
      </c>
      <c r="P576" s="122">
        <v>1226.71114355344</v>
      </c>
      <c r="Q576" s="8">
        <v>7.7221544672760475E-2</v>
      </c>
      <c r="R576" s="122">
        <v>2161.1133142144963</v>
      </c>
      <c r="S576" s="8">
        <v>0.13604222087124301</v>
      </c>
      <c r="T576" s="122">
        <v>15885.607426681747</v>
      </c>
      <c r="U576" s="8">
        <v>0.15928423357036264</v>
      </c>
      <c r="V576" s="1"/>
    </row>
    <row r="577" spans="1:22" ht="15.75" thickBot="1">
      <c r="A577" s="5" t="s">
        <v>0</v>
      </c>
      <c r="B577" s="121">
        <v>7038.5131367610047</v>
      </c>
      <c r="C577" s="4">
        <v>8.9749294966242593E-2</v>
      </c>
      <c r="D577" s="121">
        <v>3422.7221121960642</v>
      </c>
      <c r="E577" s="4">
        <v>4.3643719982644977E-2</v>
      </c>
      <c r="F577" s="121">
        <v>2711.3425107453718</v>
      </c>
      <c r="G577" s="4">
        <v>3.4572795990174182E-2</v>
      </c>
      <c r="H577" s="121">
        <v>2695.6144289713989</v>
      </c>
      <c r="I577" s="4">
        <v>3.4372244506791556E-2</v>
      </c>
      <c r="J577" s="121">
        <v>5975.7474137619802</v>
      </c>
      <c r="K577" s="4">
        <v>7.6197785932994588E-2</v>
      </c>
      <c r="L577" s="121">
        <v>38611.66721941634</v>
      </c>
      <c r="M577" s="4">
        <v>0.49234402821737105</v>
      </c>
      <c r="N577" s="121">
        <v>1218.5553988410427</v>
      </c>
      <c r="O577" s="4">
        <v>1.5538010059553525E-2</v>
      </c>
      <c r="P577" s="121">
        <v>8329.0979840500768</v>
      </c>
      <c r="Q577" s="4">
        <v>0.10620576494615266</v>
      </c>
      <c r="R577" s="121">
        <v>8420.900557838635</v>
      </c>
      <c r="S577" s="4">
        <v>0.10737635539807318</v>
      </c>
      <c r="T577" s="121">
        <v>78424.160762582047</v>
      </c>
      <c r="U577" s="4">
        <v>0.78635534700961163</v>
      </c>
      <c r="V577" s="1"/>
    </row>
    <row r="580" spans="1:22" ht="15.75" thickBot="1"/>
    <row r="581" spans="1:22" ht="15" customHeight="1">
      <c r="A581" s="602" t="s">
        <v>13</v>
      </c>
      <c r="B581" s="642" t="s">
        <v>337</v>
      </c>
      <c r="C581" s="589"/>
      <c r="D581" s="589"/>
      <c r="E581" s="589"/>
      <c r="F581" s="589"/>
      <c r="G581" s="589"/>
      <c r="H581" s="589"/>
      <c r="I581" s="589"/>
      <c r="J581" s="589"/>
      <c r="K581" s="590"/>
      <c r="L581" s="1"/>
    </row>
    <row r="582" spans="1:22" ht="33.75" customHeight="1">
      <c r="A582" s="603"/>
      <c r="B582" s="650" t="s">
        <v>150</v>
      </c>
      <c r="C582" s="648"/>
      <c r="D582" s="651" t="s">
        <v>149</v>
      </c>
      <c r="E582" s="648"/>
      <c r="F582" s="651" t="s">
        <v>148</v>
      </c>
      <c r="G582" s="648"/>
      <c r="H582" s="651" t="s">
        <v>147</v>
      </c>
      <c r="I582" s="648"/>
      <c r="J582" s="652" t="s">
        <v>9</v>
      </c>
      <c r="K582" s="653"/>
      <c r="L582" s="1"/>
    </row>
    <row r="583" spans="1:22" ht="15.75" thickBot="1">
      <c r="A583" s="604"/>
      <c r="B583" s="124" t="s">
        <v>7</v>
      </c>
      <c r="C583" s="16" t="s">
        <v>8</v>
      </c>
      <c r="D583" s="16" t="s">
        <v>7</v>
      </c>
      <c r="E583" s="16" t="s">
        <v>8</v>
      </c>
      <c r="F583" s="16" t="s">
        <v>7</v>
      </c>
      <c r="G583" s="16" t="s">
        <v>8</v>
      </c>
      <c r="H583" s="16" t="s">
        <v>7</v>
      </c>
      <c r="I583" s="16" t="s">
        <v>8</v>
      </c>
      <c r="J583" s="16" t="s">
        <v>7</v>
      </c>
      <c r="K583" s="15" t="s">
        <v>6</v>
      </c>
      <c r="L583" s="1"/>
    </row>
    <row r="584" spans="1:22" ht="15.75" customHeight="1">
      <c r="A584" s="14" t="s">
        <v>5</v>
      </c>
      <c r="B584" s="123">
        <v>38354.398273999941</v>
      </c>
      <c r="C584" s="12">
        <v>0.24565477650963852</v>
      </c>
      <c r="D584" s="123">
        <v>80496.481934199357</v>
      </c>
      <c r="E584" s="12">
        <v>0.51556916987960488</v>
      </c>
      <c r="F584" s="123">
        <v>28150.474238300023</v>
      </c>
      <c r="G584" s="12">
        <v>0.18030001170264065</v>
      </c>
      <c r="H584" s="123">
        <v>9129.9401245000117</v>
      </c>
      <c r="I584" s="12">
        <v>5.8476041908101378E-2</v>
      </c>
      <c r="J584" s="123">
        <v>156131.29457100161</v>
      </c>
      <c r="K584" s="12">
        <v>1</v>
      </c>
      <c r="L584" s="1"/>
    </row>
    <row r="585" spans="1:22">
      <c r="A585" s="9" t="s">
        <v>2</v>
      </c>
      <c r="B585" s="122">
        <v>1271.2301679999989</v>
      </c>
      <c r="C585" s="8">
        <v>0.19374954659803059</v>
      </c>
      <c r="D585" s="122">
        <v>3923.7880182000085</v>
      </c>
      <c r="E585" s="8">
        <v>0.59802871943252778</v>
      </c>
      <c r="F585" s="122">
        <v>850.77046430000007</v>
      </c>
      <c r="G585" s="8">
        <v>0.12966683443050664</v>
      </c>
      <c r="H585" s="122">
        <v>515.41466750000041</v>
      </c>
      <c r="I585" s="8">
        <v>7.855489953893216E-2</v>
      </c>
      <c r="J585" s="122">
        <v>6561.2033180000262</v>
      </c>
      <c r="K585" s="8">
        <v>4.2023627204450555E-2</v>
      </c>
      <c r="L585" s="1"/>
    </row>
    <row r="586" spans="1:22">
      <c r="A586" s="9" t="s">
        <v>1</v>
      </c>
      <c r="B586" s="122">
        <v>12141.711534</v>
      </c>
      <c r="C586" s="8">
        <v>0.23127500246854849</v>
      </c>
      <c r="D586" s="122">
        <v>30548.845404000152</v>
      </c>
      <c r="E586" s="8">
        <v>0.58189360506853238</v>
      </c>
      <c r="F586" s="122">
        <v>6283.397982000005</v>
      </c>
      <c r="G586" s="8">
        <v>0.11968599976441538</v>
      </c>
      <c r="H586" s="122">
        <v>3525.0674749999953</v>
      </c>
      <c r="I586" s="8">
        <v>6.7145392698507167E-2</v>
      </c>
      <c r="J586" s="122">
        <v>52499.022394999971</v>
      </c>
      <c r="K586" s="8">
        <v>0.33624919680100218</v>
      </c>
      <c r="L586" s="1"/>
    </row>
    <row r="587" spans="1:22" ht="15.75" thickBot="1">
      <c r="A587" s="9" t="s">
        <v>0</v>
      </c>
      <c r="B587" s="122">
        <v>24941.456572000017</v>
      </c>
      <c r="C587" s="8">
        <v>0.25694016626607519</v>
      </c>
      <c r="D587" s="122">
        <v>46023.848512000135</v>
      </c>
      <c r="E587" s="8">
        <v>0.47412528834236056</v>
      </c>
      <c r="F587" s="122">
        <v>21016.305791999981</v>
      </c>
      <c r="G587" s="8">
        <v>0.21650432038348838</v>
      </c>
      <c r="H587" s="122">
        <v>5089.4579820000017</v>
      </c>
      <c r="I587" s="8">
        <v>5.2430225008082705E-2</v>
      </c>
      <c r="J587" s="122">
        <v>97071.068857999475</v>
      </c>
      <c r="K587" s="8">
        <v>0.62172717599453353</v>
      </c>
      <c r="L587" s="1"/>
    </row>
    <row r="588" spans="1:22" ht="15" customHeight="1">
      <c r="A588" s="13" t="s">
        <v>4</v>
      </c>
      <c r="B588" s="123">
        <v>32429.976357471671</v>
      </c>
      <c r="C588" s="12">
        <v>0.2264181841748433</v>
      </c>
      <c r="D588" s="123">
        <v>80060.868802078592</v>
      </c>
      <c r="E588" s="12">
        <v>0.5589654564595633</v>
      </c>
      <c r="F588" s="123">
        <v>21205.479482460636</v>
      </c>
      <c r="G588" s="12">
        <v>0.1480514850227278</v>
      </c>
      <c r="H588" s="123">
        <v>9534.1163036193902</v>
      </c>
      <c r="I588" s="12">
        <v>6.6564874342867675E-2</v>
      </c>
      <c r="J588" s="123">
        <v>143230.44094562999</v>
      </c>
      <c r="K588" s="12">
        <v>1</v>
      </c>
      <c r="L588" s="1"/>
    </row>
    <row r="589" spans="1:22">
      <c r="A589" s="9" t="s">
        <v>2</v>
      </c>
      <c r="B589" s="122">
        <v>1207.024715086804</v>
      </c>
      <c r="C589" s="8">
        <v>0.19366922534241712</v>
      </c>
      <c r="D589" s="122">
        <v>3742.092455088824</v>
      </c>
      <c r="E589" s="8">
        <v>0.60042527537196033</v>
      </c>
      <c r="F589" s="122">
        <v>739.74452506521504</v>
      </c>
      <c r="G589" s="8">
        <v>0.11869330207573371</v>
      </c>
      <c r="H589" s="122">
        <v>543.54158386935308</v>
      </c>
      <c r="I589" s="8">
        <v>8.7212197209895315E-2</v>
      </c>
      <c r="J589" s="122">
        <v>6232.4032791101554</v>
      </c>
      <c r="K589" s="8">
        <v>4.3513119403688523E-2</v>
      </c>
      <c r="L589" s="1"/>
    </row>
    <row r="590" spans="1:22">
      <c r="A590" s="9" t="s">
        <v>1</v>
      </c>
      <c r="B590" s="122">
        <v>11764.404808407913</v>
      </c>
      <c r="C590" s="8">
        <v>0.23478105847022065</v>
      </c>
      <c r="D590" s="122">
        <v>29468.664077494257</v>
      </c>
      <c r="E590" s="8">
        <v>0.58810320254134307</v>
      </c>
      <c r="F590" s="122">
        <v>5427.9712020731904</v>
      </c>
      <c r="G590" s="8">
        <v>0.10832548224265696</v>
      </c>
      <c r="H590" s="122">
        <v>3446.940875489724</v>
      </c>
      <c r="I590" s="8">
        <v>6.8790256745786579E-2</v>
      </c>
      <c r="J590" s="122">
        <v>50107.980963464717</v>
      </c>
      <c r="K590" s="8">
        <v>0.34984170007886534</v>
      </c>
      <c r="L590" s="1"/>
    </row>
    <row r="591" spans="1:22" ht="15.75" thickBot="1">
      <c r="A591" s="9" t="s">
        <v>0</v>
      </c>
      <c r="B591" s="122">
        <v>19458.546833976874</v>
      </c>
      <c r="C591" s="8">
        <v>0.22394446007183688</v>
      </c>
      <c r="D591" s="122">
        <v>46850.112269495803</v>
      </c>
      <c r="E591" s="8">
        <v>0.53918841864271383</v>
      </c>
      <c r="F591" s="122">
        <v>15037.763755322207</v>
      </c>
      <c r="G591" s="8">
        <v>0.17306656625525649</v>
      </c>
      <c r="H591" s="122">
        <v>5543.6338442603201</v>
      </c>
      <c r="I591" s="8">
        <v>6.380055503019863E-2</v>
      </c>
      <c r="J591" s="122">
        <v>86890.056703054695</v>
      </c>
      <c r="K591" s="8">
        <v>0.60664518051744321</v>
      </c>
      <c r="L591" s="1"/>
    </row>
    <row r="592" spans="1:22" ht="15.75" customHeight="1">
      <c r="A592" s="13" t="s">
        <v>3</v>
      </c>
      <c r="B592" s="123">
        <v>20537.639242485486</v>
      </c>
      <c r="C592" s="12">
        <v>0.20592993633906206</v>
      </c>
      <c r="D592" s="123">
        <v>57236.977451357983</v>
      </c>
      <c r="E592" s="12">
        <v>0.57391246304568111</v>
      </c>
      <c r="F592" s="123">
        <v>14715.641056855731</v>
      </c>
      <c r="G592" s="12">
        <v>0.14755303617165141</v>
      </c>
      <c r="H592" s="123">
        <v>7240.9401877620394</v>
      </c>
      <c r="I592" s="12">
        <v>7.2604564443616904E-2</v>
      </c>
      <c r="J592" s="123">
        <v>99731.1979384601</v>
      </c>
      <c r="K592" s="12">
        <v>1</v>
      </c>
      <c r="L592" s="1"/>
    </row>
    <row r="593" spans="1:18">
      <c r="A593" s="9" t="s">
        <v>2</v>
      </c>
      <c r="B593" s="122">
        <v>962.32255100192856</v>
      </c>
      <c r="C593" s="8">
        <v>0.1775034622821336</v>
      </c>
      <c r="D593" s="122">
        <v>3649.9197030303849</v>
      </c>
      <c r="E593" s="8">
        <v>0.67323932465796676</v>
      </c>
      <c r="F593" s="122">
        <v>599.58804290498779</v>
      </c>
      <c r="G593" s="8">
        <v>0.11059592591672572</v>
      </c>
      <c r="H593" s="122">
        <v>209.59945226032596</v>
      </c>
      <c r="I593" s="8">
        <v>3.8661287143183731E-2</v>
      </c>
      <c r="J593" s="122">
        <v>5421.429749197574</v>
      </c>
      <c r="K593" s="8">
        <v>5.4360419420038539E-2</v>
      </c>
      <c r="L593" s="1"/>
    </row>
    <row r="594" spans="1:18">
      <c r="A594" s="9" t="s">
        <v>1</v>
      </c>
      <c r="B594" s="122">
        <v>3423.2289858669178</v>
      </c>
      <c r="C594" s="8">
        <v>0.21549248284438918</v>
      </c>
      <c r="D594" s="122">
        <v>9955.1883956520887</v>
      </c>
      <c r="E594" s="8">
        <v>0.62667974401351367</v>
      </c>
      <c r="F594" s="122">
        <v>1566.4491317467734</v>
      </c>
      <c r="G594" s="8">
        <v>9.8608072683184764E-2</v>
      </c>
      <c r="H594" s="122">
        <v>940.74091341593271</v>
      </c>
      <c r="I594" s="8">
        <v>5.9219700458910222E-2</v>
      </c>
      <c r="J594" s="122">
        <v>15885.607426681747</v>
      </c>
      <c r="K594" s="8">
        <v>0.15928423357036264</v>
      </c>
      <c r="L594" s="1"/>
    </row>
    <row r="595" spans="1:18" ht="15.75" thickBot="1">
      <c r="A595" s="5" t="s">
        <v>0</v>
      </c>
      <c r="B595" s="121">
        <v>16152.087705616623</v>
      </c>
      <c r="C595" s="4">
        <v>0.20595805614694129</v>
      </c>
      <c r="D595" s="121">
        <v>43631.869352675487</v>
      </c>
      <c r="E595" s="4">
        <v>0.55635749147210822</v>
      </c>
      <c r="F595" s="121">
        <v>12549.603882203992</v>
      </c>
      <c r="G595" s="4">
        <v>0.16002216358038088</v>
      </c>
      <c r="H595" s="121">
        <v>6090.5998220857873</v>
      </c>
      <c r="I595" s="4">
        <v>7.766228880056758E-2</v>
      </c>
      <c r="J595" s="121">
        <v>78424.160762582047</v>
      </c>
      <c r="K595" s="4">
        <v>0.78635534700961163</v>
      </c>
      <c r="L595" s="1"/>
    </row>
    <row r="599" spans="1:18" ht="15.75" thickBot="1"/>
    <row r="600" spans="1:18" ht="15" customHeight="1">
      <c r="A600" s="602" t="s">
        <v>13</v>
      </c>
      <c r="B600" s="642" t="s">
        <v>338</v>
      </c>
      <c r="C600" s="589"/>
      <c r="D600" s="589"/>
      <c r="E600" s="589"/>
      <c r="F600" s="589"/>
      <c r="G600" s="589"/>
      <c r="H600" s="589"/>
      <c r="I600" s="589"/>
      <c r="J600" s="589"/>
      <c r="K600" s="589"/>
      <c r="L600" s="589"/>
      <c r="M600" s="589"/>
      <c r="N600" s="589"/>
      <c r="O600" s="589"/>
      <c r="P600" s="589"/>
      <c r="Q600" s="590"/>
      <c r="R600" s="1"/>
    </row>
    <row r="601" spans="1:18" ht="47.25" customHeight="1">
      <c r="A601" s="603"/>
      <c r="B601" s="701" t="s">
        <v>140</v>
      </c>
      <c r="C601" s="702"/>
      <c r="D601" s="703" t="s">
        <v>146</v>
      </c>
      <c r="E601" s="702"/>
      <c r="F601" s="703" t="s">
        <v>145</v>
      </c>
      <c r="G601" s="702"/>
      <c r="H601" s="703" t="s">
        <v>144</v>
      </c>
      <c r="I601" s="702"/>
      <c r="J601" s="703" t="s">
        <v>143</v>
      </c>
      <c r="K601" s="702"/>
      <c r="L601" s="703" t="s">
        <v>142</v>
      </c>
      <c r="M601" s="702"/>
      <c r="N601" s="703" t="s">
        <v>141</v>
      </c>
      <c r="O601" s="702"/>
      <c r="P601" s="704" t="s">
        <v>9</v>
      </c>
      <c r="Q601" s="705"/>
      <c r="R601" s="1"/>
    </row>
    <row r="602" spans="1:18" ht="15.75" thickBot="1">
      <c r="A602" s="604"/>
      <c r="B602" s="124" t="s">
        <v>7</v>
      </c>
      <c r="C602" s="16" t="s">
        <v>8</v>
      </c>
      <c r="D602" s="16" t="s">
        <v>7</v>
      </c>
      <c r="E602" s="16" t="s">
        <v>8</v>
      </c>
      <c r="F602" s="16" t="s">
        <v>7</v>
      </c>
      <c r="G602" s="16" t="s">
        <v>8</v>
      </c>
      <c r="H602" s="16" t="s">
        <v>7</v>
      </c>
      <c r="I602" s="16" t="s">
        <v>8</v>
      </c>
      <c r="J602" s="16" t="s">
        <v>7</v>
      </c>
      <c r="K602" s="16" t="s">
        <v>8</v>
      </c>
      <c r="L602" s="16" t="s">
        <v>7</v>
      </c>
      <c r="M602" s="16" t="s">
        <v>8</v>
      </c>
      <c r="N602" s="16" t="s">
        <v>7</v>
      </c>
      <c r="O602" s="16" t="s">
        <v>8</v>
      </c>
      <c r="P602" s="16" t="s">
        <v>7</v>
      </c>
      <c r="Q602" s="15" t="s">
        <v>6</v>
      </c>
      <c r="R602" s="1"/>
    </row>
    <row r="603" spans="1:18" ht="15.75" customHeight="1">
      <c r="A603" s="14" t="s">
        <v>5</v>
      </c>
      <c r="B603" s="123">
        <v>7448.9270545000027</v>
      </c>
      <c r="C603" s="12">
        <v>4.7709378667276467E-2</v>
      </c>
      <c r="D603" s="123">
        <v>37912.372783099912</v>
      </c>
      <c r="E603" s="12">
        <v>0.24282366252884072</v>
      </c>
      <c r="F603" s="123">
        <v>11565.971241999987</v>
      </c>
      <c r="G603" s="12">
        <v>7.4078494473382439E-2</v>
      </c>
      <c r="H603" s="123">
        <v>16129.429200999994</v>
      </c>
      <c r="I603" s="12">
        <v>0.10330683060893371</v>
      </c>
      <c r="J603" s="123">
        <v>37171.0974288</v>
      </c>
      <c r="K603" s="12">
        <v>0.23807589331103785</v>
      </c>
      <c r="L603" s="123">
        <v>12601.703585100007</v>
      </c>
      <c r="M603" s="12">
        <v>8.0712221209242013E-2</v>
      </c>
      <c r="N603" s="123">
        <v>33301.793276500102</v>
      </c>
      <c r="O603" s="12">
        <v>0.21329351920127659</v>
      </c>
      <c r="P603" s="123">
        <v>156131.29457100161</v>
      </c>
      <c r="Q603" s="12">
        <v>1</v>
      </c>
      <c r="R603" s="1"/>
    </row>
    <row r="604" spans="1:18">
      <c r="A604" s="9" t="s">
        <v>2</v>
      </c>
      <c r="B604" s="122">
        <v>90.395753500000012</v>
      </c>
      <c r="C604" s="8">
        <v>1.3777313263865488E-2</v>
      </c>
      <c r="D604" s="122">
        <v>2029.4109620999925</v>
      </c>
      <c r="E604" s="8">
        <v>0.30930469057901316</v>
      </c>
      <c r="F604" s="122">
        <v>506.4887460000005</v>
      </c>
      <c r="G604" s="8">
        <v>7.7194490317118752E-2</v>
      </c>
      <c r="H604" s="122">
        <v>942.83314100000052</v>
      </c>
      <c r="I604" s="8">
        <v>0.14369820523827223</v>
      </c>
      <c r="J604" s="122">
        <v>1688.0435667999989</v>
      </c>
      <c r="K604" s="8">
        <v>0.25727652154430491</v>
      </c>
      <c r="L604" s="122">
        <v>391.97230210000038</v>
      </c>
      <c r="M604" s="8">
        <v>5.9740916887099399E-2</v>
      </c>
      <c r="N604" s="122">
        <v>912.05884650000007</v>
      </c>
      <c r="O604" s="8">
        <v>0.13900786217032093</v>
      </c>
      <c r="P604" s="122">
        <v>6561.2033180000262</v>
      </c>
      <c r="Q604" s="8">
        <v>4.2023627204450555E-2</v>
      </c>
      <c r="R604" s="1"/>
    </row>
    <row r="605" spans="1:18">
      <c r="A605" s="9" t="s">
        <v>1</v>
      </c>
      <c r="B605" s="122">
        <v>1299.6580809999998</v>
      </c>
      <c r="C605" s="8">
        <v>2.4755852998965169E-2</v>
      </c>
      <c r="D605" s="122">
        <v>15970.606288999978</v>
      </c>
      <c r="E605" s="8">
        <v>0.3042076892182477</v>
      </c>
      <c r="F605" s="122">
        <v>3502.7260489999967</v>
      </c>
      <c r="G605" s="8">
        <v>6.6719833802726156E-2</v>
      </c>
      <c r="H605" s="122">
        <v>7273.1686530000143</v>
      </c>
      <c r="I605" s="8">
        <v>0.13853912551508224</v>
      </c>
      <c r="J605" s="122">
        <v>14204.305967000006</v>
      </c>
      <c r="K605" s="8">
        <v>0.27056324706634594</v>
      </c>
      <c r="L605" s="122">
        <v>3163.0391249999952</v>
      </c>
      <c r="M605" s="8">
        <v>6.0249486194265671E-2</v>
      </c>
      <c r="N605" s="122">
        <v>7085.51823100001</v>
      </c>
      <c r="O605" s="8">
        <v>0.13496476520436765</v>
      </c>
      <c r="P605" s="122">
        <v>52499.022394999971</v>
      </c>
      <c r="Q605" s="8">
        <v>0.33624919680100218</v>
      </c>
      <c r="R605" s="1"/>
    </row>
    <row r="606" spans="1:18" ht="15.75" thickBot="1">
      <c r="A606" s="9" t="s">
        <v>0</v>
      </c>
      <c r="B606" s="122">
        <v>6058.873220000004</v>
      </c>
      <c r="C606" s="8">
        <v>6.2416879625207727E-2</v>
      </c>
      <c r="D606" s="122">
        <v>19912.355532000005</v>
      </c>
      <c r="E606" s="8">
        <v>0.20513172221404935</v>
      </c>
      <c r="F606" s="122">
        <v>7556.7564469999934</v>
      </c>
      <c r="G606" s="8">
        <v>7.7847669093397978E-2</v>
      </c>
      <c r="H606" s="122">
        <v>7913.4274069999965</v>
      </c>
      <c r="I606" s="8">
        <v>8.1521997234584517E-2</v>
      </c>
      <c r="J606" s="122">
        <v>21278.747894999975</v>
      </c>
      <c r="K606" s="8">
        <v>0.21920792822553151</v>
      </c>
      <c r="L606" s="122">
        <v>9046.692157999998</v>
      </c>
      <c r="M606" s="8">
        <v>9.3196585392852332E-2</v>
      </c>
      <c r="N606" s="122">
        <v>25304.216199000046</v>
      </c>
      <c r="O606" s="8">
        <v>0.26067721821438217</v>
      </c>
      <c r="P606" s="122">
        <v>97071.068857999475</v>
      </c>
      <c r="Q606" s="8">
        <v>0.62172717599453353</v>
      </c>
      <c r="R606" s="1"/>
    </row>
    <row r="607" spans="1:18" ht="15" customHeight="1">
      <c r="A607" s="13" t="s">
        <v>4</v>
      </c>
      <c r="B607" s="123">
        <v>7852.2685384503684</v>
      </c>
      <c r="C607" s="12">
        <v>5.4822623505230109E-2</v>
      </c>
      <c r="D607" s="123">
        <v>32240.59390308721</v>
      </c>
      <c r="E607" s="12">
        <v>0.22509596207502902</v>
      </c>
      <c r="F607" s="123">
        <v>11085.022190053991</v>
      </c>
      <c r="G607" s="12">
        <v>7.7392920924273675E-2</v>
      </c>
      <c r="H607" s="123">
        <v>12300.515842923032</v>
      </c>
      <c r="I607" s="12">
        <v>8.5879201109157269E-2</v>
      </c>
      <c r="J607" s="123">
        <v>34609.035848024956</v>
      </c>
      <c r="K607" s="12">
        <v>0.24163184599258813</v>
      </c>
      <c r="L607" s="123">
        <v>12546.293713478508</v>
      </c>
      <c r="M607" s="12">
        <v>8.7595162247954383E-2</v>
      </c>
      <c r="N607" s="123">
        <v>32596.710909612339</v>
      </c>
      <c r="O607" s="12">
        <v>0.22758228414577031</v>
      </c>
      <c r="P607" s="123">
        <v>143230.44094562999</v>
      </c>
      <c r="Q607" s="12">
        <v>1</v>
      </c>
      <c r="R607" s="1"/>
    </row>
    <row r="608" spans="1:18">
      <c r="A608" s="9" t="s">
        <v>2</v>
      </c>
      <c r="B608" s="122">
        <v>136.54605687948688</v>
      </c>
      <c r="C608" s="8">
        <v>2.1909053500623683E-2</v>
      </c>
      <c r="D608" s="122">
        <v>1683.9475942544218</v>
      </c>
      <c r="E608" s="8">
        <v>0.27019233493742256</v>
      </c>
      <c r="F608" s="122">
        <v>582.72613578437631</v>
      </c>
      <c r="G608" s="8">
        <v>9.3499427056905129E-2</v>
      </c>
      <c r="H608" s="122">
        <v>819.3827224713034</v>
      </c>
      <c r="I608" s="8">
        <v>0.13147139005232866</v>
      </c>
      <c r="J608" s="122">
        <v>1550.2263818671277</v>
      </c>
      <c r="K608" s="8">
        <v>0.24873653267322979</v>
      </c>
      <c r="L608" s="122">
        <v>611.35463433879988</v>
      </c>
      <c r="M608" s="8">
        <v>9.8092919690859176E-2</v>
      </c>
      <c r="N608" s="122">
        <v>848.21975351467256</v>
      </c>
      <c r="O608" s="8">
        <v>0.1360983420886363</v>
      </c>
      <c r="P608" s="122">
        <v>6232.4032791101554</v>
      </c>
      <c r="Q608" s="8">
        <v>4.3513119403688523E-2</v>
      </c>
      <c r="R608" s="1"/>
    </row>
    <row r="609" spans="1:18">
      <c r="A609" s="9" t="s">
        <v>1</v>
      </c>
      <c r="B609" s="122">
        <v>1467.4141580793471</v>
      </c>
      <c r="C609" s="8">
        <v>2.9285038627864177E-2</v>
      </c>
      <c r="D609" s="122">
        <v>14525.729338786083</v>
      </c>
      <c r="E609" s="8">
        <v>0.28988853790331809</v>
      </c>
      <c r="F609" s="122">
        <v>4381.2849044568275</v>
      </c>
      <c r="G609" s="8">
        <v>8.7436867744708338E-2</v>
      </c>
      <c r="H609" s="122">
        <v>4494.4608471799393</v>
      </c>
      <c r="I609" s="8">
        <v>8.9695508794437162E-2</v>
      </c>
      <c r="J609" s="122">
        <v>13168.004115961086</v>
      </c>
      <c r="K609" s="8">
        <v>0.26279255046341393</v>
      </c>
      <c r="L609" s="122">
        <v>4373.80446257116</v>
      </c>
      <c r="M609" s="8">
        <v>8.7287581308858483E-2</v>
      </c>
      <c r="N609" s="122">
        <v>7697.2831364304811</v>
      </c>
      <c r="O609" s="8">
        <v>0.15361391515740397</v>
      </c>
      <c r="P609" s="122">
        <v>50107.980963464717</v>
      </c>
      <c r="Q609" s="8">
        <v>0.34984170007886534</v>
      </c>
      <c r="R609" s="1"/>
    </row>
    <row r="610" spans="1:18" ht="15.75" thickBot="1">
      <c r="A610" s="9" t="s">
        <v>0</v>
      </c>
      <c r="B610" s="122">
        <v>6248.3083234915421</v>
      </c>
      <c r="C610" s="8">
        <v>7.1910510368810451E-2</v>
      </c>
      <c r="D610" s="122">
        <v>16030.916970046523</v>
      </c>
      <c r="E610" s="8">
        <v>0.18449656472007966</v>
      </c>
      <c r="F610" s="122">
        <v>6121.0111498127972</v>
      </c>
      <c r="G610" s="8">
        <v>7.0445473073302844E-2</v>
      </c>
      <c r="H610" s="122">
        <v>6986.6722732717853</v>
      </c>
      <c r="I610" s="8">
        <v>8.0408190975736385E-2</v>
      </c>
      <c r="J610" s="122">
        <v>19890.805350196715</v>
      </c>
      <c r="K610" s="8">
        <v>0.22891923546756573</v>
      </c>
      <c r="L610" s="122">
        <v>7561.1346165685554</v>
      </c>
      <c r="M610" s="8">
        <v>8.7019561310779259E-2</v>
      </c>
      <c r="N610" s="122">
        <v>24051.208019667112</v>
      </c>
      <c r="O610" s="8">
        <v>0.27680046408372955</v>
      </c>
      <c r="P610" s="122">
        <v>86890.056703054695</v>
      </c>
      <c r="Q610" s="8">
        <v>0.60664518051744321</v>
      </c>
      <c r="R610" s="1"/>
    </row>
    <row r="611" spans="1:18" ht="15.75" customHeight="1">
      <c r="A611" s="13" t="s">
        <v>3</v>
      </c>
      <c r="B611" s="123">
        <v>7180.6211631903234</v>
      </c>
      <c r="C611" s="12">
        <v>7.1999748440013528E-2</v>
      </c>
      <c r="D611" s="123">
        <v>21234.504169830729</v>
      </c>
      <c r="E611" s="12">
        <v>0.21291736797279465</v>
      </c>
      <c r="F611" s="123">
        <v>6623.8804320400786</v>
      </c>
      <c r="G611" s="12">
        <v>6.6417335487410828E-2</v>
      </c>
      <c r="H611" s="123">
        <v>9341.9103294625584</v>
      </c>
      <c r="I611" s="12">
        <v>9.3670892584956769E-2</v>
      </c>
      <c r="J611" s="123">
        <v>23419.972747455111</v>
      </c>
      <c r="K611" s="12">
        <v>0.23483095793060246</v>
      </c>
      <c r="L611" s="123">
        <v>10504.286757558777</v>
      </c>
      <c r="M611" s="12">
        <v>0.10532598599728571</v>
      </c>
      <c r="N611" s="123">
        <v>21426.022338923452</v>
      </c>
      <c r="O611" s="12">
        <v>0.21483771158694537</v>
      </c>
      <c r="P611" s="123">
        <v>99731.1979384601</v>
      </c>
      <c r="Q611" s="12">
        <v>1</v>
      </c>
      <c r="R611" s="1"/>
    </row>
    <row r="612" spans="1:18">
      <c r="A612" s="9" t="s">
        <v>2</v>
      </c>
      <c r="B612" s="122">
        <v>202.8916219993001</v>
      </c>
      <c r="C612" s="8">
        <v>3.7424006467911913E-2</v>
      </c>
      <c r="D612" s="122">
        <v>1419.7041453364814</v>
      </c>
      <c r="E612" s="8">
        <v>0.26186895542575495</v>
      </c>
      <c r="F612" s="122">
        <v>393.44302717892231</v>
      </c>
      <c r="G612" s="8">
        <v>7.2571820604547324E-2</v>
      </c>
      <c r="H612" s="122">
        <v>721.6316561885734</v>
      </c>
      <c r="I612" s="8">
        <v>0.13310725944486915</v>
      </c>
      <c r="J612" s="122">
        <v>1449.4889732806123</v>
      </c>
      <c r="K612" s="8">
        <v>0.26736286188991959</v>
      </c>
      <c r="L612" s="122">
        <v>464.4370731896509</v>
      </c>
      <c r="M612" s="8">
        <v>8.5666898710324943E-2</v>
      </c>
      <c r="N612" s="122">
        <v>769.83325202406888</v>
      </c>
      <c r="O612" s="8">
        <v>0.14199819745667866</v>
      </c>
      <c r="P612" s="122">
        <v>5421.429749197574</v>
      </c>
      <c r="Q612" s="8">
        <v>5.4360419420038539E-2</v>
      </c>
      <c r="R612" s="1"/>
    </row>
    <row r="613" spans="1:18">
      <c r="A613" s="9" t="s">
        <v>1</v>
      </c>
      <c r="B613" s="122">
        <v>736.86987259070872</v>
      </c>
      <c r="C613" s="8">
        <v>4.6386005444969583E-2</v>
      </c>
      <c r="D613" s="122">
        <v>4695.412295746758</v>
      </c>
      <c r="E613" s="8">
        <v>0.29557650328562574</v>
      </c>
      <c r="F613" s="122">
        <v>1029.723113541457</v>
      </c>
      <c r="G613" s="8">
        <v>6.4821135628211221E-2</v>
      </c>
      <c r="H613" s="122">
        <v>2091.6745152060475</v>
      </c>
      <c r="I613" s="8">
        <v>0.13167104404788665</v>
      </c>
      <c r="J613" s="122">
        <v>3931.2884412658241</v>
      </c>
      <c r="K613" s="8">
        <v>0.24747485794359758</v>
      </c>
      <c r="L613" s="122">
        <v>1705.4006595229439</v>
      </c>
      <c r="M613" s="8">
        <v>0.10735508021295571</v>
      </c>
      <c r="N613" s="122">
        <v>1695.2385288079452</v>
      </c>
      <c r="O613" s="8">
        <v>0.10671537343674958</v>
      </c>
      <c r="P613" s="122">
        <v>15885.607426681747</v>
      </c>
      <c r="Q613" s="8">
        <v>0.15928423357036264</v>
      </c>
      <c r="R613" s="1"/>
    </row>
    <row r="614" spans="1:18" ht="15.75" thickBot="1">
      <c r="A614" s="5" t="s">
        <v>0</v>
      </c>
      <c r="B614" s="121">
        <v>6240.8596686003175</v>
      </c>
      <c r="C614" s="4">
        <v>7.9578278019367399E-2</v>
      </c>
      <c r="D614" s="121">
        <v>15119.387728747453</v>
      </c>
      <c r="E614" s="4">
        <v>0.19278992062814981</v>
      </c>
      <c r="F614" s="121">
        <v>5200.7142913197085</v>
      </c>
      <c r="G614" s="4">
        <v>6.6315204915792833E-2</v>
      </c>
      <c r="H614" s="121">
        <v>6528.6041580679748</v>
      </c>
      <c r="I614" s="4">
        <v>8.3247357632967117E-2</v>
      </c>
      <c r="J614" s="121">
        <v>18039.195332908621</v>
      </c>
      <c r="K614" s="4">
        <v>0.23002089097924439</v>
      </c>
      <c r="L614" s="121">
        <v>8334.4490248461916</v>
      </c>
      <c r="M614" s="4">
        <v>0.10627399699025847</v>
      </c>
      <c r="N614" s="121">
        <v>18960.950558091452</v>
      </c>
      <c r="O614" s="4">
        <v>0.24177435083421578</v>
      </c>
      <c r="P614" s="121">
        <v>78424.160762582047</v>
      </c>
      <c r="Q614" s="4">
        <v>0.78635534700961163</v>
      </c>
      <c r="R614" s="1"/>
    </row>
    <row r="618" spans="1:18" ht="15.75" thickBot="1"/>
    <row r="619" spans="1:18" ht="15" customHeight="1">
      <c r="A619" s="602" t="s">
        <v>13</v>
      </c>
      <c r="B619" s="642" t="s">
        <v>339</v>
      </c>
      <c r="C619" s="589"/>
      <c r="D619" s="589"/>
      <c r="E619" s="589"/>
      <c r="F619" s="589"/>
      <c r="G619" s="589"/>
      <c r="H619" s="589"/>
      <c r="I619" s="589"/>
      <c r="J619" s="589"/>
      <c r="K619" s="589"/>
      <c r="L619" s="589"/>
      <c r="M619" s="589"/>
      <c r="N619" s="589"/>
      <c r="O619" s="590"/>
      <c r="P619" s="1"/>
    </row>
    <row r="620" spans="1:18" ht="33.75" customHeight="1">
      <c r="A620" s="603"/>
      <c r="B620" s="708" t="s">
        <v>140</v>
      </c>
      <c r="C620" s="702"/>
      <c r="D620" s="709" t="s">
        <v>139</v>
      </c>
      <c r="E620" s="702"/>
      <c r="F620" s="709" t="s">
        <v>138</v>
      </c>
      <c r="G620" s="702"/>
      <c r="H620" s="709" t="s">
        <v>77</v>
      </c>
      <c r="I620" s="702"/>
      <c r="J620" s="709" t="s">
        <v>137</v>
      </c>
      <c r="K620" s="702"/>
      <c r="L620" s="709" t="s">
        <v>136</v>
      </c>
      <c r="M620" s="702"/>
      <c r="N620" s="710" t="s">
        <v>9</v>
      </c>
      <c r="O620" s="705"/>
      <c r="P620" s="1"/>
    </row>
    <row r="621" spans="1:18" ht="15.75" thickBot="1">
      <c r="A621" s="604"/>
      <c r="B621" s="124" t="s">
        <v>7</v>
      </c>
      <c r="C621" s="16" t="s">
        <v>8</v>
      </c>
      <c r="D621" s="16" t="s">
        <v>7</v>
      </c>
      <c r="E621" s="16" t="s">
        <v>8</v>
      </c>
      <c r="F621" s="16" t="s">
        <v>7</v>
      </c>
      <c r="G621" s="16" t="s">
        <v>8</v>
      </c>
      <c r="H621" s="16" t="s">
        <v>7</v>
      </c>
      <c r="I621" s="16" t="s">
        <v>8</v>
      </c>
      <c r="J621" s="16" t="s">
        <v>7</v>
      </c>
      <c r="K621" s="16" t="s">
        <v>8</v>
      </c>
      <c r="L621" s="16" t="s">
        <v>7</v>
      </c>
      <c r="M621" s="16" t="s">
        <v>8</v>
      </c>
      <c r="N621" s="16" t="s">
        <v>7</v>
      </c>
      <c r="O621" s="15" t="s">
        <v>6</v>
      </c>
      <c r="P621" s="1"/>
    </row>
    <row r="622" spans="1:18" ht="15.75" customHeight="1">
      <c r="A622" s="14" t="s">
        <v>5</v>
      </c>
      <c r="B622" s="123">
        <v>7989.7163570000066</v>
      </c>
      <c r="C622" s="12">
        <v>5.1173061614285385E-2</v>
      </c>
      <c r="D622" s="123">
        <v>13240.309702999992</v>
      </c>
      <c r="E622" s="12">
        <v>8.480240773882064E-2</v>
      </c>
      <c r="F622" s="123">
        <v>80680.591977999531</v>
      </c>
      <c r="G622" s="12">
        <v>0.51674837001565732</v>
      </c>
      <c r="H622" s="123">
        <v>20747.889592800042</v>
      </c>
      <c r="I622" s="12">
        <v>0.13288744994915047</v>
      </c>
      <c r="J622" s="123">
        <v>26247.019518600053</v>
      </c>
      <c r="K622" s="12">
        <v>0.16810863953135333</v>
      </c>
      <c r="L622" s="123">
        <v>7225.7674216000105</v>
      </c>
      <c r="M622" s="12">
        <v>4.6280071150720213E-2</v>
      </c>
      <c r="N622" s="123">
        <v>156131.29457100161</v>
      </c>
      <c r="O622" s="12">
        <v>1</v>
      </c>
      <c r="P622" s="1"/>
    </row>
    <row r="623" spans="1:18">
      <c r="A623" s="9" t="s">
        <v>2</v>
      </c>
      <c r="B623" s="122">
        <v>217.70992399999992</v>
      </c>
      <c r="C623" s="8">
        <v>3.3181401863090237E-2</v>
      </c>
      <c r="D623" s="122">
        <v>225.41525599999994</v>
      </c>
      <c r="E623" s="8">
        <v>3.435577973656067E-2</v>
      </c>
      <c r="F623" s="122">
        <v>1241.5222659999979</v>
      </c>
      <c r="G623" s="8">
        <v>0.18922173354908875</v>
      </c>
      <c r="H623" s="122">
        <v>2511.8204798000006</v>
      </c>
      <c r="I623" s="8">
        <v>0.38282924001288976</v>
      </c>
      <c r="J623" s="122">
        <v>1694.9691275999949</v>
      </c>
      <c r="K623" s="8">
        <v>0.25833205365698864</v>
      </c>
      <c r="L623" s="122">
        <v>669.76626460000034</v>
      </c>
      <c r="M623" s="8">
        <v>0.10207979118137697</v>
      </c>
      <c r="N623" s="122">
        <v>6561.2033180000262</v>
      </c>
      <c r="O623" s="8">
        <v>4.2023627204450555E-2</v>
      </c>
      <c r="P623" s="1"/>
    </row>
    <row r="624" spans="1:18">
      <c r="A624" s="9" t="s">
        <v>1</v>
      </c>
      <c r="B624" s="122">
        <v>2553.8641799999991</v>
      </c>
      <c r="C624" s="8">
        <v>4.8645937838324965E-2</v>
      </c>
      <c r="D624" s="122">
        <v>2530.0695659999988</v>
      </c>
      <c r="E624" s="8">
        <v>4.819269865567942E-2</v>
      </c>
      <c r="F624" s="122">
        <v>11613.548823000014</v>
      </c>
      <c r="G624" s="8">
        <v>0.22121457301852715</v>
      </c>
      <c r="H624" s="122">
        <v>14489.394502000001</v>
      </c>
      <c r="I624" s="8">
        <v>0.27599360599484185</v>
      </c>
      <c r="J624" s="122">
        <v>16402.042238999969</v>
      </c>
      <c r="K624" s="8">
        <v>0.3124256698647041</v>
      </c>
      <c r="L624" s="122">
        <v>4910.1030849999997</v>
      </c>
      <c r="M624" s="8">
        <v>9.3527514627922678E-2</v>
      </c>
      <c r="N624" s="122">
        <v>52499.022394999971</v>
      </c>
      <c r="O624" s="8">
        <v>0.33624919680100218</v>
      </c>
      <c r="P624" s="1"/>
    </row>
    <row r="625" spans="1:46" ht="15.75" thickBot="1">
      <c r="A625" s="9" t="s">
        <v>0</v>
      </c>
      <c r="B625" s="122">
        <v>5218.1422530000036</v>
      </c>
      <c r="C625" s="8">
        <v>5.3755895699813185E-2</v>
      </c>
      <c r="D625" s="122">
        <v>10484.824880999995</v>
      </c>
      <c r="E625" s="8">
        <v>0.10801184126588462</v>
      </c>
      <c r="F625" s="122">
        <v>67825.520889000079</v>
      </c>
      <c r="G625" s="8">
        <v>0.69872024370328834</v>
      </c>
      <c r="H625" s="122">
        <v>3746.6746109999999</v>
      </c>
      <c r="I625" s="8">
        <v>3.85972324718174E-2</v>
      </c>
      <c r="J625" s="122">
        <v>8150.0081519999958</v>
      </c>
      <c r="K625" s="8">
        <v>8.3959188333675869E-2</v>
      </c>
      <c r="L625" s="122">
        <v>1645.8980720000004</v>
      </c>
      <c r="M625" s="8">
        <v>1.6955598525526739E-2</v>
      </c>
      <c r="N625" s="122">
        <v>97071.068857999475</v>
      </c>
      <c r="O625" s="8">
        <v>0.62172717599453353</v>
      </c>
      <c r="P625" s="1"/>
    </row>
    <row r="626" spans="1:46" ht="15" customHeight="1">
      <c r="A626" s="13" t="s">
        <v>4</v>
      </c>
      <c r="B626" s="123">
        <v>8103.4232963107224</v>
      </c>
      <c r="C626" s="12">
        <v>5.6576124759587711E-2</v>
      </c>
      <c r="D626" s="123">
        <v>24976.626987300719</v>
      </c>
      <c r="E626" s="12">
        <v>0.17438071699284791</v>
      </c>
      <c r="F626" s="123">
        <v>71736.637014914319</v>
      </c>
      <c r="G626" s="12">
        <v>0.50084770067939266</v>
      </c>
      <c r="H626" s="123">
        <v>16419.10185023988</v>
      </c>
      <c r="I626" s="12">
        <v>0.11463416395172965</v>
      </c>
      <c r="J626" s="123">
        <v>15988.304875376325</v>
      </c>
      <c r="K626" s="12">
        <v>0.11162644455898489</v>
      </c>
      <c r="L626" s="123">
        <v>6006.3469214881898</v>
      </c>
      <c r="M626" s="12">
        <v>4.1934849057458312E-2</v>
      </c>
      <c r="N626" s="123">
        <v>143230.44094562999</v>
      </c>
      <c r="O626" s="12">
        <v>1</v>
      </c>
      <c r="P626" s="1"/>
    </row>
    <row r="627" spans="1:46">
      <c r="A627" s="9" t="s">
        <v>2</v>
      </c>
      <c r="B627" s="122">
        <v>238.0059754065442</v>
      </c>
      <c r="C627" s="8">
        <v>3.8188474774136567E-2</v>
      </c>
      <c r="D627" s="122">
        <v>493.25291691756166</v>
      </c>
      <c r="E627" s="8">
        <v>7.9143292695909584E-2</v>
      </c>
      <c r="F627" s="122">
        <v>1955.1157370851768</v>
      </c>
      <c r="G627" s="8">
        <v>0.31370173744025154</v>
      </c>
      <c r="H627" s="122">
        <v>1701.5634463023327</v>
      </c>
      <c r="I627" s="8">
        <v>0.27301882918996173</v>
      </c>
      <c r="J627" s="122">
        <v>1409.2510415816025</v>
      </c>
      <c r="K627" s="8">
        <v>0.22611679290798578</v>
      </c>
      <c r="L627" s="122">
        <v>435.21416181697168</v>
      </c>
      <c r="M627" s="8">
        <v>6.9830872991760301E-2</v>
      </c>
      <c r="N627" s="122">
        <v>6232.4032791101554</v>
      </c>
      <c r="O627" s="8">
        <v>4.3513119403688523E-2</v>
      </c>
      <c r="P627" s="1"/>
    </row>
    <row r="628" spans="1:46">
      <c r="A628" s="9" t="s">
        <v>1</v>
      </c>
      <c r="B628" s="122">
        <v>2710.161068958465</v>
      </c>
      <c r="C628" s="8">
        <v>5.408641531444916E-2</v>
      </c>
      <c r="D628" s="122">
        <v>3704.2256245952904</v>
      </c>
      <c r="E628" s="8">
        <v>7.3924862933434823E-2</v>
      </c>
      <c r="F628" s="122">
        <v>17052.35685276808</v>
      </c>
      <c r="G628" s="8">
        <v>0.34031219228732212</v>
      </c>
      <c r="H628" s="122">
        <v>11879.666377701213</v>
      </c>
      <c r="I628" s="8">
        <v>0.23708132216229277</v>
      </c>
      <c r="J628" s="122">
        <v>10580.84001479701</v>
      </c>
      <c r="K628" s="8">
        <v>0.21116077342074166</v>
      </c>
      <c r="L628" s="122">
        <v>4180.7310246448478</v>
      </c>
      <c r="M628" s="8">
        <v>8.3434433881763234E-2</v>
      </c>
      <c r="N628" s="122">
        <v>50107.980963464717</v>
      </c>
      <c r="O628" s="8">
        <v>0.34984170007886534</v>
      </c>
      <c r="P628" s="1"/>
    </row>
    <row r="629" spans="1:46" ht="15.75" thickBot="1">
      <c r="A629" s="9" t="s">
        <v>0</v>
      </c>
      <c r="B629" s="122">
        <v>5155.256251945726</v>
      </c>
      <c r="C629" s="8">
        <v>5.9330796267790767E-2</v>
      </c>
      <c r="D629" s="122">
        <v>20779.148445787847</v>
      </c>
      <c r="E629" s="8">
        <v>0.23914299557658519</v>
      </c>
      <c r="F629" s="122">
        <v>52729.164425061244</v>
      </c>
      <c r="G629" s="8">
        <v>0.60684923483549191</v>
      </c>
      <c r="H629" s="122">
        <v>2837.8720262363545</v>
      </c>
      <c r="I629" s="8">
        <v>3.2660492280891636E-2</v>
      </c>
      <c r="J629" s="122">
        <v>3998.2138189977113</v>
      </c>
      <c r="K629" s="8">
        <v>4.6014630105048034E-2</v>
      </c>
      <c r="L629" s="122">
        <v>1390.4017350263732</v>
      </c>
      <c r="M629" s="8">
        <v>1.6001850934198925E-2</v>
      </c>
      <c r="N629" s="122">
        <v>86890.056703054695</v>
      </c>
      <c r="O629" s="8">
        <v>0.60664518051744321</v>
      </c>
      <c r="P629" s="1"/>
    </row>
    <row r="630" spans="1:46" ht="15.75" customHeight="1">
      <c r="A630" s="13" t="s">
        <v>3</v>
      </c>
      <c r="B630" s="123">
        <v>8673.6912774114171</v>
      </c>
      <c r="C630" s="12">
        <v>8.6970691786571977E-2</v>
      </c>
      <c r="D630" s="123">
        <v>27283.416398111203</v>
      </c>
      <c r="E630" s="12">
        <v>0.27356952450272026</v>
      </c>
      <c r="F630" s="123">
        <v>48983.977820364511</v>
      </c>
      <c r="G630" s="12">
        <v>0.49116002648028406</v>
      </c>
      <c r="H630" s="123">
        <v>6690.8456533349545</v>
      </c>
      <c r="I630" s="12">
        <v>6.7088792590896104E-2</v>
      </c>
      <c r="J630" s="123">
        <v>5615.6613127780565</v>
      </c>
      <c r="K630" s="12">
        <v>5.630797011225358E-2</v>
      </c>
      <c r="L630" s="123">
        <v>2483.6054764610822</v>
      </c>
      <c r="M630" s="12">
        <v>2.4902994527285331E-2</v>
      </c>
      <c r="N630" s="123">
        <v>99731.1979384601</v>
      </c>
      <c r="O630" s="12">
        <v>1</v>
      </c>
      <c r="P630" s="1"/>
    </row>
    <row r="631" spans="1:46">
      <c r="A631" s="9" t="s">
        <v>2</v>
      </c>
      <c r="B631" s="122">
        <v>295.48917054228258</v>
      </c>
      <c r="C631" s="8">
        <v>5.4503919484711193E-2</v>
      </c>
      <c r="D631" s="122">
        <v>607.1844317134902</v>
      </c>
      <c r="E631" s="8">
        <v>0.11199710404868007</v>
      </c>
      <c r="F631" s="122">
        <v>2196.9917308303438</v>
      </c>
      <c r="G631" s="8">
        <v>0.40524212845431051</v>
      </c>
      <c r="H631" s="122">
        <v>1258.6088973974272</v>
      </c>
      <c r="I631" s="8">
        <v>0.23215442339425571</v>
      </c>
      <c r="J631" s="122">
        <v>692.62142847865493</v>
      </c>
      <c r="K631" s="8">
        <v>0.12775623046322235</v>
      </c>
      <c r="L631" s="122">
        <v>370.53409023541752</v>
      </c>
      <c r="M631" s="8">
        <v>6.8346194154827941E-2</v>
      </c>
      <c r="N631" s="122">
        <v>5421.429749197574</v>
      </c>
      <c r="O631" s="8">
        <v>5.4360419420038539E-2</v>
      </c>
      <c r="P631" s="1"/>
    </row>
    <row r="632" spans="1:46">
      <c r="A632" s="9" t="s">
        <v>1</v>
      </c>
      <c r="B632" s="122">
        <v>1151.2070214024136</v>
      </c>
      <c r="C632" s="8">
        <v>7.2468555370997403E-2</v>
      </c>
      <c r="D632" s="122">
        <v>2217.2202587433858</v>
      </c>
      <c r="E632" s="8">
        <v>0.13957415660538755</v>
      </c>
      <c r="F632" s="122">
        <v>6283.5216646205827</v>
      </c>
      <c r="G632" s="8">
        <v>0.39554808927650248</v>
      </c>
      <c r="H632" s="122">
        <v>2792.0763514597588</v>
      </c>
      <c r="I632" s="8">
        <v>0.1757613842811033</v>
      </c>
      <c r="J632" s="122">
        <v>2595.2209646165456</v>
      </c>
      <c r="K632" s="8">
        <v>0.16336932513248228</v>
      </c>
      <c r="L632" s="122">
        <v>846.36116583899241</v>
      </c>
      <c r="M632" s="8">
        <v>5.3278489333522694E-2</v>
      </c>
      <c r="N632" s="122">
        <v>15885.607426681747</v>
      </c>
      <c r="O632" s="8">
        <v>0.15928423357036264</v>
      </c>
      <c r="P632" s="1"/>
    </row>
    <row r="633" spans="1:46" ht="15.75" thickBot="1">
      <c r="A633" s="5" t="s">
        <v>0</v>
      </c>
      <c r="B633" s="121">
        <v>7226.9950854667377</v>
      </c>
      <c r="C633" s="4">
        <v>9.2152660802395245E-2</v>
      </c>
      <c r="D633" s="121">
        <v>24459.011707654307</v>
      </c>
      <c r="E633" s="4">
        <v>0.31188107682402205</v>
      </c>
      <c r="F633" s="121">
        <v>40503.464424913582</v>
      </c>
      <c r="G633" s="4">
        <v>0.51646666067019875</v>
      </c>
      <c r="H633" s="121">
        <v>2640.1604044777891</v>
      </c>
      <c r="I633" s="4">
        <v>3.3665140676104877E-2</v>
      </c>
      <c r="J633" s="121">
        <v>2327.8189196828771</v>
      </c>
      <c r="K633" s="4">
        <v>2.968242053274904E-2</v>
      </c>
      <c r="L633" s="121">
        <v>1266.7102203866707</v>
      </c>
      <c r="M633" s="4">
        <v>1.615204049452891E-2</v>
      </c>
      <c r="N633" s="121">
        <v>78424.160762582047</v>
      </c>
      <c r="O633" s="4">
        <v>0.78635534700961163</v>
      </c>
      <c r="P633" s="1"/>
    </row>
    <row r="638" spans="1:46" ht="15.75" thickBot="1"/>
    <row r="639" spans="1:46" ht="15" customHeight="1">
      <c r="A639" s="717" t="s">
        <v>13</v>
      </c>
      <c r="B639" s="642" t="s">
        <v>340</v>
      </c>
      <c r="C639" s="589"/>
      <c r="D639" s="589"/>
      <c r="E639" s="589"/>
      <c r="F639" s="589"/>
      <c r="G639" s="589"/>
      <c r="H639" s="589"/>
      <c r="I639" s="589"/>
      <c r="J639" s="589"/>
      <c r="K639" s="589"/>
      <c r="L639" s="589"/>
      <c r="M639" s="589"/>
      <c r="N639" s="589"/>
      <c r="O639" s="589"/>
      <c r="P639" s="589"/>
      <c r="Q639" s="589"/>
      <c r="R639" s="589"/>
      <c r="S639" s="589"/>
      <c r="T639" s="589"/>
      <c r="U639" s="589"/>
      <c r="V639" s="589"/>
      <c r="W639" s="589"/>
      <c r="X639" s="589"/>
      <c r="Y639" s="589"/>
      <c r="Z639" s="589"/>
      <c r="AA639" s="589"/>
      <c r="AB639" s="589"/>
      <c r="AC639" s="589"/>
      <c r="AD639" s="589"/>
      <c r="AE639" s="589"/>
      <c r="AF639" s="589"/>
      <c r="AG639" s="589"/>
      <c r="AH639" s="589"/>
      <c r="AI639" s="589"/>
      <c r="AJ639" s="589"/>
      <c r="AK639" s="589"/>
      <c r="AL639" s="589"/>
      <c r="AM639" s="589"/>
      <c r="AN639" s="589"/>
      <c r="AO639" s="589"/>
      <c r="AP639" s="589"/>
      <c r="AQ639" s="589"/>
      <c r="AR639" s="589"/>
      <c r="AS639" s="590"/>
      <c r="AT639" s="1"/>
    </row>
    <row r="640" spans="1:46" s="126" customFormat="1" ht="60" customHeight="1">
      <c r="A640" s="718"/>
      <c r="B640" s="715" t="s">
        <v>117</v>
      </c>
      <c r="C640" s="707"/>
      <c r="D640" s="706" t="s">
        <v>116</v>
      </c>
      <c r="E640" s="707"/>
      <c r="F640" s="706" t="s">
        <v>115</v>
      </c>
      <c r="G640" s="707"/>
      <c r="H640" s="706" t="s">
        <v>114</v>
      </c>
      <c r="I640" s="707"/>
      <c r="J640" s="706" t="s">
        <v>113</v>
      </c>
      <c r="K640" s="707"/>
      <c r="L640" s="706" t="s">
        <v>112</v>
      </c>
      <c r="M640" s="707"/>
      <c r="N640" s="706" t="s">
        <v>111</v>
      </c>
      <c r="O640" s="707"/>
      <c r="P640" s="706" t="s">
        <v>110</v>
      </c>
      <c r="Q640" s="707"/>
      <c r="R640" s="706" t="s">
        <v>109</v>
      </c>
      <c r="S640" s="707"/>
      <c r="T640" s="706" t="s">
        <v>108</v>
      </c>
      <c r="U640" s="707"/>
      <c r="V640" s="706" t="s">
        <v>107</v>
      </c>
      <c r="W640" s="707"/>
      <c r="X640" s="706" t="s">
        <v>106</v>
      </c>
      <c r="Y640" s="707"/>
      <c r="Z640" s="706" t="s">
        <v>105</v>
      </c>
      <c r="AA640" s="707"/>
      <c r="AB640" s="706" t="s">
        <v>104</v>
      </c>
      <c r="AC640" s="707"/>
      <c r="AD640" s="706" t="s">
        <v>103</v>
      </c>
      <c r="AE640" s="707"/>
      <c r="AF640" s="706" t="s">
        <v>102</v>
      </c>
      <c r="AG640" s="707"/>
      <c r="AH640" s="706" t="s">
        <v>101</v>
      </c>
      <c r="AI640" s="707"/>
      <c r="AJ640" s="706" t="s">
        <v>100</v>
      </c>
      <c r="AK640" s="707"/>
      <c r="AL640" s="706" t="s">
        <v>99</v>
      </c>
      <c r="AM640" s="707"/>
      <c r="AN640" s="706" t="s">
        <v>98</v>
      </c>
      <c r="AO640" s="707"/>
      <c r="AP640" s="706" t="s">
        <v>97</v>
      </c>
      <c r="AQ640" s="707"/>
      <c r="AR640" s="720" t="s">
        <v>9</v>
      </c>
      <c r="AS640" s="721"/>
      <c r="AT640" s="127"/>
    </row>
    <row r="641" spans="1:46" ht="15.75" thickBot="1">
      <c r="A641" s="719"/>
      <c r="B641" s="125" t="s">
        <v>7</v>
      </c>
      <c r="C641" s="16" t="s">
        <v>8</v>
      </c>
      <c r="D641" s="16" t="s">
        <v>7</v>
      </c>
      <c r="E641" s="16" t="s">
        <v>8</v>
      </c>
      <c r="F641" s="16" t="s">
        <v>7</v>
      </c>
      <c r="G641" s="16" t="s">
        <v>8</v>
      </c>
      <c r="H641" s="16" t="s">
        <v>7</v>
      </c>
      <c r="I641" s="16" t="s">
        <v>8</v>
      </c>
      <c r="J641" s="16" t="s">
        <v>7</v>
      </c>
      <c r="K641" s="16" t="s">
        <v>8</v>
      </c>
      <c r="L641" s="16" t="s">
        <v>7</v>
      </c>
      <c r="M641" s="16" t="s">
        <v>8</v>
      </c>
      <c r="N641" s="16" t="s">
        <v>7</v>
      </c>
      <c r="O641" s="16" t="s">
        <v>8</v>
      </c>
      <c r="P641" s="16" t="s">
        <v>7</v>
      </c>
      <c r="Q641" s="16" t="s">
        <v>8</v>
      </c>
      <c r="R641" s="16" t="s">
        <v>7</v>
      </c>
      <c r="S641" s="16" t="s">
        <v>8</v>
      </c>
      <c r="T641" s="16" t="s">
        <v>7</v>
      </c>
      <c r="U641" s="16" t="s">
        <v>8</v>
      </c>
      <c r="V641" s="16" t="s">
        <v>7</v>
      </c>
      <c r="W641" s="16" t="s">
        <v>8</v>
      </c>
      <c r="X641" s="16" t="s">
        <v>7</v>
      </c>
      <c r="Y641" s="16" t="s">
        <v>8</v>
      </c>
      <c r="Z641" s="16" t="s">
        <v>7</v>
      </c>
      <c r="AA641" s="16" t="s">
        <v>8</v>
      </c>
      <c r="AB641" s="16" t="s">
        <v>7</v>
      </c>
      <c r="AC641" s="16" t="s">
        <v>8</v>
      </c>
      <c r="AD641" s="16" t="s">
        <v>7</v>
      </c>
      <c r="AE641" s="16" t="s">
        <v>8</v>
      </c>
      <c r="AF641" s="16" t="s">
        <v>7</v>
      </c>
      <c r="AG641" s="16" t="s">
        <v>8</v>
      </c>
      <c r="AH641" s="16" t="s">
        <v>7</v>
      </c>
      <c r="AI641" s="16" t="s">
        <v>8</v>
      </c>
      <c r="AJ641" s="16" t="s">
        <v>7</v>
      </c>
      <c r="AK641" s="16" t="s">
        <v>8</v>
      </c>
      <c r="AL641" s="16" t="s">
        <v>7</v>
      </c>
      <c r="AM641" s="16" t="s">
        <v>8</v>
      </c>
      <c r="AN641" s="16" t="s">
        <v>7</v>
      </c>
      <c r="AO641" s="16" t="s">
        <v>8</v>
      </c>
      <c r="AP641" s="16" t="s">
        <v>7</v>
      </c>
      <c r="AQ641" s="16" t="s">
        <v>8</v>
      </c>
      <c r="AR641" s="16" t="s">
        <v>7</v>
      </c>
      <c r="AS641" s="15" t="s">
        <v>6</v>
      </c>
      <c r="AT641" s="1"/>
    </row>
    <row r="642" spans="1:46" ht="15.75" customHeight="1">
      <c r="A642" s="14" t="s">
        <v>5</v>
      </c>
      <c r="B642" s="123">
        <v>2520.2859015999998</v>
      </c>
      <c r="C642" s="12">
        <v>1.6142093156435625E-2</v>
      </c>
      <c r="D642" s="123">
        <v>1137.4043129999998</v>
      </c>
      <c r="E642" s="12">
        <v>7.2849220659139454E-3</v>
      </c>
      <c r="F642" s="123">
        <v>14857.701684300024</v>
      </c>
      <c r="G642" s="12">
        <v>9.5161586439952289E-2</v>
      </c>
      <c r="H642" s="123">
        <v>1924.1670475000003</v>
      </c>
      <c r="I642" s="12">
        <v>1.2324031852723634E-2</v>
      </c>
      <c r="J642" s="123">
        <v>1374.0673359999994</v>
      </c>
      <c r="K642" s="12">
        <v>8.80071698486516E-3</v>
      </c>
      <c r="L642" s="123">
        <v>9154.8286669999998</v>
      </c>
      <c r="M642" s="12">
        <v>5.8635449684539626E-2</v>
      </c>
      <c r="N642" s="123">
        <v>19484.345203000008</v>
      </c>
      <c r="O642" s="12">
        <v>0.12479461761036888</v>
      </c>
      <c r="P642" s="123">
        <v>4900.2092408000071</v>
      </c>
      <c r="Q642" s="12">
        <v>3.1385182927383008E-2</v>
      </c>
      <c r="R642" s="123">
        <v>1198.1837439999995</v>
      </c>
      <c r="S642" s="12">
        <v>7.6742061691874239E-3</v>
      </c>
      <c r="T642" s="123">
        <v>8487.9714355000106</v>
      </c>
      <c r="U642" s="12">
        <v>5.4364318561645281E-2</v>
      </c>
      <c r="V642" s="123">
        <v>23691.354008000013</v>
      </c>
      <c r="W642" s="12">
        <v>0.15173994472470242</v>
      </c>
      <c r="X642" s="123">
        <v>860.64400999999998</v>
      </c>
      <c r="Y642" s="12">
        <v>5.5123094467689638E-3</v>
      </c>
      <c r="Z642" s="123">
        <v>11879.508070799997</v>
      </c>
      <c r="AA642" s="12">
        <v>7.6086655807479531E-2</v>
      </c>
      <c r="AB642" s="123">
        <v>6310.7041820000068</v>
      </c>
      <c r="AC642" s="12">
        <v>4.0419213837557581E-2</v>
      </c>
      <c r="AD642" s="123">
        <v>6744.4768410000097</v>
      </c>
      <c r="AE642" s="12">
        <v>4.319746953697947E-2</v>
      </c>
      <c r="AF642" s="123">
        <v>21258.657324000033</v>
      </c>
      <c r="AG642" s="12">
        <v>0.13615884875874473</v>
      </c>
      <c r="AH642" s="123">
        <v>16511.300165999997</v>
      </c>
      <c r="AI642" s="12">
        <v>0.10575266291980555</v>
      </c>
      <c r="AJ642" s="123">
        <v>1040.891247</v>
      </c>
      <c r="AK642" s="12">
        <v>6.6667688233805599E-3</v>
      </c>
      <c r="AL642" s="123">
        <v>2399.4435664999992</v>
      </c>
      <c r="AM642" s="12">
        <v>1.5368114208576159E-2</v>
      </c>
      <c r="AN642" s="123">
        <v>76.361114999999998</v>
      </c>
      <c r="AO642" s="12">
        <v>4.8908269933850025E-4</v>
      </c>
      <c r="AP642" s="123">
        <v>318.789468</v>
      </c>
      <c r="AQ642" s="12">
        <v>2.0418037836420337E-3</v>
      </c>
      <c r="AR642" s="123">
        <v>156131.29457100161</v>
      </c>
      <c r="AS642" s="12">
        <v>1</v>
      </c>
      <c r="AT642" s="1"/>
    </row>
    <row r="643" spans="1:46">
      <c r="A643" s="9" t="s">
        <v>2</v>
      </c>
      <c r="B643" s="122">
        <v>86.589780600000012</v>
      </c>
      <c r="C643" s="8">
        <v>1.3197240872333484E-2</v>
      </c>
      <c r="D643" s="122">
        <v>44.580881000000005</v>
      </c>
      <c r="E643" s="8">
        <v>6.7946196511997538E-3</v>
      </c>
      <c r="F643" s="122">
        <v>936.8038882999997</v>
      </c>
      <c r="G643" s="8">
        <v>0.14277928039967439</v>
      </c>
      <c r="H643" s="122">
        <v>57.220485500000009</v>
      </c>
      <c r="I643" s="8">
        <v>8.7210352623917544E-3</v>
      </c>
      <c r="J643" s="122">
        <v>74.66893300000001</v>
      </c>
      <c r="K643" s="8">
        <v>1.1380371767348378E-2</v>
      </c>
      <c r="L643" s="122">
        <v>411.02533400000021</v>
      </c>
      <c r="M643" s="8">
        <v>6.2644809812918312E-2</v>
      </c>
      <c r="N643" s="122">
        <v>1082.3049039999999</v>
      </c>
      <c r="O643" s="8">
        <v>0.1649552454853519</v>
      </c>
      <c r="P643" s="122">
        <v>342.99922979999991</v>
      </c>
      <c r="Q643" s="8">
        <v>5.2276878672394549E-2</v>
      </c>
      <c r="R643" s="122">
        <v>198.05274799999995</v>
      </c>
      <c r="S643" s="8">
        <v>3.0185430690230466E-2</v>
      </c>
      <c r="T643" s="122">
        <v>502.32839350000046</v>
      </c>
      <c r="U643" s="8">
        <v>7.6560406552546714E-2</v>
      </c>
      <c r="V643" s="122">
        <v>665.50378800000055</v>
      </c>
      <c r="W643" s="8">
        <v>0.1014301425737342</v>
      </c>
      <c r="X643" s="122">
        <v>66.653779000000014</v>
      </c>
      <c r="Y643" s="8">
        <v>1.0158773592207062E-2</v>
      </c>
      <c r="Z643" s="122">
        <v>389.45857280000007</v>
      </c>
      <c r="AA643" s="8">
        <v>5.9357796721762633E-2</v>
      </c>
      <c r="AB643" s="122">
        <v>451.48712000000017</v>
      </c>
      <c r="AC643" s="8">
        <v>6.88116337991522E-2</v>
      </c>
      <c r="AD643" s="122">
        <v>244.07141099999984</v>
      </c>
      <c r="AE643" s="8">
        <v>3.7199184230492226E-2</v>
      </c>
      <c r="AF643" s="122">
        <v>332.56781299999994</v>
      </c>
      <c r="AG643" s="8">
        <v>5.0687015305200547E-2</v>
      </c>
      <c r="AH643" s="122">
        <v>502.37581200000045</v>
      </c>
      <c r="AI643" s="8">
        <v>7.6567633656738091E-2</v>
      </c>
      <c r="AJ643" s="122">
        <v>59.411859000000007</v>
      </c>
      <c r="AK643" s="8">
        <v>9.055024836223155E-3</v>
      </c>
      <c r="AL643" s="122">
        <v>102.21673350000002</v>
      </c>
      <c r="AM643" s="8">
        <v>1.5578961441353036E-2</v>
      </c>
      <c r="AN643" s="122">
        <v>0</v>
      </c>
      <c r="AO643" s="8">
        <v>0</v>
      </c>
      <c r="AP643" s="122">
        <v>10.881852</v>
      </c>
      <c r="AQ643" s="8">
        <v>1.6585146767433181E-3</v>
      </c>
      <c r="AR643" s="122">
        <v>6561.2033180000262</v>
      </c>
      <c r="AS643" s="8">
        <v>4.2023627204450555E-2</v>
      </c>
      <c r="AT643" s="1"/>
    </row>
    <row r="644" spans="1:46">
      <c r="A644" s="9" t="s">
        <v>1</v>
      </c>
      <c r="B644" s="122">
        <v>1046.829015</v>
      </c>
      <c r="C644" s="8">
        <v>1.9939971588874776E-2</v>
      </c>
      <c r="D644" s="122">
        <v>255.39309000000003</v>
      </c>
      <c r="E644" s="8">
        <v>4.864720871913298E-3</v>
      </c>
      <c r="F644" s="122">
        <v>7747.8288150000126</v>
      </c>
      <c r="G644" s="8">
        <v>0.14758043981668351</v>
      </c>
      <c r="H644" s="122">
        <v>912.62873299999978</v>
      </c>
      <c r="I644" s="8">
        <v>1.7383728141324759E-2</v>
      </c>
      <c r="J644" s="122">
        <v>421.45452899999998</v>
      </c>
      <c r="K644" s="8">
        <v>8.0278548013522529E-3</v>
      </c>
      <c r="L644" s="122">
        <v>2433.2230869999985</v>
      </c>
      <c r="M644" s="8">
        <v>4.6347969466794099E-2</v>
      </c>
      <c r="N644" s="122">
        <v>10737.088874999999</v>
      </c>
      <c r="O644" s="8">
        <v>0.2045197869441204</v>
      </c>
      <c r="P644" s="122">
        <v>2039.0141890000002</v>
      </c>
      <c r="Q644" s="8">
        <v>3.8839088729282635E-2</v>
      </c>
      <c r="R644" s="122">
        <v>614.46159399999999</v>
      </c>
      <c r="S644" s="8">
        <v>1.1704248307269842E-2</v>
      </c>
      <c r="T644" s="122">
        <v>2997.9061629999951</v>
      </c>
      <c r="U644" s="8">
        <v>5.7104037870341698E-2</v>
      </c>
      <c r="V644" s="122">
        <v>6927.670921000019</v>
      </c>
      <c r="W644" s="8">
        <v>0.13195809378842477</v>
      </c>
      <c r="X644" s="122">
        <v>510.24887899999999</v>
      </c>
      <c r="Y644" s="8">
        <v>9.719207248487665E-3</v>
      </c>
      <c r="Z644" s="122">
        <v>2812.1682089999977</v>
      </c>
      <c r="AA644" s="8">
        <v>5.3566106199871441E-2</v>
      </c>
      <c r="AB644" s="122">
        <v>2940.3554249999984</v>
      </c>
      <c r="AC644" s="8">
        <v>5.6007812924151502E-2</v>
      </c>
      <c r="AD644" s="122">
        <v>2030.5235919999996</v>
      </c>
      <c r="AE644" s="8">
        <v>3.8677360060582526E-2</v>
      </c>
      <c r="AF644" s="122">
        <v>2518.5666279999987</v>
      </c>
      <c r="AG644" s="8">
        <v>4.797359099471285E-2</v>
      </c>
      <c r="AH644" s="122">
        <v>4136.317084999996</v>
      </c>
      <c r="AI644" s="8">
        <v>7.8788459218889009E-2</v>
      </c>
      <c r="AJ644" s="122">
        <v>544.92659100000003</v>
      </c>
      <c r="AK644" s="8">
        <v>1.0379747396056255E-2</v>
      </c>
      <c r="AL644" s="122">
        <v>720.09115899999995</v>
      </c>
      <c r="AM644" s="8">
        <v>1.3716277487646734E-2</v>
      </c>
      <c r="AN644" s="122">
        <v>0</v>
      </c>
      <c r="AO644" s="8">
        <v>0</v>
      </c>
      <c r="AP644" s="122">
        <v>152.325816</v>
      </c>
      <c r="AQ644" s="8">
        <v>2.9014981432208074E-3</v>
      </c>
      <c r="AR644" s="122">
        <v>52499.022394999971</v>
      </c>
      <c r="AS644" s="8">
        <v>0.33624919680100218</v>
      </c>
      <c r="AT644" s="1"/>
    </row>
    <row r="645" spans="1:46" ht="15.75" thickBot="1">
      <c r="A645" s="9" t="s">
        <v>0</v>
      </c>
      <c r="B645" s="122">
        <v>1386.8671059999999</v>
      </c>
      <c r="C645" s="8">
        <v>1.4287131297882174E-2</v>
      </c>
      <c r="D645" s="122">
        <v>837.430342</v>
      </c>
      <c r="E645" s="8">
        <v>8.6269817758475083E-3</v>
      </c>
      <c r="F645" s="122">
        <v>6173.0689809999976</v>
      </c>
      <c r="G645" s="8">
        <v>6.3593293590186784E-2</v>
      </c>
      <c r="H645" s="122">
        <v>954.31782900000007</v>
      </c>
      <c r="I645" s="8">
        <v>9.8311251769157403E-3</v>
      </c>
      <c r="J645" s="122">
        <v>877.94387400000005</v>
      </c>
      <c r="K645" s="8">
        <v>9.0443412679868732E-3</v>
      </c>
      <c r="L645" s="122">
        <v>6310.5802460000004</v>
      </c>
      <c r="M645" s="8">
        <v>6.5009897596074062E-2</v>
      </c>
      <c r="N645" s="122">
        <v>7664.951423999998</v>
      </c>
      <c r="O645" s="8">
        <v>7.8962264598246887E-2</v>
      </c>
      <c r="P645" s="122">
        <v>2518.1958220000001</v>
      </c>
      <c r="Q645" s="8">
        <v>2.5941774945156374E-2</v>
      </c>
      <c r="R645" s="122">
        <v>385.66940199999993</v>
      </c>
      <c r="S645" s="8">
        <v>3.9730622783620204E-3</v>
      </c>
      <c r="T645" s="122">
        <v>4987.7368790000019</v>
      </c>
      <c r="U645" s="8">
        <v>5.1382321609091564E-2</v>
      </c>
      <c r="V645" s="122">
        <v>16098.179298999978</v>
      </c>
      <c r="W645" s="8">
        <v>0.16583910621762307</v>
      </c>
      <c r="X645" s="122">
        <v>283.74135200000001</v>
      </c>
      <c r="Y645" s="8">
        <v>2.9230269671293241E-3</v>
      </c>
      <c r="Z645" s="122">
        <v>8677.8812890000027</v>
      </c>
      <c r="AA645" s="8">
        <v>8.9397195179693051E-2</v>
      </c>
      <c r="AB645" s="122">
        <v>2918.861637</v>
      </c>
      <c r="AC645" s="8">
        <v>3.0069326230144432E-2</v>
      </c>
      <c r="AD645" s="122">
        <v>4469.8818379999984</v>
      </c>
      <c r="AE645" s="8">
        <v>4.6047518489147059E-2</v>
      </c>
      <c r="AF645" s="122">
        <v>18407.522883000009</v>
      </c>
      <c r="AG645" s="8">
        <v>0.18962934167262002</v>
      </c>
      <c r="AH645" s="122">
        <v>11872.607269000004</v>
      </c>
      <c r="AI645" s="8">
        <v>0.12230840155234986</v>
      </c>
      <c r="AJ645" s="122">
        <v>436.55279699999994</v>
      </c>
      <c r="AK645" s="8">
        <v>4.4972493054404473E-3</v>
      </c>
      <c r="AL645" s="122">
        <v>1577.1356739999999</v>
      </c>
      <c r="AM645" s="8">
        <v>1.6247226826224759E-2</v>
      </c>
      <c r="AN645" s="122">
        <v>76.361114999999998</v>
      </c>
      <c r="AO645" s="8">
        <v>7.8665163470801941E-4</v>
      </c>
      <c r="AP645" s="122">
        <v>155.58179999999999</v>
      </c>
      <c r="AQ645" s="8">
        <v>1.6027617891752383E-3</v>
      </c>
      <c r="AR645" s="122">
        <v>97071.068857999475</v>
      </c>
      <c r="AS645" s="8">
        <v>0.62172717599453353</v>
      </c>
      <c r="AT645" s="1"/>
    </row>
    <row r="646" spans="1:46" ht="15" customHeight="1">
      <c r="A646" s="13" t="s">
        <v>4</v>
      </c>
      <c r="B646" s="123">
        <v>1708.8736184924935</v>
      </c>
      <c r="C646" s="12">
        <v>1.1930938753034899E-2</v>
      </c>
      <c r="D646" s="123">
        <v>2215.6935608368608</v>
      </c>
      <c r="E646" s="12">
        <v>1.5469431960192973E-2</v>
      </c>
      <c r="F646" s="123">
        <v>12330.526808128136</v>
      </c>
      <c r="G646" s="12">
        <v>8.6088730347543801E-2</v>
      </c>
      <c r="H646" s="123">
        <v>1525.9101390939554</v>
      </c>
      <c r="I646" s="12">
        <v>1.0653532370770179E-2</v>
      </c>
      <c r="J646" s="123">
        <v>1348.8224006884059</v>
      </c>
      <c r="K646" s="12">
        <v>9.417148978829273E-3</v>
      </c>
      <c r="L646" s="123">
        <v>7031.3287007458202</v>
      </c>
      <c r="M646" s="12">
        <v>4.9091021812988057E-2</v>
      </c>
      <c r="N646" s="123">
        <v>13968.693755107557</v>
      </c>
      <c r="O646" s="12">
        <v>9.752601236779021E-2</v>
      </c>
      <c r="P646" s="123">
        <v>4597.4797730688506</v>
      </c>
      <c r="Q646" s="12">
        <v>3.2098482296888588E-2</v>
      </c>
      <c r="R646" s="123">
        <v>1710.8744923057745</v>
      </c>
      <c r="S646" s="12">
        <v>1.194490836591936E-2</v>
      </c>
      <c r="T646" s="123">
        <v>11795.518570855311</v>
      </c>
      <c r="U646" s="12">
        <v>8.2353433341260662E-2</v>
      </c>
      <c r="V646" s="123">
        <v>18928.261729374019</v>
      </c>
      <c r="W646" s="12">
        <v>0.13215250616004981</v>
      </c>
      <c r="X646" s="123">
        <v>736.7722683206357</v>
      </c>
      <c r="Y646" s="12">
        <v>5.143964254081387E-3</v>
      </c>
      <c r="Z646" s="123">
        <v>9378.7106541523208</v>
      </c>
      <c r="AA646" s="12">
        <v>6.5479870006910496E-2</v>
      </c>
      <c r="AB646" s="123">
        <v>5600.105382983611</v>
      </c>
      <c r="AC646" s="12">
        <v>3.9098569731481875E-2</v>
      </c>
      <c r="AD646" s="123">
        <v>8426.4923764292234</v>
      </c>
      <c r="AE646" s="12">
        <v>5.8831714269649595E-2</v>
      </c>
      <c r="AF646" s="123">
        <v>23720.226955430433</v>
      </c>
      <c r="AG646" s="12">
        <v>0.16560883844820801</v>
      </c>
      <c r="AH646" s="123">
        <v>14894.511693494058</v>
      </c>
      <c r="AI646" s="12">
        <v>0.10398984737572642</v>
      </c>
      <c r="AJ646" s="123">
        <v>1121.3072574785806</v>
      </c>
      <c r="AK646" s="12">
        <v>7.8286937474710896E-3</v>
      </c>
      <c r="AL646" s="123">
        <v>1506.5453766409496</v>
      </c>
      <c r="AM646" s="12">
        <v>1.0518332323034818E-2</v>
      </c>
      <c r="AN646" s="123">
        <v>0</v>
      </c>
      <c r="AO646" s="12">
        <v>0</v>
      </c>
      <c r="AP646" s="123">
        <v>683.78543200315107</v>
      </c>
      <c r="AQ646" s="12">
        <v>4.7740230881696075E-3</v>
      </c>
      <c r="AR646" s="123">
        <v>143230.44094562999</v>
      </c>
      <c r="AS646" s="12">
        <v>1</v>
      </c>
      <c r="AT646" s="1"/>
    </row>
    <row r="647" spans="1:46">
      <c r="A647" s="9" t="s">
        <v>2</v>
      </c>
      <c r="B647" s="122">
        <v>93.762900188323911</v>
      </c>
      <c r="C647" s="8">
        <v>1.5044421227137134E-2</v>
      </c>
      <c r="D647" s="122">
        <v>67.708403954802264</v>
      </c>
      <c r="E647" s="8">
        <v>1.0863931764773327E-2</v>
      </c>
      <c r="F647" s="122">
        <v>881.29989440000679</v>
      </c>
      <c r="G647" s="8">
        <v>0.1414061085157885</v>
      </c>
      <c r="H647" s="122">
        <v>69.261511299435028</v>
      </c>
      <c r="I647" s="8">
        <v>1.1113130552958053E-2</v>
      </c>
      <c r="J647" s="122">
        <v>64.218132017897844</v>
      </c>
      <c r="K647" s="8">
        <v>1.0303911531711204E-2</v>
      </c>
      <c r="L647" s="122">
        <v>322.28839203318847</v>
      </c>
      <c r="M647" s="8">
        <v>5.171173584248609E-2</v>
      </c>
      <c r="N647" s="122">
        <v>907.46581861368827</v>
      </c>
      <c r="O647" s="8">
        <v>0.1456044767923384</v>
      </c>
      <c r="P647" s="122">
        <v>279.55975160358525</v>
      </c>
      <c r="Q647" s="8">
        <v>4.4855850798457962E-2</v>
      </c>
      <c r="R647" s="122">
        <v>127.99452975659491</v>
      </c>
      <c r="S647" s="8">
        <v>2.053694602619964E-2</v>
      </c>
      <c r="T647" s="122">
        <v>545.81655560961974</v>
      </c>
      <c r="U647" s="8">
        <v>8.7577220402135114E-2</v>
      </c>
      <c r="V647" s="122">
        <v>633.32622753510509</v>
      </c>
      <c r="W647" s="8">
        <v>0.10161830022423221</v>
      </c>
      <c r="X647" s="122">
        <v>32.067796610169495</v>
      </c>
      <c r="Y647" s="8">
        <v>5.1453340186850107E-3</v>
      </c>
      <c r="Z647" s="122">
        <v>487.28587760490075</v>
      </c>
      <c r="AA647" s="8">
        <v>7.8185870808166649E-2</v>
      </c>
      <c r="AB647" s="122">
        <v>345.15880766695886</v>
      </c>
      <c r="AC647" s="8">
        <v>5.5381334007038069E-2</v>
      </c>
      <c r="AD647" s="122">
        <v>234.05075913654198</v>
      </c>
      <c r="AE647" s="8">
        <v>3.7553853410134119E-2</v>
      </c>
      <c r="AF647" s="122">
        <v>465.28453095608734</v>
      </c>
      <c r="AG647" s="8">
        <v>7.4655716281331413E-2</v>
      </c>
      <c r="AH647" s="122">
        <v>452.90087273903691</v>
      </c>
      <c r="AI647" s="8">
        <v>7.2668736674514553E-2</v>
      </c>
      <c r="AJ647" s="122">
        <v>51.792275710462597</v>
      </c>
      <c r="AK647" s="8">
        <v>8.3101611675323664E-3</v>
      </c>
      <c r="AL647" s="122">
        <v>146.33312302971092</v>
      </c>
      <c r="AM647" s="8">
        <v>2.3479405371631207E-2</v>
      </c>
      <c r="AN647" s="122">
        <v>0</v>
      </c>
      <c r="AO647" s="8">
        <v>0</v>
      </c>
      <c r="AP647" s="122">
        <v>24.827118644067795</v>
      </c>
      <c r="AQ647" s="8">
        <v>3.9835545827535956E-3</v>
      </c>
      <c r="AR647" s="122">
        <v>6232.4032791101554</v>
      </c>
      <c r="AS647" s="8">
        <v>4.3513119403688523E-2</v>
      </c>
      <c r="AT647" s="1"/>
    </row>
    <row r="648" spans="1:46">
      <c r="A648" s="9" t="s">
        <v>1</v>
      </c>
      <c r="B648" s="122">
        <v>825.38018250810683</v>
      </c>
      <c r="C648" s="8">
        <v>1.6472030336044014E-2</v>
      </c>
      <c r="D648" s="122">
        <v>656.04482587202165</v>
      </c>
      <c r="E648" s="8">
        <v>1.3092621439893265E-2</v>
      </c>
      <c r="F648" s="122">
        <v>6391.6550860078578</v>
      </c>
      <c r="G648" s="8">
        <v>0.12755762581350485</v>
      </c>
      <c r="H648" s="122">
        <v>810.41293640910669</v>
      </c>
      <c r="I648" s="8">
        <v>1.6173330492002938E-2</v>
      </c>
      <c r="J648" s="122">
        <v>436.84957060474522</v>
      </c>
      <c r="K648" s="8">
        <v>8.7181634982113083E-3</v>
      </c>
      <c r="L648" s="122">
        <v>2560.3858691716387</v>
      </c>
      <c r="M648" s="8">
        <v>5.1097366526072871E-2</v>
      </c>
      <c r="N648" s="122">
        <v>7558.4805934757924</v>
      </c>
      <c r="O648" s="8">
        <v>0.15084384659176181</v>
      </c>
      <c r="P648" s="122">
        <v>2031.9972654498583</v>
      </c>
      <c r="Q648" s="8">
        <v>4.0552367634438327E-2</v>
      </c>
      <c r="R648" s="122">
        <v>735.6360191466897</v>
      </c>
      <c r="S648" s="8">
        <v>1.4681014980089993E-2</v>
      </c>
      <c r="T648" s="122">
        <v>4637.0943884104836</v>
      </c>
      <c r="U648" s="8">
        <v>9.2542032212224484E-2</v>
      </c>
      <c r="V648" s="122">
        <v>6522.8999383594437</v>
      </c>
      <c r="W648" s="8">
        <v>0.13017686629831468</v>
      </c>
      <c r="X648" s="122">
        <v>353.80425073477375</v>
      </c>
      <c r="Y648" s="8">
        <v>7.0608362965720647E-3</v>
      </c>
      <c r="Z648" s="122">
        <v>2304.018596360334</v>
      </c>
      <c r="AA648" s="8">
        <v>4.5981070321717124E-2</v>
      </c>
      <c r="AB648" s="122">
        <v>2529.6506915472805</v>
      </c>
      <c r="AC648" s="8">
        <v>5.0483987638450793E-2</v>
      </c>
      <c r="AD648" s="122">
        <v>2447.9164813390666</v>
      </c>
      <c r="AE648" s="8">
        <v>4.8852826122128497E-2</v>
      </c>
      <c r="AF648" s="122">
        <v>3889.6847153446247</v>
      </c>
      <c r="AG648" s="8">
        <v>7.762605159007932E-2</v>
      </c>
      <c r="AH648" s="122">
        <v>4252.4580243611417</v>
      </c>
      <c r="AI648" s="8">
        <v>8.4865882492087263E-2</v>
      </c>
      <c r="AJ648" s="122">
        <v>437.21374828580974</v>
      </c>
      <c r="AK648" s="8">
        <v>8.7254313560268144E-3</v>
      </c>
      <c r="AL648" s="122">
        <v>626.4072151628111</v>
      </c>
      <c r="AM648" s="8">
        <v>1.2501146586200391E-2</v>
      </c>
      <c r="AN648" s="122">
        <v>0</v>
      </c>
      <c r="AO648" s="8">
        <v>0</v>
      </c>
      <c r="AP648" s="122">
        <v>99.990564913395843</v>
      </c>
      <c r="AQ648" s="8">
        <v>1.9955017741844767E-3</v>
      </c>
      <c r="AR648" s="122">
        <v>50107.980963464717</v>
      </c>
      <c r="AS648" s="8">
        <v>0.34984170007886534</v>
      </c>
      <c r="AT648" s="1"/>
    </row>
    <row r="649" spans="1:46" ht="15.75" thickBot="1">
      <c r="A649" s="9" t="s">
        <v>0</v>
      </c>
      <c r="B649" s="122">
        <v>789.73053579606255</v>
      </c>
      <c r="C649" s="8">
        <v>9.0888482038278939E-3</v>
      </c>
      <c r="D649" s="122">
        <v>1491.9403310100363</v>
      </c>
      <c r="E649" s="8">
        <v>1.7170437995094389E-2</v>
      </c>
      <c r="F649" s="122">
        <v>5057.5718277202905</v>
      </c>
      <c r="G649" s="8">
        <v>5.8206566086203129E-2</v>
      </c>
      <c r="H649" s="122">
        <v>646.23569138541291</v>
      </c>
      <c r="I649" s="8">
        <v>7.4373952084519001E-3</v>
      </c>
      <c r="J649" s="122">
        <v>847.75469806576234</v>
      </c>
      <c r="K649" s="8">
        <v>9.7566364925154754E-3</v>
      </c>
      <c r="L649" s="122">
        <v>4148.654439541001</v>
      </c>
      <c r="M649" s="8">
        <v>4.7746020626030408E-2</v>
      </c>
      <c r="N649" s="122">
        <v>5502.7473430180698</v>
      </c>
      <c r="O649" s="8">
        <v>6.3330000598614128E-2</v>
      </c>
      <c r="P649" s="122">
        <v>2285.9227560154068</v>
      </c>
      <c r="Q649" s="8">
        <v>2.6308220327528491E-2</v>
      </c>
      <c r="R649" s="122">
        <v>847.24394340248944</v>
      </c>
      <c r="S649" s="8">
        <v>9.7507583209196346E-3</v>
      </c>
      <c r="T649" s="122">
        <v>6612.6076268352099</v>
      </c>
      <c r="U649" s="8">
        <v>7.6103156997971405E-2</v>
      </c>
      <c r="V649" s="122">
        <v>11772.035563479432</v>
      </c>
      <c r="W649" s="8">
        <v>0.13548196433695706</v>
      </c>
      <c r="X649" s="122">
        <v>350.9002209756926</v>
      </c>
      <c r="Y649" s="8">
        <v>4.0384393138893689E-3</v>
      </c>
      <c r="Z649" s="122">
        <v>6587.4061801870885</v>
      </c>
      <c r="AA649" s="8">
        <v>7.5813118671327812E-2</v>
      </c>
      <c r="AB649" s="122">
        <v>2725.29588376938</v>
      </c>
      <c r="AC649" s="8">
        <v>3.1364876341179439E-2</v>
      </c>
      <c r="AD649" s="122">
        <v>5744.5251359536223</v>
      </c>
      <c r="AE649" s="8">
        <v>6.6112572070075176E-2</v>
      </c>
      <c r="AF649" s="122">
        <v>19365.257709129713</v>
      </c>
      <c r="AG649" s="8">
        <v>0.22287081449733837</v>
      </c>
      <c r="AH649" s="122">
        <v>10189.152796393897</v>
      </c>
      <c r="AI649" s="8">
        <v>0.11726488833141352</v>
      </c>
      <c r="AJ649" s="122">
        <v>632.30123348230825</v>
      </c>
      <c r="AK649" s="8">
        <v>7.2770263649750743E-3</v>
      </c>
      <c r="AL649" s="122">
        <v>733.80503844842758</v>
      </c>
      <c r="AM649" s="8">
        <v>8.4452130231217823E-3</v>
      </c>
      <c r="AN649" s="122">
        <v>0</v>
      </c>
      <c r="AO649" s="8">
        <v>0</v>
      </c>
      <c r="AP649" s="122">
        <v>558.96774844568722</v>
      </c>
      <c r="AQ649" s="8">
        <v>6.4330461925689621E-3</v>
      </c>
      <c r="AR649" s="122">
        <v>86890.056703054695</v>
      </c>
      <c r="AS649" s="8">
        <v>0.60664518051744321</v>
      </c>
      <c r="AT649" s="1"/>
    </row>
    <row r="650" spans="1:46" ht="15.75" customHeight="1">
      <c r="A650" s="13" t="s">
        <v>3</v>
      </c>
      <c r="B650" s="123">
        <v>1174.817514379597</v>
      </c>
      <c r="C650" s="12">
        <v>1.1779839595474699E-2</v>
      </c>
      <c r="D650" s="123">
        <v>1429.4521763523933</v>
      </c>
      <c r="E650" s="12">
        <v>1.43330492955118E-2</v>
      </c>
      <c r="F650" s="123">
        <v>7847.3044770088254</v>
      </c>
      <c r="G650" s="12">
        <v>7.8684550463848479E-2</v>
      </c>
      <c r="H650" s="123">
        <v>866.41749881865894</v>
      </c>
      <c r="I650" s="12">
        <v>8.6875272405059108E-3</v>
      </c>
      <c r="J650" s="123">
        <v>1211.8290003968405</v>
      </c>
      <c r="K650" s="12">
        <v>1.2150952013477356E-2</v>
      </c>
      <c r="L650" s="123">
        <v>4403.6929405495212</v>
      </c>
      <c r="M650" s="12">
        <v>4.4155620624018309E-2</v>
      </c>
      <c r="N650" s="123">
        <v>8209.0861161510784</v>
      </c>
      <c r="O650" s="12">
        <v>8.2312117831138037E-2</v>
      </c>
      <c r="P650" s="123">
        <v>2400.7276808860192</v>
      </c>
      <c r="Q650" s="12">
        <v>2.4071982794866321E-2</v>
      </c>
      <c r="R650" s="123">
        <v>676.27097438448425</v>
      </c>
      <c r="S650" s="12">
        <v>6.7809370424065539E-3</v>
      </c>
      <c r="T650" s="123">
        <v>7065.9560561161898</v>
      </c>
      <c r="U650" s="12">
        <v>7.0850006840149374E-2</v>
      </c>
      <c r="V650" s="123">
        <v>13561.297218167743</v>
      </c>
      <c r="W650" s="12">
        <v>0.13597848515301947</v>
      </c>
      <c r="X650" s="123">
        <v>334.55872765582285</v>
      </c>
      <c r="Y650" s="12">
        <v>3.3546045226716809E-3</v>
      </c>
      <c r="Z650" s="123">
        <v>6642.750132745773</v>
      </c>
      <c r="AA650" s="12">
        <v>6.6606541083009285E-2</v>
      </c>
      <c r="AB650" s="123">
        <v>2891.4371255810579</v>
      </c>
      <c r="AC650" s="12">
        <v>2.8992303164404393E-2</v>
      </c>
      <c r="AD650" s="123">
        <v>6016.2508595830377</v>
      </c>
      <c r="AE650" s="12">
        <v>6.0324662532334282E-2</v>
      </c>
      <c r="AF650" s="123">
        <v>20637.075486948735</v>
      </c>
      <c r="AG650" s="12">
        <v>0.20692697885453057</v>
      </c>
      <c r="AH650" s="123">
        <v>11392.688562325769</v>
      </c>
      <c r="AI650" s="12">
        <v>0.11423394883269843</v>
      </c>
      <c r="AJ650" s="123">
        <v>895.4542513957814</v>
      </c>
      <c r="AK650" s="12">
        <v>8.9786773838646597E-3</v>
      </c>
      <c r="AL650" s="123">
        <v>1064.5266812556215</v>
      </c>
      <c r="AM650" s="12">
        <v>1.0673958633410738E-2</v>
      </c>
      <c r="AN650" s="123">
        <v>61.186773120425812</v>
      </c>
      <c r="AO650" s="12">
        <v>6.1351687721811568E-4</v>
      </c>
      <c r="AP650" s="123">
        <v>948.41768463755193</v>
      </c>
      <c r="AQ650" s="12">
        <v>9.5097392214498443E-3</v>
      </c>
      <c r="AR650" s="123">
        <v>99731.1979384601</v>
      </c>
      <c r="AS650" s="12">
        <v>1</v>
      </c>
      <c r="AT650" s="1"/>
    </row>
    <row r="651" spans="1:46">
      <c r="A651" s="9" t="s">
        <v>2</v>
      </c>
      <c r="B651" s="122">
        <v>47.739270086967892</v>
      </c>
      <c r="C651" s="8">
        <v>8.805660553663686E-3</v>
      </c>
      <c r="D651" s="122">
        <v>88.145885778155929</v>
      </c>
      <c r="E651" s="8">
        <v>1.6258789628548154E-2</v>
      </c>
      <c r="F651" s="122">
        <v>812.57878477865609</v>
      </c>
      <c r="G651" s="8">
        <v>0.14988274724004788</v>
      </c>
      <c r="H651" s="122">
        <v>73.361946073280919</v>
      </c>
      <c r="I651" s="8">
        <v>1.3531844820849927E-2</v>
      </c>
      <c r="J651" s="122">
        <v>47.994037103659359</v>
      </c>
      <c r="K651" s="8">
        <v>8.8526531420540788E-3</v>
      </c>
      <c r="L651" s="122">
        <v>140.96579003185084</v>
      </c>
      <c r="M651" s="8">
        <v>2.6001589350616451E-2</v>
      </c>
      <c r="N651" s="122">
        <v>697.18545973346022</v>
      </c>
      <c r="O651" s="8">
        <v>0.12859808057766509</v>
      </c>
      <c r="P651" s="122">
        <v>313.90862367832</v>
      </c>
      <c r="Q651" s="8">
        <v>5.7901446334296149E-2</v>
      </c>
      <c r="R651" s="122">
        <v>98.478315165432562</v>
      </c>
      <c r="S651" s="8">
        <v>1.8164639167372473E-2</v>
      </c>
      <c r="T651" s="122">
        <v>564.49787733303322</v>
      </c>
      <c r="U651" s="8">
        <v>0.10412343301443398</v>
      </c>
      <c r="V651" s="122">
        <v>587.66491676817759</v>
      </c>
      <c r="W651" s="8">
        <v>0.10839666729153097</v>
      </c>
      <c r="X651" s="122">
        <v>20.588866730428766</v>
      </c>
      <c r="Y651" s="8">
        <v>3.7976821028578535E-3</v>
      </c>
      <c r="Z651" s="122">
        <v>404.38396299982554</v>
      </c>
      <c r="AA651" s="8">
        <v>7.4589911094887551E-2</v>
      </c>
      <c r="AB651" s="122">
        <v>271.68875841948699</v>
      </c>
      <c r="AC651" s="8">
        <v>5.0113857596273313E-2</v>
      </c>
      <c r="AD651" s="122">
        <v>318.93172714847236</v>
      </c>
      <c r="AE651" s="8">
        <v>5.8827973782317751E-2</v>
      </c>
      <c r="AF651" s="122">
        <v>390.62441505387039</v>
      </c>
      <c r="AG651" s="8">
        <v>7.2051918612739879E-2</v>
      </c>
      <c r="AH651" s="122">
        <v>401.79036993817226</v>
      </c>
      <c r="AI651" s="8">
        <v>7.4111514586653313E-2</v>
      </c>
      <c r="AJ651" s="122">
        <v>55.615067304636753</v>
      </c>
      <c r="AK651" s="8">
        <v>1.0258376457403757E-2</v>
      </c>
      <c r="AL651" s="122">
        <v>79.817623953501851</v>
      </c>
      <c r="AM651" s="8">
        <v>1.4722615185655714E-2</v>
      </c>
      <c r="AN651" s="122">
        <v>0</v>
      </c>
      <c r="AO651" s="8">
        <v>0</v>
      </c>
      <c r="AP651" s="122">
        <v>5.4680511182108624</v>
      </c>
      <c r="AQ651" s="8">
        <v>1.008599460136911E-3</v>
      </c>
      <c r="AR651" s="122">
        <v>5421.429749197574</v>
      </c>
      <c r="AS651" s="8">
        <v>5.4360419420038539E-2</v>
      </c>
      <c r="AT651" s="1"/>
    </row>
    <row r="652" spans="1:46">
      <c r="A652" s="9" t="s">
        <v>1</v>
      </c>
      <c r="B652" s="122">
        <v>177.80768863985568</v>
      </c>
      <c r="C652" s="8">
        <v>1.1193005332689182E-2</v>
      </c>
      <c r="D652" s="122">
        <v>229.13118157372961</v>
      </c>
      <c r="E652" s="8">
        <v>1.4423822484047846E-2</v>
      </c>
      <c r="F652" s="122">
        <v>2058.8277802663588</v>
      </c>
      <c r="G652" s="8">
        <v>0.12960333998990275</v>
      </c>
      <c r="H652" s="122">
        <v>352.98313071175397</v>
      </c>
      <c r="I652" s="8">
        <v>2.22203105761557E-2</v>
      </c>
      <c r="J652" s="122">
        <v>238.62490701126569</v>
      </c>
      <c r="K652" s="8">
        <v>1.5021453105435997E-2</v>
      </c>
      <c r="L652" s="122">
        <v>698.00920062852333</v>
      </c>
      <c r="M652" s="8">
        <v>4.3939723668113231E-2</v>
      </c>
      <c r="N652" s="122">
        <v>2202.9052657337106</v>
      </c>
      <c r="O652" s="8">
        <v>0.13867302688304334</v>
      </c>
      <c r="P652" s="122">
        <v>568.53708448378529</v>
      </c>
      <c r="Q652" s="8">
        <v>3.5789445704723907E-2</v>
      </c>
      <c r="R652" s="122">
        <v>166.89603095413889</v>
      </c>
      <c r="S652" s="8">
        <v>1.0506115785904251E-2</v>
      </c>
      <c r="T652" s="122">
        <v>1516.6844535564944</v>
      </c>
      <c r="U652" s="8">
        <v>9.547538301928854E-2</v>
      </c>
      <c r="V652" s="122">
        <v>2257.407462316125</v>
      </c>
      <c r="W652" s="8">
        <v>0.14210394363167653</v>
      </c>
      <c r="X652" s="122">
        <v>45.355070889218865</v>
      </c>
      <c r="Y652" s="8">
        <v>2.8551046032422841E-3</v>
      </c>
      <c r="Z652" s="122">
        <v>873.17409744607573</v>
      </c>
      <c r="AA652" s="8">
        <v>5.4966365087146564E-2</v>
      </c>
      <c r="AB652" s="122">
        <v>723.3329695900452</v>
      </c>
      <c r="AC652" s="8">
        <v>4.553385653828524E-2</v>
      </c>
      <c r="AD652" s="122">
        <v>720.39278333143091</v>
      </c>
      <c r="AE652" s="8">
        <v>4.5348771625908772E-2</v>
      </c>
      <c r="AF652" s="122">
        <v>1423.7291896139561</v>
      </c>
      <c r="AG652" s="8">
        <v>8.9623843229477987E-2</v>
      </c>
      <c r="AH652" s="122">
        <v>1385.9759529168491</v>
      </c>
      <c r="AI652" s="8">
        <v>8.7247274573142186E-2</v>
      </c>
      <c r="AJ652" s="122">
        <v>88.237894245074358</v>
      </c>
      <c r="AK652" s="8">
        <v>5.5545810666873486E-3</v>
      </c>
      <c r="AL652" s="122">
        <v>137.50882711321546</v>
      </c>
      <c r="AM652" s="8">
        <v>8.6561894310854745E-3</v>
      </c>
      <c r="AN652" s="122">
        <v>11.057884231536926</v>
      </c>
      <c r="AO652" s="8">
        <v>6.9609451716425453E-4</v>
      </c>
      <c r="AP652" s="122">
        <v>9.0285714285714285</v>
      </c>
      <c r="AQ652" s="8">
        <v>5.6834914687661742E-4</v>
      </c>
      <c r="AR652" s="122">
        <v>15885.607426681747</v>
      </c>
      <c r="AS652" s="8">
        <v>0.15928423357036264</v>
      </c>
      <c r="AT652" s="1"/>
    </row>
    <row r="653" spans="1:46" ht="15.75" thickBot="1">
      <c r="A653" s="5" t="s">
        <v>0</v>
      </c>
      <c r="B653" s="121">
        <v>949.27055565277306</v>
      </c>
      <c r="C653" s="4">
        <v>1.2104312579468389E-2</v>
      </c>
      <c r="D653" s="121">
        <v>1112.1751090005071</v>
      </c>
      <c r="E653" s="4">
        <v>1.4181536635979548E-2</v>
      </c>
      <c r="F653" s="121">
        <v>4975.8979119638316</v>
      </c>
      <c r="G653" s="4">
        <v>6.3448532487681342E-2</v>
      </c>
      <c r="H653" s="121">
        <v>440.07242203362426</v>
      </c>
      <c r="I653" s="4">
        <v>5.6114393543321515E-3</v>
      </c>
      <c r="J653" s="121">
        <v>925.2100562819154</v>
      </c>
      <c r="K653" s="4">
        <v>1.1797513002183815E-2</v>
      </c>
      <c r="L653" s="121">
        <v>3564.7179498891505</v>
      </c>
      <c r="M653" s="4">
        <v>4.5454333399637205E-2</v>
      </c>
      <c r="N653" s="121">
        <v>5308.9953906839355</v>
      </c>
      <c r="O653" s="4">
        <v>6.769591588944332E-2</v>
      </c>
      <c r="P653" s="121">
        <v>1518.2819727239109</v>
      </c>
      <c r="Q653" s="4">
        <v>1.935987529812774E-2</v>
      </c>
      <c r="R653" s="121">
        <v>410.89662826491298</v>
      </c>
      <c r="S653" s="4">
        <v>5.2394137759260682E-3</v>
      </c>
      <c r="T653" s="121">
        <v>4984.773725226677</v>
      </c>
      <c r="U653" s="4">
        <v>6.3561709513441492E-2</v>
      </c>
      <c r="V653" s="121">
        <v>10716.224839083479</v>
      </c>
      <c r="W653" s="4">
        <v>0.13664443119162373</v>
      </c>
      <c r="X653" s="121">
        <v>268.61479003617524</v>
      </c>
      <c r="Y653" s="4">
        <v>3.4251535167761395E-3</v>
      </c>
      <c r="Z653" s="121">
        <v>5365.1920722998775</v>
      </c>
      <c r="AA653" s="4">
        <v>6.841248946918578E-2</v>
      </c>
      <c r="AB653" s="121">
        <v>1896.4153975715242</v>
      </c>
      <c r="AC653" s="4">
        <v>2.4181519816484247E-2</v>
      </c>
      <c r="AD653" s="121">
        <v>4976.9263491031388</v>
      </c>
      <c r="AE653" s="4">
        <v>6.3461646267023164E-2</v>
      </c>
      <c r="AF653" s="121">
        <v>18822.721882280912</v>
      </c>
      <c r="AG653" s="4">
        <v>0.2400117731481248</v>
      </c>
      <c r="AH653" s="121">
        <v>9604.9222394707649</v>
      </c>
      <c r="AI653" s="4">
        <v>0.12247402007333295</v>
      </c>
      <c r="AJ653" s="121">
        <v>751.60128984607036</v>
      </c>
      <c r="AK653" s="4">
        <v>9.5837976783893931E-3</v>
      </c>
      <c r="AL653" s="121">
        <v>847.20023018890379</v>
      </c>
      <c r="AM653" s="4">
        <v>1.0802796255017399E-2</v>
      </c>
      <c r="AN653" s="121">
        <v>50.128888888888888</v>
      </c>
      <c r="AO653" s="4">
        <v>6.3920210814428656E-4</v>
      </c>
      <c r="AP653" s="121">
        <v>933.92106209076962</v>
      </c>
      <c r="AQ653" s="4">
        <v>1.1908588539673155E-2</v>
      </c>
      <c r="AR653" s="121">
        <v>78424.160762582047</v>
      </c>
      <c r="AS653" s="4">
        <v>0.78635534700961163</v>
      </c>
      <c r="AT653" s="1"/>
    </row>
    <row r="657" spans="1:10" ht="15.75" thickBot="1"/>
    <row r="658" spans="1:10" ht="31.5" customHeight="1">
      <c r="A658" s="602" t="s">
        <v>13</v>
      </c>
      <c r="B658" s="722" t="s">
        <v>341</v>
      </c>
      <c r="C658" s="723"/>
      <c r="D658" s="723"/>
      <c r="E658" s="723"/>
      <c r="F658" s="723"/>
      <c r="G658" s="723"/>
      <c r="H658" s="723"/>
      <c r="I658" s="724"/>
      <c r="J658" s="120"/>
    </row>
    <row r="659" spans="1:10" ht="23.25" customHeight="1">
      <c r="A659" s="603"/>
      <c r="B659" s="725" t="s">
        <v>120</v>
      </c>
      <c r="C659" s="712"/>
      <c r="D659" s="711" t="s">
        <v>119</v>
      </c>
      <c r="E659" s="712"/>
      <c r="F659" s="711" t="s">
        <v>118</v>
      </c>
      <c r="G659" s="712"/>
      <c r="H659" s="713" t="s">
        <v>9</v>
      </c>
      <c r="I659" s="714"/>
      <c r="J659" s="120"/>
    </row>
    <row r="660" spans="1:10" ht="15.75" thickBot="1">
      <c r="A660" s="604"/>
      <c r="B660" s="124" t="s">
        <v>7</v>
      </c>
      <c r="C660" s="16" t="s">
        <v>8</v>
      </c>
      <c r="D660" s="16" t="s">
        <v>7</v>
      </c>
      <c r="E660" s="16" t="s">
        <v>8</v>
      </c>
      <c r="F660" s="16" t="s">
        <v>7</v>
      </c>
      <c r="G660" s="16" t="s">
        <v>8</v>
      </c>
      <c r="H660" s="16" t="s">
        <v>7</v>
      </c>
      <c r="I660" s="15" t="s">
        <v>6</v>
      </c>
      <c r="J660" s="120"/>
    </row>
    <row r="661" spans="1:10" ht="15.75" customHeight="1">
      <c r="A661" s="14" t="s">
        <v>5</v>
      </c>
      <c r="B661" s="123">
        <v>113029.33595949868</v>
      </c>
      <c r="C661" s="12">
        <v>0.72393773631395819</v>
      </c>
      <c r="D661" s="123">
        <v>30167.397504500103</v>
      </c>
      <c r="E661" s="12">
        <v>0.1932181346948437</v>
      </c>
      <c r="F661" s="123">
        <v>12934.561107000005</v>
      </c>
      <c r="G661" s="12">
        <v>8.2844128991180169E-2</v>
      </c>
      <c r="H661" s="123">
        <v>156131.29457100161</v>
      </c>
      <c r="I661" s="10">
        <v>1</v>
      </c>
      <c r="J661" s="120"/>
    </row>
    <row r="662" spans="1:10">
      <c r="A662" s="9" t="s">
        <v>2</v>
      </c>
      <c r="B662" s="122">
        <v>4258.4484125000108</v>
      </c>
      <c r="C662" s="8">
        <v>0.64903466728692438</v>
      </c>
      <c r="D662" s="122">
        <v>1300.7196474999978</v>
      </c>
      <c r="E662" s="8">
        <v>0.19824406964064034</v>
      </c>
      <c r="F662" s="122">
        <v>1002.0352580000002</v>
      </c>
      <c r="G662" s="8">
        <v>0.15272126307243269</v>
      </c>
      <c r="H662" s="122">
        <v>6561.2033180000262</v>
      </c>
      <c r="I662" s="6">
        <v>4.2023627204450555E-2</v>
      </c>
      <c r="J662" s="120"/>
    </row>
    <row r="663" spans="1:10">
      <c r="A663" s="9" t="s">
        <v>1</v>
      </c>
      <c r="B663" s="122">
        <v>33777.086173000171</v>
      </c>
      <c r="C663" s="8">
        <v>0.64338505046557048</v>
      </c>
      <c r="D663" s="122">
        <v>11623.252044000006</v>
      </c>
      <c r="E663" s="8">
        <v>0.22139939971733663</v>
      </c>
      <c r="F663" s="122">
        <v>7098.6841780000123</v>
      </c>
      <c r="G663" s="8">
        <v>0.13521554981709705</v>
      </c>
      <c r="H663" s="122">
        <v>52499.022394999971</v>
      </c>
      <c r="I663" s="6">
        <v>0.33624919680100218</v>
      </c>
      <c r="J663" s="120"/>
    </row>
    <row r="664" spans="1:10" ht="15.75" thickBot="1">
      <c r="A664" s="9" t="s">
        <v>0</v>
      </c>
      <c r="B664" s="122">
        <v>74993.801373999959</v>
      </c>
      <c r="C664" s="8">
        <v>0.77256593809330287</v>
      </c>
      <c r="D664" s="122">
        <v>17243.425812999994</v>
      </c>
      <c r="E664" s="8">
        <v>0.17763712727037714</v>
      </c>
      <c r="F664" s="122">
        <v>4833.841671000001</v>
      </c>
      <c r="G664" s="8">
        <v>4.979693463632498E-2</v>
      </c>
      <c r="H664" s="122">
        <v>97071.068857999475</v>
      </c>
      <c r="I664" s="6">
        <v>0.62172717599453353</v>
      </c>
      <c r="J664" s="120"/>
    </row>
    <row r="665" spans="1:10" ht="15" customHeight="1">
      <c r="A665" s="13" t="s">
        <v>4</v>
      </c>
      <c r="B665" s="123">
        <v>108145.58400891964</v>
      </c>
      <c r="C665" s="12">
        <v>0.75504608723484623</v>
      </c>
      <c r="D665" s="123">
        <v>24961.154206836862</v>
      </c>
      <c r="E665" s="12">
        <v>0.17427268981397656</v>
      </c>
      <c r="F665" s="123">
        <v>10123.702729873903</v>
      </c>
      <c r="G665" s="12">
        <v>7.0681222951180067E-2</v>
      </c>
      <c r="H665" s="123">
        <v>143230.44094562999</v>
      </c>
      <c r="I665" s="10">
        <v>1</v>
      </c>
      <c r="J665" s="120"/>
    </row>
    <row r="666" spans="1:10">
      <c r="A666" s="9" t="s">
        <v>2</v>
      </c>
      <c r="B666" s="122">
        <v>4124.3925293079074</v>
      </c>
      <c r="C666" s="8">
        <v>0.66176599051799101</v>
      </c>
      <c r="D666" s="122">
        <v>1158.5661628413982</v>
      </c>
      <c r="E666" s="8">
        <v>0.18589396593200161</v>
      </c>
      <c r="F666" s="122">
        <v>949.44458696089032</v>
      </c>
      <c r="G666" s="8">
        <v>0.15234004355001388</v>
      </c>
      <c r="H666" s="122">
        <v>6232.4032791101554</v>
      </c>
      <c r="I666" s="6">
        <v>4.3513119403688523E-2</v>
      </c>
      <c r="J666" s="120"/>
    </row>
    <row r="667" spans="1:10">
      <c r="A667" s="9" t="s">
        <v>1</v>
      </c>
      <c r="B667" s="122">
        <v>33709.214592892313</v>
      </c>
      <c r="C667" s="8">
        <v>0.67273144805955654</v>
      </c>
      <c r="D667" s="122">
        <v>10916.167737077452</v>
      </c>
      <c r="E667" s="8">
        <v>0.21785287547380464</v>
      </c>
      <c r="F667" s="122">
        <v>5482.598633495274</v>
      </c>
      <c r="G667" s="8">
        <v>0.10941567646664524</v>
      </c>
      <c r="H667" s="122">
        <v>50107.980963464717</v>
      </c>
      <c r="I667" s="6">
        <v>0.34984170007886534</v>
      </c>
      <c r="J667" s="120"/>
    </row>
    <row r="668" spans="1:10" ht="15.75" thickBot="1">
      <c r="A668" s="9" t="s">
        <v>0</v>
      </c>
      <c r="B668" s="122">
        <v>70311.976886719465</v>
      </c>
      <c r="C668" s="8">
        <v>0.80920624930663199</v>
      </c>
      <c r="D668" s="122">
        <v>12886.420306917913</v>
      </c>
      <c r="E668" s="8">
        <v>0.14830719182238583</v>
      </c>
      <c r="F668" s="122">
        <v>3691.6595094177583</v>
      </c>
      <c r="G668" s="8">
        <v>4.2486558870987311E-2</v>
      </c>
      <c r="H668" s="122">
        <v>86890.056703054695</v>
      </c>
      <c r="I668" s="6">
        <v>0.60664518051744321</v>
      </c>
      <c r="J668" s="120"/>
    </row>
    <row r="669" spans="1:10" ht="15.75" customHeight="1">
      <c r="A669" s="13" t="s">
        <v>3</v>
      </c>
      <c r="B669" s="123">
        <v>79589.552991410383</v>
      </c>
      <c r="C669" s="12">
        <v>0.79804067971309967</v>
      </c>
      <c r="D669" s="123">
        <v>14167.943131070731</v>
      </c>
      <c r="E669" s="12">
        <v>0.14206129500031844</v>
      </c>
      <c r="F669" s="123">
        <v>5973.7018159797981</v>
      </c>
      <c r="G669" s="12">
        <v>5.989802528659003E-2</v>
      </c>
      <c r="H669" s="123">
        <v>99731.1979384601</v>
      </c>
      <c r="I669" s="10">
        <v>1</v>
      </c>
      <c r="J669" s="120"/>
    </row>
    <row r="670" spans="1:10">
      <c r="A670" s="9" t="s">
        <v>2</v>
      </c>
      <c r="B670" s="122">
        <v>3786.3924411992803</v>
      </c>
      <c r="C670" s="8">
        <v>0.69841215626923958</v>
      </c>
      <c r="D670" s="122">
        <v>913.22223758298321</v>
      </c>
      <c r="E670" s="8">
        <v>0.1684467529470707</v>
      </c>
      <c r="F670" s="122">
        <v>721.8150704153619</v>
      </c>
      <c r="G670" s="8">
        <v>0.13314109078369923</v>
      </c>
      <c r="H670" s="122">
        <v>5421.429749197574</v>
      </c>
      <c r="I670" s="6">
        <v>5.4360419420038539E-2</v>
      </c>
      <c r="J670" s="120"/>
    </row>
    <row r="671" spans="1:10">
      <c r="A671" s="9" t="s">
        <v>1</v>
      </c>
      <c r="B671" s="122">
        <v>10942.900838631243</v>
      </c>
      <c r="C671" s="8">
        <v>0.68885630525222186</v>
      </c>
      <c r="D671" s="122">
        <v>3150.4036185174391</v>
      </c>
      <c r="E671" s="8">
        <v>0.19831810858085069</v>
      </c>
      <c r="F671" s="122">
        <v>1792.3029695330119</v>
      </c>
      <c r="G671" s="8">
        <v>0.11282558616692416</v>
      </c>
      <c r="H671" s="122">
        <v>15885.607426681747</v>
      </c>
      <c r="I671" s="6">
        <v>0.15928423357036264</v>
      </c>
      <c r="J671" s="120"/>
    </row>
    <row r="672" spans="1:10" ht="15.75" thickBot="1">
      <c r="A672" s="5" t="s">
        <v>0</v>
      </c>
      <c r="B672" s="121">
        <v>64860.259711580395</v>
      </c>
      <c r="C672" s="4">
        <v>0.82704435828055056</v>
      </c>
      <c r="D672" s="121">
        <v>10104.31727497035</v>
      </c>
      <c r="E672" s="4">
        <v>0.12884189230356866</v>
      </c>
      <c r="F672" s="121">
        <v>3459.5837760314375</v>
      </c>
      <c r="G672" s="4">
        <v>4.4113749415882614E-2</v>
      </c>
      <c r="H672" s="121">
        <v>78424.160762582047</v>
      </c>
      <c r="I672" s="2">
        <v>0.78635534700961163</v>
      </c>
      <c r="J672" s="120"/>
    </row>
    <row r="677" spans="1:17" ht="15.75" thickBot="1"/>
    <row r="678" spans="1:17" ht="38.25" customHeight="1">
      <c r="A678" s="627" t="s">
        <v>96</v>
      </c>
      <c r="B678" s="670" t="s">
        <v>342</v>
      </c>
      <c r="C678" s="625"/>
      <c r="D678" s="625"/>
      <c r="E678" s="626"/>
      <c r="F678" s="1"/>
      <c r="I678" s="64"/>
      <c r="J678" s="44"/>
      <c r="K678" s="44"/>
      <c r="L678" s="44"/>
      <c r="M678" s="63"/>
      <c r="N678" s="44"/>
      <c r="O678" s="44"/>
      <c r="P678" s="44"/>
      <c r="Q678" s="1"/>
    </row>
    <row r="679" spans="1:17" ht="36.75" thickBot="1">
      <c r="A679" s="716"/>
      <c r="B679" s="109" t="s">
        <v>95</v>
      </c>
      <c r="C679" s="108" t="s">
        <v>94</v>
      </c>
      <c r="D679" s="108" t="s">
        <v>93</v>
      </c>
      <c r="E679" s="107" t="s">
        <v>92</v>
      </c>
      <c r="F679" s="1"/>
      <c r="I679" s="44"/>
      <c r="J679" s="44"/>
      <c r="K679" s="44"/>
      <c r="L679" s="44"/>
      <c r="M679" s="59"/>
      <c r="N679" s="59"/>
      <c r="O679" s="59"/>
      <c r="P679" s="59"/>
      <c r="Q679" s="1"/>
    </row>
    <row r="680" spans="1:17" ht="15.75" customHeight="1">
      <c r="A680" s="14" t="s">
        <v>5</v>
      </c>
      <c r="B680" s="117">
        <v>1900714.1397569899</v>
      </c>
      <c r="C680" s="116">
        <v>14809.283715920839</v>
      </c>
      <c r="D680" s="116">
        <v>5851659.3189880811</v>
      </c>
      <c r="E680" s="100">
        <v>156131.29457100161</v>
      </c>
      <c r="F680" s="1"/>
      <c r="G680" s="93"/>
      <c r="I680" s="51"/>
      <c r="J680" s="51"/>
      <c r="K680" s="51"/>
      <c r="L680" s="43"/>
      <c r="M680" s="42"/>
      <c r="N680" s="42"/>
      <c r="O680" s="42"/>
      <c r="P680" s="42"/>
      <c r="Q680" s="1"/>
    </row>
    <row r="681" spans="1:17">
      <c r="A681" s="9" t="s">
        <v>2</v>
      </c>
      <c r="B681" s="119">
        <v>1268354.51683153</v>
      </c>
      <c r="C681" s="118">
        <v>45997.858315335099</v>
      </c>
      <c r="D681" s="118">
        <v>3725884.2526786001</v>
      </c>
      <c r="E681" s="97">
        <v>6561.2033180000262</v>
      </c>
      <c r="F681" s="1"/>
      <c r="G681" s="93"/>
      <c r="I681" s="44"/>
      <c r="J681" s="44"/>
      <c r="K681" s="44"/>
      <c r="L681" s="43"/>
      <c r="M681" s="42"/>
      <c r="N681" s="42"/>
      <c r="O681" s="42"/>
      <c r="P681" s="42"/>
      <c r="Q681" s="1"/>
    </row>
    <row r="682" spans="1:17">
      <c r="A682" s="9" t="s">
        <v>1</v>
      </c>
      <c r="B682" s="119">
        <v>1645172.86442418</v>
      </c>
      <c r="C682" s="118">
        <v>35009.535026131911</v>
      </c>
      <c r="D682" s="118">
        <v>8021617.5286188098</v>
      </c>
      <c r="E682" s="97">
        <v>52499.022394999971</v>
      </c>
      <c r="F682" s="1"/>
      <c r="G682" s="93"/>
      <c r="I682" s="44"/>
      <c r="J682" s="44"/>
      <c r="K682" s="44"/>
      <c r="L682" s="43"/>
      <c r="M682" s="42"/>
      <c r="N682" s="42"/>
      <c r="O682" s="42"/>
      <c r="P682" s="42"/>
      <c r="Q682" s="1"/>
    </row>
    <row r="683" spans="1:17" ht="15.75" thickBot="1">
      <c r="A683" s="9" t="s">
        <v>0</v>
      </c>
      <c r="B683" s="119">
        <v>2081661.0212459201</v>
      </c>
      <c r="C683" s="118">
        <v>14079.354612635196</v>
      </c>
      <c r="D683" s="118">
        <v>4386596.152551</v>
      </c>
      <c r="E683" s="97">
        <v>97071.068857999475</v>
      </c>
      <c r="F683" s="1"/>
      <c r="G683" s="93"/>
      <c r="I683" s="44"/>
      <c r="J683" s="44"/>
      <c r="K683" s="44"/>
      <c r="L683" s="43"/>
      <c r="M683" s="42"/>
      <c r="N683" s="42"/>
      <c r="O683" s="42"/>
      <c r="P683" s="42"/>
      <c r="Q683" s="1"/>
    </row>
    <row r="684" spans="1:17" ht="15" customHeight="1">
      <c r="A684" s="13" t="s">
        <v>4</v>
      </c>
      <c r="B684" s="117">
        <v>1909924.6500742864</v>
      </c>
      <c r="C684" s="116">
        <v>3040.3775058084302</v>
      </c>
      <c r="D684" s="116">
        <v>1150655.1225372758</v>
      </c>
      <c r="E684" s="100">
        <v>143230.44094562999</v>
      </c>
      <c r="F684" s="1"/>
      <c r="G684" s="93"/>
      <c r="I684" s="44"/>
      <c r="J684" s="51"/>
      <c r="K684" s="51"/>
      <c r="L684" s="43"/>
      <c r="M684" s="42"/>
      <c r="N684" s="42"/>
      <c r="O684" s="42"/>
      <c r="P684" s="42"/>
      <c r="Q684" s="1"/>
    </row>
    <row r="685" spans="1:17">
      <c r="A685" s="9" t="s">
        <v>2</v>
      </c>
      <c r="B685" s="115">
        <v>1354736.4851843007</v>
      </c>
      <c r="C685" s="114">
        <v>9882.3594605828639</v>
      </c>
      <c r="D685" s="114">
        <v>780168.51661394234</v>
      </c>
      <c r="E685" s="113">
        <v>6232.4032791101554</v>
      </c>
      <c r="F685" s="1"/>
      <c r="G685" s="93"/>
      <c r="I685" s="44"/>
      <c r="J685" s="44"/>
      <c r="K685" s="44"/>
      <c r="L685" s="43"/>
      <c r="M685" s="42"/>
      <c r="N685" s="42"/>
      <c r="O685" s="42"/>
      <c r="P685" s="42"/>
      <c r="Q685" s="1"/>
    </row>
    <row r="686" spans="1:17">
      <c r="A686" s="9" t="s">
        <v>1</v>
      </c>
      <c r="B686" s="115">
        <v>1471178.3659304699</v>
      </c>
      <c r="C686" s="114">
        <v>3823.9753076948896</v>
      </c>
      <c r="D686" s="114">
        <v>855989.68471496471</v>
      </c>
      <c r="E686" s="113">
        <v>50107.980963464717</v>
      </c>
      <c r="F686" s="1"/>
      <c r="G686" s="93"/>
      <c r="I686" s="44"/>
      <c r="J686" s="44"/>
      <c r="K686" s="44"/>
      <c r="L686" s="43"/>
      <c r="M686" s="42"/>
      <c r="N686" s="42"/>
      <c r="O686" s="42"/>
      <c r="P686" s="42"/>
      <c r="Q686" s="1"/>
    </row>
    <row r="687" spans="1:17" ht="15.75" thickBot="1">
      <c r="A687" s="9" t="s">
        <v>0</v>
      </c>
      <c r="B687" s="115">
        <v>2202764.2218104461</v>
      </c>
      <c r="C687" s="114">
        <v>4151.3616877409731</v>
      </c>
      <c r="D687" s="114">
        <v>1223701.8406527978</v>
      </c>
      <c r="E687" s="113">
        <v>86890.056703054695</v>
      </c>
      <c r="F687" s="1"/>
      <c r="G687" s="93"/>
      <c r="I687" s="44"/>
      <c r="J687" s="44"/>
      <c r="K687" s="44"/>
      <c r="L687" s="43"/>
      <c r="M687" s="42"/>
      <c r="N687" s="42"/>
      <c r="O687" s="42"/>
      <c r="P687" s="42"/>
      <c r="Q687" s="1"/>
    </row>
    <row r="688" spans="1:17" ht="15.75" customHeight="1">
      <c r="A688" s="13" t="s">
        <v>3</v>
      </c>
      <c r="B688" s="117">
        <v>2419684.8223969154</v>
      </c>
      <c r="C688" s="116">
        <v>4923.0475875524789</v>
      </c>
      <c r="D688" s="116">
        <v>1554710.5715550643</v>
      </c>
      <c r="E688" s="100">
        <v>99731.1979384601</v>
      </c>
      <c r="F688" s="1"/>
      <c r="G688" s="93"/>
      <c r="I688" s="44"/>
      <c r="J688" s="51"/>
      <c r="K688" s="51"/>
      <c r="L688" s="43"/>
      <c r="M688" s="42"/>
      <c r="N688" s="42"/>
      <c r="O688" s="42"/>
      <c r="P688" s="42"/>
      <c r="Q688" s="1"/>
    </row>
    <row r="689" spans="1:17">
      <c r="A689" s="9" t="s">
        <v>2</v>
      </c>
      <c r="B689" s="115">
        <v>1672181.7514340992</v>
      </c>
      <c r="C689" s="114">
        <v>15993.982269665956</v>
      </c>
      <c r="D689" s="114">
        <v>1177642.6544793029</v>
      </c>
      <c r="E689" s="113">
        <v>5421.429749197574</v>
      </c>
      <c r="F689" s="1"/>
      <c r="G689" s="93"/>
      <c r="I689" s="44"/>
      <c r="J689" s="44"/>
      <c r="K689" s="44"/>
      <c r="L689" s="43"/>
      <c r="M689" s="42"/>
      <c r="N689" s="42"/>
      <c r="O689" s="42"/>
      <c r="P689" s="42"/>
      <c r="Q689" s="1"/>
    </row>
    <row r="690" spans="1:17">
      <c r="A690" s="9" t="s">
        <v>1</v>
      </c>
      <c r="B690" s="115">
        <v>1830615.4761263398</v>
      </c>
      <c r="C690" s="114">
        <v>8085.6467174517074</v>
      </c>
      <c r="D690" s="114">
        <v>1019099.702704997</v>
      </c>
      <c r="E690" s="113">
        <v>15885.607426681747</v>
      </c>
      <c r="F690" s="1"/>
      <c r="G690" s="93"/>
      <c r="I690" s="44"/>
      <c r="J690" s="44"/>
      <c r="K690" s="44"/>
      <c r="L690" s="43"/>
      <c r="M690" s="42"/>
      <c r="N690" s="42"/>
      <c r="O690" s="42"/>
      <c r="P690" s="42"/>
      <c r="Q690" s="1"/>
    </row>
    <row r="691" spans="1:17" ht="15.75" thickBot="1">
      <c r="A691" s="5" t="s">
        <v>0</v>
      </c>
      <c r="B691" s="112">
        <v>2590681.3576238453</v>
      </c>
      <c r="C691" s="111">
        <v>5790.4052170250206</v>
      </c>
      <c r="D691" s="111">
        <v>1621563.2640330161</v>
      </c>
      <c r="E691" s="110">
        <v>78424.160762582047</v>
      </c>
      <c r="F691" s="1"/>
      <c r="G691" s="93"/>
      <c r="I691" s="44"/>
      <c r="J691" s="44"/>
      <c r="K691" s="44"/>
      <c r="L691" s="43"/>
      <c r="M691" s="42"/>
      <c r="N691" s="42"/>
      <c r="O691" s="42"/>
      <c r="P691" s="42"/>
      <c r="Q691" s="1"/>
    </row>
    <row r="694" spans="1:17" ht="15.75" thickBot="1"/>
    <row r="695" spans="1:17" ht="44.25" customHeight="1">
      <c r="A695" s="627" t="s">
        <v>96</v>
      </c>
      <c r="B695" s="670" t="s">
        <v>343</v>
      </c>
      <c r="C695" s="625"/>
      <c r="D695" s="625"/>
      <c r="E695" s="626"/>
      <c r="F695" s="1"/>
    </row>
    <row r="696" spans="1:17" ht="44.25" customHeight="1" thickBot="1">
      <c r="A696" s="716"/>
      <c r="B696" s="109" t="s">
        <v>95</v>
      </c>
      <c r="C696" s="108" t="s">
        <v>94</v>
      </c>
      <c r="D696" s="108" t="s">
        <v>93</v>
      </c>
      <c r="E696" s="107" t="s">
        <v>92</v>
      </c>
      <c r="F696" s="1"/>
    </row>
    <row r="697" spans="1:17" ht="15.75" customHeight="1">
      <c r="A697" s="14" t="s">
        <v>5</v>
      </c>
      <c r="B697" s="106">
        <v>45.627000485702737</v>
      </c>
      <c r="C697" s="105">
        <v>2.3067279954429473E-2</v>
      </c>
      <c r="D697" s="105">
        <v>9.1146787581583606</v>
      </c>
      <c r="E697" s="100">
        <v>156131.29457100161</v>
      </c>
      <c r="F697" s="1"/>
      <c r="G697" s="93"/>
    </row>
    <row r="698" spans="1:17">
      <c r="A698" s="9" t="s">
        <v>2</v>
      </c>
      <c r="B698" s="104">
        <v>47.296889787282787</v>
      </c>
      <c r="C698" s="103">
        <v>0.11555715201710047</v>
      </c>
      <c r="D698" s="103">
        <v>9.3602743421939021</v>
      </c>
      <c r="E698" s="97">
        <v>6561.2033180000262</v>
      </c>
      <c r="F698" s="1"/>
      <c r="G698" s="93"/>
    </row>
    <row r="699" spans="1:17">
      <c r="A699" s="9" t="s">
        <v>1</v>
      </c>
      <c r="B699" s="104">
        <v>47.56170801162979</v>
      </c>
      <c r="C699" s="103">
        <v>3.6257888516201889E-2</v>
      </c>
      <c r="D699" s="103">
        <v>8.3076485835980716</v>
      </c>
      <c r="E699" s="97">
        <v>52499.022394999971</v>
      </c>
      <c r="F699" s="1"/>
      <c r="G699" s="93"/>
    </row>
    <row r="700" spans="1:17" ht="15.75" thickBot="1">
      <c r="A700" s="9" t="s">
        <v>0</v>
      </c>
      <c r="B700" s="104">
        <v>44.467780356765374</v>
      </c>
      <c r="C700" s="103">
        <v>2.9906449083040399E-2</v>
      </c>
      <c r="D700" s="103">
        <v>9.3177221608152418</v>
      </c>
      <c r="E700" s="97">
        <v>97071.068857999475</v>
      </c>
      <c r="F700" s="1"/>
      <c r="G700" s="93"/>
    </row>
    <row r="701" spans="1:17" ht="15" customHeight="1">
      <c r="A701" s="13" t="s">
        <v>4</v>
      </c>
      <c r="B701" s="102">
        <v>45.864039657887993</v>
      </c>
      <c r="C701" s="101">
        <v>2.3905337159891561E-2</v>
      </c>
      <c r="D701" s="101">
        <v>9.0471655596912175</v>
      </c>
      <c r="E701" s="100">
        <v>143230.44094562999</v>
      </c>
      <c r="F701" s="1"/>
      <c r="G701" s="93"/>
    </row>
    <row r="702" spans="1:17">
      <c r="A702" s="9" t="s">
        <v>2</v>
      </c>
      <c r="B702" s="99">
        <v>47.464693875214991</v>
      </c>
      <c r="C702" s="98">
        <v>0.10378228545866251</v>
      </c>
      <c r="D702" s="98">
        <v>8.1931518500252931</v>
      </c>
      <c r="E702" s="97">
        <v>6232.4032791101554</v>
      </c>
      <c r="F702" s="1"/>
      <c r="G702" s="93"/>
    </row>
    <row r="703" spans="1:17">
      <c r="A703" s="9" t="s">
        <v>1</v>
      </c>
      <c r="B703" s="99">
        <v>47.033908838273305</v>
      </c>
      <c r="C703" s="98">
        <v>3.5807588647814616E-2</v>
      </c>
      <c r="D703" s="98">
        <v>8.015461411418606</v>
      </c>
      <c r="E703" s="97">
        <v>50107.980963464717</v>
      </c>
      <c r="F703" s="1"/>
      <c r="G703" s="93"/>
    </row>
    <row r="704" spans="1:17" ht="15.75" thickBot="1">
      <c r="A704" s="9" t="s">
        <v>0</v>
      </c>
      <c r="B704" s="99">
        <v>45.074585630395546</v>
      </c>
      <c r="C704" s="98">
        <v>3.2444481399090348E-2</v>
      </c>
      <c r="D704" s="98">
        <v>9.5636985147148135</v>
      </c>
      <c r="E704" s="97">
        <v>86890.056703054695</v>
      </c>
      <c r="F704" s="1"/>
      <c r="G704" s="93"/>
    </row>
    <row r="705" spans="1:8" ht="15.75" customHeight="1">
      <c r="A705" s="13" t="s">
        <v>3</v>
      </c>
      <c r="B705" s="102">
        <v>45.439614072630121</v>
      </c>
      <c r="C705" s="101">
        <v>3.0618445521219541E-2</v>
      </c>
      <c r="D705" s="101">
        <v>9.6693806204072956</v>
      </c>
      <c r="E705" s="100">
        <v>99731.1979384601</v>
      </c>
      <c r="F705" s="1"/>
      <c r="G705" s="93"/>
    </row>
    <row r="706" spans="1:8">
      <c r="A706" s="9" t="s">
        <v>2</v>
      </c>
      <c r="B706" s="99">
        <v>46.45058543131659</v>
      </c>
      <c r="C706" s="98">
        <v>0.11673407125794881</v>
      </c>
      <c r="D706" s="98">
        <v>8.5951715605633279</v>
      </c>
      <c r="E706" s="97">
        <v>5421.429749197574</v>
      </c>
      <c r="F706" s="1"/>
      <c r="G706" s="93"/>
    </row>
    <row r="707" spans="1:8">
      <c r="A707" s="9" t="s">
        <v>1</v>
      </c>
      <c r="B707" s="99">
        <v>47.385709976118072</v>
      </c>
      <c r="C707" s="98">
        <v>6.1336232513819776E-2</v>
      </c>
      <c r="D707" s="98">
        <v>7.7307033690903575</v>
      </c>
      <c r="E707" s="97">
        <v>15885.607426681747</v>
      </c>
      <c r="F707" s="1"/>
      <c r="G707" s="93"/>
    </row>
    <row r="708" spans="1:8" ht="15.75" thickBot="1">
      <c r="A708" s="5" t="s">
        <v>0</v>
      </c>
      <c r="B708" s="96">
        <v>44.975524621329271</v>
      </c>
      <c r="C708" s="95">
        <v>3.5821951081065971E-2</v>
      </c>
      <c r="D708" s="95">
        <v>10.03169169374444</v>
      </c>
      <c r="E708" s="94">
        <v>78424.160762582047</v>
      </c>
      <c r="F708" s="1"/>
      <c r="G708" s="93"/>
    </row>
    <row r="712" spans="1:8" ht="15.75" thickBot="1"/>
    <row r="713" spans="1:8" ht="33" customHeight="1">
      <c r="A713" s="602" t="s">
        <v>13</v>
      </c>
      <c r="B713" s="642" t="s">
        <v>344</v>
      </c>
      <c r="C713" s="589"/>
      <c r="D713" s="589"/>
      <c r="E713" s="589"/>
      <c r="F713" s="589"/>
      <c r="G713" s="590"/>
      <c r="H713" s="1"/>
    </row>
    <row r="714" spans="1:8">
      <c r="A714" s="603"/>
      <c r="B714" s="647" t="s">
        <v>27</v>
      </c>
      <c r="C714" s="648"/>
      <c r="D714" s="649" t="s">
        <v>26</v>
      </c>
      <c r="E714" s="648"/>
      <c r="F714" s="654" t="s">
        <v>9</v>
      </c>
      <c r="G714" s="653"/>
      <c r="H714" s="1"/>
    </row>
    <row r="715" spans="1:8" ht="15.75" thickBot="1">
      <c r="A715" s="604"/>
      <c r="B715" s="16" t="s">
        <v>7</v>
      </c>
      <c r="C715" s="16" t="s">
        <v>8</v>
      </c>
      <c r="D715" s="16" t="s">
        <v>7</v>
      </c>
      <c r="E715" s="16" t="s">
        <v>8</v>
      </c>
      <c r="F715" s="16" t="s">
        <v>7</v>
      </c>
      <c r="G715" s="15" t="s">
        <v>6</v>
      </c>
      <c r="H715" s="1"/>
    </row>
    <row r="716" spans="1:8" ht="15.75" customHeight="1">
      <c r="A716" s="14" t="s">
        <v>5</v>
      </c>
      <c r="B716" s="17">
        <v>14887.850646799989</v>
      </c>
      <c r="C716" s="12">
        <v>0.40219270023253673</v>
      </c>
      <c r="D716" s="17">
        <v>22128.859597300027</v>
      </c>
      <c r="E716" s="12">
        <v>0.59780729976746327</v>
      </c>
      <c r="F716" s="17">
        <v>37016.710244100017</v>
      </c>
      <c r="G716" s="10">
        <v>1</v>
      </c>
      <c r="H716" s="1"/>
    </row>
    <row r="717" spans="1:8">
      <c r="A717" s="9" t="s">
        <v>2</v>
      </c>
      <c r="B717" s="7">
        <v>605.79462380000007</v>
      </c>
      <c r="C717" s="8">
        <v>0.3820925041583999</v>
      </c>
      <c r="D717" s="7">
        <v>979.67124430000001</v>
      </c>
      <c r="E717" s="8">
        <v>0.61790749584160065</v>
      </c>
      <c r="F717" s="7">
        <v>1585.4658680999992</v>
      </c>
      <c r="G717" s="6">
        <v>4.2831085140870986E-2</v>
      </c>
      <c r="H717" s="1"/>
    </row>
    <row r="718" spans="1:8">
      <c r="A718" s="9" t="s">
        <v>1</v>
      </c>
      <c r="B718" s="7">
        <v>4022.7058899999956</v>
      </c>
      <c r="C718" s="8">
        <v>0.37233742872916475</v>
      </c>
      <c r="D718" s="7">
        <v>6781.219742000012</v>
      </c>
      <c r="E718" s="8">
        <v>0.62766257127083613</v>
      </c>
      <c r="F718" s="7">
        <v>10803.925631999999</v>
      </c>
      <c r="G718" s="6">
        <v>0.29186617505325191</v>
      </c>
      <c r="H718" s="1"/>
    </row>
    <row r="719" spans="1:8" ht="15.75" thickBot="1">
      <c r="A719" s="9" t="s">
        <v>0</v>
      </c>
      <c r="B719" s="7">
        <v>10259.350132999991</v>
      </c>
      <c r="C719" s="8">
        <v>0.41658412917969334</v>
      </c>
      <c r="D719" s="7">
        <v>14367.968610999978</v>
      </c>
      <c r="E719" s="8">
        <v>0.58341587082030433</v>
      </c>
      <c r="F719" s="7">
        <v>24627.318744000026</v>
      </c>
      <c r="G719" s="6">
        <v>0.66530273980587717</v>
      </c>
      <c r="H719" s="1"/>
    </row>
    <row r="720" spans="1:8" ht="15" customHeight="1">
      <c r="A720" s="13" t="s">
        <v>4</v>
      </c>
      <c r="B720" s="17">
        <v>10978.642406184603</v>
      </c>
      <c r="C720" s="12">
        <v>0.29904748945989928</v>
      </c>
      <c r="D720" s="17">
        <v>25733.394287428073</v>
      </c>
      <c r="E720" s="12">
        <v>0.70095251054009788</v>
      </c>
      <c r="F720" s="17">
        <v>36712.036693612776</v>
      </c>
      <c r="G720" s="10">
        <v>1</v>
      </c>
      <c r="H720" s="1"/>
    </row>
    <row r="721" spans="1:24">
      <c r="A721" s="9" t="s">
        <v>2</v>
      </c>
      <c r="B721" s="7">
        <v>694.52972757457019</v>
      </c>
      <c r="C721" s="8">
        <v>0.37047464677518599</v>
      </c>
      <c r="D721" s="7">
        <v>1180.1727213517931</v>
      </c>
      <c r="E721" s="8">
        <v>0.62952535322481451</v>
      </c>
      <c r="F721" s="7">
        <v>1874.7024489263624</v>
      </c>
      <c r="G721" s="6">
        <v>5.106506251810667E-2</v>
      </c>
      <c r="H721" s="1"/>
    </row>
    <row r="722" spans="1:24">
      <c r="A722" s="9" t="s">
        <v>1</v>
      </c>
      <c r="B722" s="7">
        <v>3310.0877641164616</v>
      </c>
      <c r="C722" s="8">
        <v>0.33368603138816355</v>
      </c>
      <c r="D722" s="7">
        <v>6609.6794803984067</v>
      </c>
      <c r="E722" s="8">
        <v>0.66631396861183745</v>
      </c>
      <c r="F722" s="7">
        <v>9919.7672445148582</v>
      </c>
      <c r="G722" s="6">
        <v>0.2702047649195316</v>
      </c>
      <c r="H722" s="1"/>
    </row>
    <row r="723" spans="1:24" ht="15.75" thickBot="1">
      <c r="A723" s="9" t="s">
        <v>0</v>
      </c>
      <c r="B723" s="7">
        <v>6974.0249144935824</v>
      </c>
      <c r="C723" s="8">
        <v>0.27988386323775521</v>
      </c>
      <c r="D723" s="7">
        <v>17943.542085677764</v>
      </c>
      <c r="E723" s="8">
        <v>0.7201161367622414</v>
      </c>
      <c r="F723" s="7">
        <v>24917.567000171428</v>
      </c>
      <c r="G723" s="6">
        <v>0.67873017256235824</v>
      </c>
      <c r="H723" s="1"/>
    </row>
    <row r="724" spans="1:24" ht="15.75" customHeight="1">
      <c r="A724" s="13" t="s">
        <v>3</v>
      </c>
      <c r="B724" s="17">
        <v>6495.6682634250601</v>
      </c>
      <c r="C724" s="12">
        <v>0.25964615101307997</v>
      </c>
      <c r="D724" s="17">
        <v>18521.718815414475</v>
      </c>
      <c r="E724" s="12">
        <v>0.7403538489869177</v>
      </c>
      <c r="F724" s="17">
        <v>25017.387078839594</v>
      </c>
      <c r="G724" s="10">
        <v>1</v>
      </c>
      <c r="H724" s="1"/>
    </row>
    <row r="725" spans="1:24">
      <c r="A725" s="9" t="s">
        <v>2</v>
      </c>
      <c r="B725" s="7">
        <v>469.79210616729881</v>
      </c>
      <c r="C725" s="8">
        <v>0.2956882251833875</v>
      </c>
      <c r="D725" s="7">
        <v>1119.0168694891702</v>
      </c>
      <c r="E725" s="8">
        <v>0.70431177481660912</v>
      </c>
      <c r="F725" s="7">
        <v>1588.8089756564743</v>
      </c>
      <c r="G725" s="6">
        <v>6.3508190149895116E-2</v>
      </c>
      <c r="H725" s="1"/>
    </row>
    <row r="726" spans="1:24">
      <c r="A726" s="9" t="s">
        <v>1</v>
      </c>
      <c r="B726" s="7">
        <v>896.00349391048314</v>
      </c>
      <c r="C726" s="8">
        <v>0.28155133960150974</v>
      </c>
      <c r="D726" s="7">
        <v>2286.3770096901471</v>
      </c>
      <c r="E726" s="8">
        <v>0.71844866039849198</v>
      </c>
      <c r="F726" s="7">
        <v>3182.3805036006247</v>
      </c>
      <c r="G726" s="6">
        <v>0.12720674999238313</v>
      </c>
      <c r="H726" s="1"/>
    </row>
    <row r="727" spans="1:24" ht="15.75" thickBot="1">
      <c r="A727" s="5" t="s">
        <v>0</v>
      </c>
      <c r="B727" s="3">
        <v>5129.8726633472852</v>
      </c>
      <c r="C727" s="4">
        <v>0.25337462198102229</v>
      </c>
      <c r="D727" s="3">
        <v>15116.324936235153</v>
      </c>
      <c r="E727" s="4">
        <v>0.74662537801897688</v>
      </c>
      <c r="F727" s="3">
        <v>20246.197599582454</v>
      </c>
      <c r="G727" s="2">
        <v>0.80928505985772003</v>
      </c>
      <c r="H727" s="1"/>
    </row>
    <row r="730" spans="1:24" ht="15.75" thickBot="1"/>
    <row r="731" spans="1:24" ht="15" customHeight="1">
      <c r="A731" s="602" t="s">
        <v>13</v>
      </c>
      <c r="B731" s="642" t="s">
        <v>345</v>
      </c>
      <c r="C731" s="589"/>
      <c r="D731" s="589"/>
      <c r="E731" s="589"/>
      <c r="F731" s="589"/>
      <c r="G731" s="589"/>
      <c r="H731" s="589"/>
      <c r="I731" s="589"/>
      <c r="J731" s="589"/>
      <c r="K731" s="589"/>
      <c r="L731" s="589"/>
      <c r="M731" s="589"/>
      <c r="N731" s="589"/>
      <c r="O731" s="589"/>
      <c r="P731" s="589"/>
      <c r="Q731" s="589"/>
      <c r="R731" s="589"/>
      <c r="S731" s="589"/>
      <c r="T731" s="589"/>
      <c r="U731" s="589"/>
      <c r="V731" s="589"/>
      <c r="W731" s="590"/>
      <c r="X731" s="1"/>
    </row>
    <row r="732" spans="1:24">
      <c r="A732" s="603"/>
      <c r="B732" s="647" t="s">
        <v>69</v>
      </c>
      <c r="C732" s="648"/>
      <c r="D732" s="649" t="s">
        <v>68</v>
      </c>
      <c r="E732" s="648"/>
      <c r="F732" s="649" t="s">
        <v>67</v>
      </c>
      <c r="G732" s="648"/>
      <c r="H732" s="649" t="s">
        <v>66</v>
      </c>
      <c r="I732" s="648"/>
      <c r="J732" s="649" t="s">
        <v>65</v>
      </c>
      <c r="K732" s="648"/>
      <c r="L732" s="649" t="s">
        <v>64</v>
      </c>
      <c r="M732" s="648"/>
      <c r="N732" s="649" t="s">
        <v>63</v>
      </c>
      <c r="O732" s="648"/>
      <c r="P732" s="649" t="s">
        <v>62</v>
      </c>
      <c r="Q732" s="648"/>
      <c r="R732" s="649" t="s">
        <v>61</v>
      </c>
      <c r="S732" s="648"/>
      <c r="T732" s="649" t="s">
        <v>60</v>
      </c>
      <c r="U732" s="648"/>
      <c r="V732" s="654" t="s">
        <v>9</v>
      </c>
      <c r="W732" s="653"/>
      <c r="X732" s="1"/>
    </row>
    <row r="733" spans="1:24" ht="15.75" thickBot="1">
      <c r="A733" s="604"/>
      <c r="B733" s="16" t="s">
        <v>7</v>
      </c>
      <c r="C733" s="16" t="s">
        <v>8</v>
      </c>
      <c r="D733" s="16" t="s">
        <v>7</v>
      </c>
      <c r="E733" s="16" t="s">
        <v>8</v>
      </c>
      <c r="F733" s="16" t="s">
        <v>7</v>
      </c>
      <c r="G733" s="16" t="s">
        <v>8</v>
      </c>
      <c r="H733" s="16" t="s">
        <v>7</v>
      </c>
      <c r="I733" s="16" t="s">
        <v>8</v>
      </c>
      <c r="J733" s="16" t="s">
        <v>7</v>
      </c>
      <c r="K733" s="16" t="s">
        <v>8</v>
      </c>
      <c r="L733" s="16" t="s">
        <v>7</v>
      </c>
      <c r="M733" s="16" t="s">
        <v>8</v>
      </c>
      <c r="N733" s="16" t="s">
        <v>7</v>
      </c>
      <c r="O733" s="16" t="s">
        <v>8</v>
      </c>
      <c r="P733" s="16" t="s">
        <v>7</v>
      </c>
      <c r="Q733" s="16" t="s">
        <v>8</v>
      </c>
      <c r="R733" s="16" t="s">
        <v>7</v>
      </c>
      <c r="S733" s="16" t="s">
        <v>8</v>
      </c>
      <c r="T733" s="16" t="s">
        <v>7</v>
      </c>
      <c r="U733" s="16" t="s">
        <v>8</v>
      </c>
      <c r="V733" s="16" t="s">
        <v>7</v>
      </c>
      <c r="W733" s="15" t="s">
        <v>6</v>
      </c>
      <c r="X733" s="1"/>
    </row>
    <row r="734" spans="1:24" ht="15.75" customHeight="1">
      <c r="A734" s="14" t="s">
        <v>5</v>
      </c>
      <c r="B734" s="85">
        <v>54.263157</v>
      </c>
      <c r="C734" s="84">
        <v>1.4659097645947302E-3</v>
      </c>
      <c r="D734" s="85">
        <v>7084.4891953000015</v>
      </c>
      <c r="E734" s="84">
        <v>0.19138624552486214</v>
      </c>
      <c r="F734" s="85">
        <v>4814.670784500001</v>
      </c>
      <c r="G734" s="84">
        <v>0.1300674952676919</v>
      </c>
      <c r="H734" s="85">
        <v>6266.8829783000047</v>
      </c>
      <c r="I734" s="84">
        <v>0.16929875553430265</v>
      </c>
      <c r="J734" s="85">
        <v>2419.4498205</v>
      </c>
      <c r="K734" s="84">
        <v>6.5361016809580716E-2</v>
      </c>
      <c r="L734" s="85">
        <v>0</v>
      </c>
      <c r="M734" s="84">
        <v>0</v>
      </c>
      <c r="N734" s="85">
        <v>0</v>
      </c>
      <c r="O734" s="84">
        <v>0</v>
      </c>
      <c r="P734" s="85">
        <v>0</v>
      </c>
      <c r="Q734" s="84">
        <v>0</v>
      </c>
      <c r="R734" s="85">
        <v>0</v>
      </c>
      <c r="S734" s="84">
        <v>0</v>
      </c>
      <c r="T734" s="85">
        <v>16376.954308499991</v>
      </c>
      <c r="U734" s="84">
        <v>0.44242057709896748</v>
      </c>
      <c r="V734" s="85">
        <v>37016.710244100017</v>
      </c>
      <c r="W734" s="84">
        <v>1</v>
      </c>
      <c r="X734" s="1"/>
    </row>
    <row r="735" spans="1:24">
      <c r="A735" s="9" t="s">
        <v>2</v>
      </c>
      <c r="B735" s="90">
        <v>0</v>
      </c>
      <c r="C735" s="91">
        <v>0</v>
      </c>
      <c r="D735" s="90">
        <v>157.99667929999998</v>
      </c>
      <c r="E735" s="91">
        <v>9.9653157143862747E-2</v>
      </c>
      <c r="F735" s="90">
        <v>247.52752749999996</v>
      </c>
      <c r="G735" s="91">
        <v>0.15612289894113812</v>
      </c>
      <c r="H735" s="90">
        <v>232.31406929999991</v>
      </c>
      <c r="I735" s="91">
        <v>0.14652732296180046</v>
      </c>
      <c r="J735" s="90">
        <v>66.199673500000003</v>
      </c>
      <c r="K735" s="91">
        <v>4.1754083031338159E-2</v>
      </c>
      <c r="L735" s="90">
        <v>0</v>
      </c>
      <c r="M735" s="91">
        <v>0</v>
      </c>
      <c r="N735" s="90">
        <v>0</v>
      </c>
      <c r="O735" s="91">
        <v>0</v>
      </c>
      <c r="P735" s="90">
        <v>0</v>
      </c>
      <c r="Q735" s="91">
        <v>0</v>
      </c>
      <c r="R735" s="90">
        <v>0</v>
      </c>
      <c r="S735" s="91">
        <v>0</v>
      </c>
      <c r="T735" s="90">
        <v>881.42791849999981</v>
      </c>
      <c r="U735" s="91">
        <v>0.55594253792186077</v>
      </c>
      <c r="V735" s="90">
        <v>1585.4658680999992</v>
      </c>
      <c r="W735" s="89">
        <v>4.2831085140870986E-2</v>
      </c>
      <c r="X735" s="1"/>
    </row>
    <row r="736" spans="1:24">
      <c r="A736" s="9" t="s">
        <v>1</v>
      </c>
      <c r="B736" s="90">
        <v>0</v>
      </c>
      <c r="C736" s="91">
        <v>0</v>
      </c>
      <c r="D736" s="90">
        <v>1572.020661</v>
      </c>
      <c r="E736" s="91">
        <v>0.14550457995970034</v>
      </c>
      <c r="F736" s="90">
        <v>1309.427156</v>
      </c>
      <c r="G736" s="91">
        <v>0.12119920116088412</v>
      </c>
      <c r="H736" s="90">
        <v>1721.0195809999996</v>
      </c>
      <c r="I736" s="91">
        <v>0.15929576337535456</v>
      </c>
      <c r="J736" s="90">
        <v>780.33220899999981</v>
      </c>
      <c r="K736" s="91">
        <v>7.222672902234209E-2</v>
      </c>
      <c r="L736" s="90">
        <v>0</v>
      </c>
      <c r="M736" s="91">
        <v>0</v>
      </c>
      <c r="N736" s="90">
        <v>0</v>
      </c>
      <c r="O736" s="91">
        <v>0</v>
      </c>
      <c r="P736" s="90">
        <v>0</v>
      </c>
      <c r="Q736" s="91">
        <v>0</v>
      </c>
      <c r="R736" s="90">
        <v>0</v>
      </c>
      <c r="S736" s="91">
        <v>0</v>
      </c>
      <c r="T736" s="90">
        <v>5421.1260250000032</v>
      </c>
      <c r="U736" s="91">
        <v>0.50177372648171925</v>
      </c>
      <c r="V736" s="90">
        <v>10803.925631999999</v>
      </c>
      <c r="W736" s="89">
        <v>0.29186617505325191</v>
      </c>
      <c r="X736" s="1"/>
    </row>
    <row r="737" spans="1:24" ht="15.75" thickBot="1">
      <c r="A737" s="9" t="s">
        <v>0</v>
      </c>
      <c r="B737" s="90">
        <v>54.263157</v>
      </c>
      <c r="C737" s="91">
        <v>2.2033725053085683E-3</v>
      </c>
      <c r="D737" s="90">
        <v>5354.4718550000016</v>
      </c>
      <c r="E737" s="91">
        <v>0.21742000867652375</v>
      </c>
      <c r="F737" s="90">
        <v>3257.7161010000013</v>
      </c>
      <c r="G737" s="91">
        <v>0.13228058380466942</v>
      </c>
      <c r="H737" s="90">
        <v>4313.5493279999992</v>
      </c>
      <c r="I737" s="91">
        <v>0.17515302306512406</v>
      </c>
      <c r="J737" s="90">
        <v>1572.9179380000005</v>
      </c>
      <c r="K737" s="91">
        <v>6.3868826093104902E-2</v>
      </c>
      <c r="L737" s="90">
        <v>0</v>
      </c>
      <c r="M737" s="91">
        <v>0</v>
      </c>
      <c r="N737" s="90">
        <v>0</v>
      </c>
      <c r="O737" s="91">
        <v>0</v>
      </c>
      <c r="P737" s="90">
        <v>0</v>
      </c>
      <c r="Q737" s="91">
        <v>0</v>
      </c>
      <c r="R737" s="90">
        <v>0</v>
      </c>
      <c r="S737" s="91">
        <v>0</v>
      </c>
      <c r="T737" s="90">
        <v>10074.400364999992</v>
      </c>
      <c r="U737" s="91">
        <v>0.409074185855268</v>
      </c>
      <c r="V737" s="90">
        <v>24627.318744000026</v>
      </c>
      <c r="W737" s="89">
        <v>0.66530273980587717</v>
      </c>
      <c r="X737" s="1"/>
    </row>
    <row r="738" spans="1:24" ht="15" customHeight="1">
      <c r="A738" s="13" t="s">
        <v>4</v>
      </c>
      <c r="B738" s="54">
        <v>193.50226014755245</v>
      </c>
      <c r="C738" s="92">
        <v>5.2708124521246812E-3</v>
      </c>
      <c r="D738" s="54">
        <v>6550.1465060492301</v>
      </c>
      <c r="E738" s="92">
        <v>0.17841958921306145</v>
      </c>
      <c r="F738" s="54">
        <v>3428.5419521582717</v>
      </c>
      <c r="G738" s="92">
        <v>9.3390131982374475E-2</v>
      </c>
      <c r="H738" s="54">
        <v>5927.3896856051069</v>
      </c>
      <c r="I738" s="92">
        <v>0.16145630205900194</v>
      </c>
      <c r="J738" s="54">
        <v>3464.6177444189861</v>
      </c>
      <c r="K738" s="92">
        <v>9.4372801305838916E-2</v>
      </c>
      <c r="L738" s="54">
        <v>1384.648082711504</v>
      </c>
      <c r="M738" s="92">
        <v>3.7716460524033185E-2</v>
      </c>
      <c r="N738" s="54">
        <v>889.51390248585835</v>
      </c>
      <c r="O738" s="92">
        <v>2.422948936092716E-2</v>
      </c>
      <c r="P738" s="54">
        <v>0</v>
      </c>
      <c r="Q738" s="92">
        <v>0</v>
      </c>
      <c r="R738" s="54">
        <v>0</v>
      </c>
      <c r="S738" s="92">
        <v>0</v>
      </c>
      <c r="T738" s="54">
        <v>14873.676560036047</v>
      </c>
      <c r="U738" s="92">
        <v>0.40514441310263222</v>
      </c>
      <c r="V738" s="54">
        <v>36712.036693612776</v>
      </c>
      <c r="W738" s="84">
        <v>1</v>
      </c>
      <c r="X738" s="1"/>
    </row>
    <row r="739" spans="1:24">
      <c r="A739" s="9" t="s">
        <v>2</v>
      </c>
      <c r="B739" s="90">
        <v>27.733212621950354</v>
      </c>
      <c r="C739" s="91">
        <v>1.4793394353238882E-2</v>
      </c>
      <c r="D739" s="90">
        <v>274.48791505835629</v>
      </c>
      <c r="E739" s="91">
        <v>0.14641679015011413</v>
      </c>
      <c r="F739" s="90">
        <v>215.80542726551874</v>
      </c>
      <c r="G739" s="91">
        <v>0.11511449584391911</v>
      </c>
      <c r="H739" s="90">
        <v>278.12022352425464</v>
      </c>
      <c r="I739" s="91">
        <v>0.14835432880750404</v>
      </c>
      <c r="J739" s="90">
        <v>168.57035906642474</v>
      </c>
      <c r="K739" s="91">
        <v>8.9918461013887618E-2</v>
      </c>
      <c r="L739" s="90">
        <v>92.714867215751923</v>
      </c>
      <c r="M739" s="91">
        <v>4.9455777512239084E-2</v>
      </c>
      <c r="N739" s="90">
        <v>23.485457818274497</v>
      </c>
      <c r="O739" s="91">
        <v>1.2527565551389001E-2</v>
      </c>
      <c r="P739" s="90">
        <v>0</v>
      </c>
      <c r="Q739" s="91">
        <v>0</v>
      </c>
      <c r="R739" s="90">
        <v>0</v>
      </c>
      <c r="S739" s="91">
        <v>0</v>
      </c>
      <c r="T739" s="90">
        <v>793.78498635583253</v>
      </c>
      <c r="U739" s="91">
        <v>0.42341918676770879</v>
      </c>
      <c r="V739" s="90">
        <v>1874.7024489263624</v>
      </c>
      <c r="W739" s="89">
        <v>5.106506251810667E-2</v>
      </c>
      <c r="X739" s="1"/>
    </row>
    <row r="740" spans="1:24">
      <c r="A740" s="9" t="s">
        <v>1</v>
      </c>
      <c r="B740" s="90">
        <v>43.661896243291594</v>
      </c>
      <c r="C740" s="91">
        <v>4.4015041045881867E-3</v>
      </c>
      <c r="D740" s="90">
        <v>1031.9085767730046</v>
      </c>
      <c r="E740" s="91">
        <v>0.10402548278979017</v>
      </c>
      <c r="F740" s="90">
        <v>1055.3919174224025</v>
      </c>
      <c r="G740" s="91">
        <v>0.10639281057788751</v>
      </c>
      <c r="H740" s="90">
        <v>1307.2106387503088</v>
      </c>
      <c r="I740" s="91">
        <v>0.13177835795221221</v>
      </c>
      <c r="J740" s="90">
        <v>989.24177425771006</v>
      </c>
      <c r="K740" s="91">
        <v>9.972429290664174E-2</v>
      </c>
      <c r="L740" s="90">
        <v>322.57443668584057</v>
      </c>
      <c r="M740" s="91">
        <v>3.2518347329591663E-2</v>
      </c>
      <c r="N740" s="90">
        <v>158.66468306491609</v>
      </c>
      <c r="O740" s="91">
        <v>1.5994798986100185E-2</v>
      </c>
      <c r="P740" s="90">
        <v>0</v>
      </c>
      <c r="Q740" s="91">
        <v>0</v>
      </c>
      <c r="R740" s="90">
        <v>0</v>
      </c>
      <c r="S740" s="91">
        <v>0</v>
      </c>
      <c r="T740" s="90">
        <v>5011.113321317398</v>
      </c>
      <c r="U740" s="91">
        <v>0.50516440535318974</v>
      </c>
      <c r="V740" s="90">
        <v>9919.7672445148582</v>
      </c>
      <c r="W740" s="89">
        <v>0.2702047649195316</v>
      </c>
      <c r="X740" s="1"/>
    </row>
    <row r="741" spans="1:24" ht="15.75" thickBot="1">
      <c r="A741" s="9" t="s">
        <v>0</v>
      </c>
      <c r="B741" s="90">
        <v>122.10715128231053</v>
      </c>
      <c r="C741" s="91">
        <v>4.9004443845368393E-3</v>
      </c>
      <c r="D741" s="90">
        <v>5243.7500142178742</v>
      </c>
      <c r="E741" s="91">
        <v>0.21044390145240899</v>
      </c>
      <c r="F741" s="90">
        <v>2157.3446074703497</v>
      </c>
      <c r="G741" s="91">
        <v>8.6579263836453521E-2</v>
      </c>
      <c r="H741" s="90">
        <v>4342.0588233305507</v>
      </c>
      <c r="I741" s="91">
        <v>0.17425693380500104</v>
      </c>
      <c r="J741" s="90">
        <v>2306.8056110948523</v>
      </c>
      <c r="K741" s="91">
        <v>9.2577482026193897E-2</v>
      </c>
      <c r="L741" s="90">
        <v>969.35877880991166</v>
      </c>
      <c r="M741" s="91">
        <v>3.8902625557432742E-2</v>
      </c>
      <c r="N741" s="90">
        <v>707.36376160266764</v>
      </c>
      <c r="O741" s="91">
        <v>2.8388155296133092E-2</v>
      </c>
      <c r="P741" s="90">
        <v>0</v>
      </c>
      <c r="Q741" s="91">
        <v>0</v>
      </c>
      <c r="R741" s="90">
        <v>0</v>
      </c>
      <c r="S741" s="91">
        <v>0</v>
      </c>
      <c r="T741" s="90">
        <v>9068.7782523628248</v>
      </c>
      <c r="U741" s="91">
        <v>0.36395119364183642</v>
      </c>
      <c r="V741" s="90">
        <v>24917.567000171428</v>
      </c>
      <c r="W741" s="89">
        <v>0.67873017256235824</v>
      </c>
      <c r="X741" s="1"/>
    </row>
    <row r="742" spans="1:24" ht="15.75" customHeight="1">
      <c r="A742" s="13" t="s">
        <v>3</v>
      </c>
      <c r="B742" s="54">
        <v>437.00128955582056</v>
      </c>
      <c r="C742" s="92">
        <v>1.7467902950002657E-2</v>
      </c>
      <c r="D742" s="54">
        <v>3624.8459308619176</v>
      </c>
      <c r="E742" s="92">
        <v>0.14489306654762174</v>
      </c>
      <c r="F742" s="54">
        <v>3250.5623469401853</v>
      </c>
      <c r="G742" s="92">
        <v>0.12993212827128545</v>
      </c>
      <c r="H742" s="54">
        <v>3053.023982718214</v>
      </c>
      <c r="I742" s="92">
        <v>0.12203608526729584</v>
      </c>
      <c r="J742" s="54">
        <v>2703.5783340458488</v>
      </c>
      <c r="K742" s="92">
        <v>0.10806797390654004</v>
      </c>
      <c r="L742" s="54">
        <v>1345.1907909444342</v>
      </c>
      <c r="M742" s="92">
        <v>5.3770235344930729E-2</v>
      </c>
      <c r="N742" s="54">
        <v>1340.6228644117587</v>
      </c>
      <c r="O742" s="92">
        <v>5.3587645271943485E-2</v>
      </c>
      <c r="P742" s="54">
        <v>923.52659143300741</v>
      </c>
      <c r="Q742" s="92">
        <v>3.6915389625727622E-2</v>
      </c>
      <c r="R742" s="54">
        <v>405.77067620497525</v>
      </c>
      <c r="S742" s="92">
        <v>1.6219546626761328E-2</v>
      </c>
      <c r="T742" s="54">
        <v>7933.2642717234039</v>
      </c>
      <c r="U742" s="92">
        <v>0.31711002618788997</v>
      </c>
      <c r="V742" s="54">
        <v>25017.387078839594</v>
      </c>
      <c r="W742" s="84">
        <v>1</v>
      </c>
      <c r="X742" s="1"/>
    </row>
    <row r="743" spans="1:24">
      <c r="A743" s="9" t="s">
        <v>2</v>
      </c>
      <c r="B743" s="90">
        <v>24.211086299321593</v>
      </c>
      <c r="C743" s="91">
        <v>1.5238513043594748E-2</v>
      </c>
      <c r="D743" s="90">
        <v>208.70726737837339</v>
      </c>
      <c r="E743" s="91">
        <v>0.13136083102258303</v>
      </c>
      <c r="F743" s="90">
        <v>138.58963125838665</v>
      </c>
      <c r="G743" s="91">
        <v>8.7228630616920627E-2</v>
      </c>
      <c r="H743" s="90">
        <v>265.50498778091344</v>
      </c>
      <c r="I743" s="91">
        <v>0.16710944603721814</v>
      </c>
      <c r="J743" s="90">
        <v>102.99742814803953</v>
      </c>
      <c r="K743" s="91">
        <v>6.482681664451348E-2</v>
      </c>
      <c r="L743" s="90">
        <v>98.051275604987921</v>
      </c>
      <c r="M743" s="91">
        <v>6.1713696931045135E-2</v>
      </c>
      <c r="N743" s="90">
        <v>73.042982755772016</v>
      </c>
      <c r="O743" s="91">
        <v>4.5973420263182768E-2</v>
      </c>
      <c r="P743" s="90">
        <v>84.178875149782883</v>
      </c>
      <c r="Q743" s="91">
        <v>5.2982376383543091E-2</v>
      </c>
      <c r="R743" s="90">
        <v>23.793558778759227</v>
      </c>
      <c r="S743" s="91">
        <v>1.4975720268025329E-2</v>
      </c>
      <c r="T743" s="90">
        <v>569.73188250213241</v>
      </c>
      <c r="U743" s="91">
        <v>0.3585905487893703</v>
      </c>
      <c r="V743" s="90">
        <v>1588.8089756564743</v>
      </c>
      <c r="W743" s="89">
        <v>6.3508190149895116E-2</v>
      </c>
      <c r="X743" s="1"/>
    </row>
    <row r="744" spans="1:24">
      <c r="A744" s="9" t="s">
        <v>1</v>
      </c>
      <c r="B744" s="90">
        <v>38.882423368645398</v>
      </c>
      <c r="C744" s="91">
        <v>1.2218030912599187E-2</v>
      </c>
      <c r="D744" s="90">
        <v>301.34370004040693</v>
      </c>
      <c r="E744" s="91">
        <v>9.4691285249975346E-2</v>
      </c>
      <c r="F744" s="90">
        <v>355.06407047086577</v>
      </c>
      <c r="G744" s="91">
        <v>0.11157184694574938</v>
      </c>
      <c r="H744" s="90">
        <v>567.38243601184627</v>
      </c>
      <c r="I744" s="91">
        <v>0.17828868526874633</v>
      </c>
      <c r="J744" s="90">
        <v>378.23614837417455</v>
      </c>
      <c r="K744" s="91">
        <v>0.11885321316738484</v>
      </c>
      <c r="L744" s="90">
        <v>119.42719525454201</v>
      </c>
      <c r="M744" s="91">
        <v>3.7527629118962708E-2</v>
      </c>
      <c r="N744" s="90">
        <v>146.66591522858846</v>
      </c>
      <c r="O744" s="91">
        <v>4.6086857012430468E-2</v>
      </c>
      <c r="P744" s="90">
        <v>156.50548145437668</v>
      </c>
      <c r="Q744" s="91">
        <v>4.9178745683397217E-2</v>
      </c>
      <c r="R744" s="90">
        <v>51.159608045239672</v>
      </c>
      <c r="S744" s="91">
        <v>1.6075892869302215E-2</v>
      </c>
      <c r="T744" s="90">
        <v>1067.713525351943</v>
      </c>
      <c r="U744" s="91">
        <v>0.33550781377145356</v>
      </c>
      <c r="V744" s="90">
        <v>3182.3805036006247</v>
      </c>
      <c r="W744" s="89">
        <v>0.12720674999238313</v>
      </c>
      <c r="X744" s="1"/>
    </row>
    <row r="745" spans="1:24" ht="15.75" thickBot="1">
      <c r="A745" s="5" t="s">
        <v>0</v>
      </c>
      <c r="B745" s="87">
        <v>373.90777988785356</v>
      </c>
      <c r="C745" s="88">
        <v>1.846804952133653E-2</v>
      </c>
      <c r="D745" s="87">
        <v>3114.7949634431366</v>
      </c>
      <c r="E745" s="88">
        <v>0.15384592332080047</v>
      </c>
      <c r="F745" s="87">
        <v>2756.9086452109323</v>
      </c>
      <c r="G745" s="88">
        <v>0.13616920568175178</v>
      </c>
      <c r="H745" s="87">
        <v>2220.1365589254524</v>
      </c>
      <c r="I745" s="88">
        <v>0.10965696388201009</v>
      </c>
      <c r="J745" s="87">
        <v>2222.3447575236337</v>
      </c>
      <c r="K745" s="88">
        <v>0.10976603120624814</v>
      </c>
      <c r="L745" s="87">
        <v>1127.7123200849035</v>
      </c>
      <c r="M745" s="88">
        <v>5.5699956228233233E-2</v>
      </c>
      <c r="N745" s="87">
        <v>1120.9139664273976</v>
      </c>
      <c r="O745" s="88">
        <v>5.536417200879807E-2</v>
      </c>
      <c r="P745" s="87">
        <v>682.84223482884795</v>
      </c>
      <c r="Q745" s="88">
        <v>3.3726937192538838E-2</v>
      </c>
      <c r="R745" s="87">
        <v>330.81750938097645</v>
      </c>
      <c r="S745" s="88">
        <v>1.633973528875363E-2</v>
      </c>
      <c r="T745" s="87">
        <v>6295.8188638693464</v>
      </c>
      <c r="U745" s="88">
        <v>0.31096302566953055</v>
      </c>
      <c r="V745" s="87">
        <v>20246.197599582454</v>
      </c>
      <c r="W745" s="86">
        <v>0.80928505985772003</v>
      </c>
      <c r="X745" s="1"/>
    </row>
    <row r="749" spans="1:24" ht="15.75" thickBot="1"/>
    <row r="750" spans="1:24" ht="27" customHeight="1">
      <c r="A750" s="602" t="s">
        <v>13</v>
      </c>
      <c r="B750" s="642" t="s">
        <v>346</v>
      </c>
      <c r="C750" s="589"/>
      <c r="D750" s="589"/>
      <c r="E750" s="589"/>
      <c r="F750" s="589"/>
      <c r="G750" s="589"/>
      <c r="H750" s="589"/>
      <c r="I750" s="590"/>
      <c r="J750" s="1"/>
    </row>
    <row r="751" spans="1:24" ht="15" customHeight="1">
      <c r="A751" s="603"/>
      <c r="B751" s="647" t="s">
        <v>120</v>
      </c>
      <c r="C751" s="648"/>
      <c r="D751" s="649" t="s">
        <v>119</v>
      </c>
      <c r="E751" s="648"/>
      <c r="F751" s="649" t="s">
        <v>118</v>
      </c>
      <c r="G751" s="648"/>
      <c r="H751" s="649" t="s">
        <v>9</v>
      </c>
      <c r="I751" s="653"/>
      <c r="J751" s="1"/>
    </row>
    <row r="752" spans="1:24" ht="15.75" thickBot="1">
      <c r="A752" s="604"/>
      <c r="B752" s="16" t="s">
        <v>7</v>
      </c>
      <c r="C752" s="16" t="s">
        <v>8</v>
      </c>
      <c r="D752" s="16" t="s">
        <v>7</v>
      </c>
      <c r="E752" s="16" t="s">
        <v>8</v>
      </c>
      <c r="F752" s="16" t="s">
        <v>7</v>
      </c>
      <c r="G752" s="16" t="s">
        <v>8</v>
      </c>
      <c r="H752" s="16" t="s">
        <v>7</v>
      </c>
      <c r="I752" s="15" t="s">
        <v>6</v>
      </c>
      <c r="J752" s="1"/>
    </row>
    <row r="753" spans="1:10" ht="15.75" customHeight="1">
      <c r="A753" s="14" t="s">
        <v>5</v>
      </c>
      <c r="B753" s="85">
        <v>27461.154328100041</v>
      </c>
      <c r="C753" s="84">
        <v>0.74185831606894326</v>
      </c>
      <c r="D753" s="85">
        <v>6093.1248550000055</v>
      </c>
      <c r="E753" s="84">
        <v>0.16460471000313082</v>
      </c>
      <c r="F753" s="85">
        <v>3462.4310609999975</v>
      </c>
      <c r="G753" s="84">
        <v>9.3536973927926634E-2</v>
      </c>
      <c r="H753" s="85">
        <v>37016.710244100017</v>
      </c>
      <c r="I753" s="84">
        <v>1</v>
      </c>
      <c r="J753" s="1"/>
    </row>
    <row r="754" spans="1:10">
      <c r="A754" s="9" t="s">
        <v>2</v>
      </c>
      <c r="B754" s="83">
        <v>967.39969810000014</v>
      </c>
      <c r="C754" s="23">
        <v>0.61016747037217445</v>
      </c>
      <c r="D754" s="83">
        <v>405.6370500000001</v>
      </c>
      <c r="E754" s="23">
        <v>0.255847229613407</v>
      </c>
      <c r="F754" s="83">
        <v>212.42911999999993</v>
      </c>
      <c r="G754" s="23">
        <v>0.13398530001441919</v>
      </c>
      <c r="H754" s="83">
        <v>1585.4658680999992</v>
      </c>
      <c r="I754" s="21">
        <v>4.2831085140870986E-2</v>
      </c>
      <c r="J754" s="1"/>
    </row>
    <row r="755" spans="1:10">
      <c r="A755" s="9" t="s">
        <v>1</v>
      </c>
      <c r="B755" s="83">
        <v>6152.1797120000083</v>
      </c>
      <c r="C755" s="23">
        <v>0.56943928730663895</v>
      </c>
      <c r="D755" s="83">
        <v>2414.4381329999997</v>
      </c>
      <c r="E755" s="23">
        <v>0.22347785566467696</v>
      </c>
      <c r="F755" s="83">
        <v>2237.3077869999993</v>
      </c>
      <c r="G755" s="23">
        <v>0.20708285702868484</v>
      </c>
      <c r="H755" s="83">
        <v>10803.925631999999</v>
      </c>
      <c r="I755" s="21">
        <v>0.29186617505325191</v>
      </c>
      <c r="J755" s="1"/>
    </row>
    <row r="756" spans="1:10" ht="15.75" thickBot="1">
      <c r="A756" s="9" t="s">
        <v>0</v>
      </c>
      <c r="B756" s="83">
        <v>20341.574918000006</v>
      </c>
      <c r="C756" s="23">
        <v>0.82597602806256931</v>
      </c>
      <c r="D756" s="83">
        <v>3273.049672000001</v>
      </c>
      <c r="E756" s="23">
        <v>0.13290320826327945</v>
      </c>
      <c r="F756" s="83">
        <v>1012.6941539999999</v>
      </c>
      <c r="G756" s="23">
        <v>4.1120763674150414E-2</v>
      </c>
      <c r="H756" s="83">
        <v>24627.318744000026</v>
      </c>
      <c r="I756" s="21">
        <v>0.66530273980587717</v>
      </c>
      <c r="J756" s="1"/>
    </row>
    <row r="757" spans="1:10" ht="15" customHeight="1">
      <c r="A757" s="13" t="s">
        <v>4</v>
      </c>
      <c r="B757" s="85">
        <v>28180.137068334665</v>
      </c>
      <c r="C757" s="84">
        <v>0.76759939263292065</v>
      </c>
      <c r="D757" s="85">
        <v>4803.5320550553051</v>
      </c>
      <c r="E757" s="84">
        <v>0.13084351857523155</v>
      </c>
      <c r="F757" s="85">
        <v>3728.3675702227483</v>
      </c>
      <c r="G757" s="84">
        <v>0.10155708879184619</v>
      </c>
      <c r="H757" s="85">
        <v>36712.036693612776</v>
      </c>
      <c r="I757" s="84">
        <v>1</v>
      </c>
      <c r="J757" s="1"/>
    </row>
    <row r="758" spans="1:10">
      <c r="A758" s="9" t="s">
        <v>2</v>
      </c>
      <c r="B758" s="83">
        <v>1183.617438245921</v>
      </c>
      <c r="C758" s="23">
        <v>0.63136282716426595</v>
      </c>
      <c r="D758" s="83">
        <v>318.64226972948364</v>
      </c>
      <c r="E758" s="23">
        <v>0.16996951698226528</v>
      </c>
      <c r="F758" s="83">
        <v>372.44274095095932</v>
      </c>
      <c r="G758" s="23">
        <v>0.19866765585346965</v>
      </c>
      <c r="H758" s="83">
        <v>1874.7024489263624</v>
      </c>
      <c r="I758" s="21">
        <v>5.106506251810667E-2</v>
      </c>
      <c r="J758" s="1"/>
    </row>
    <row r="759" spans="1:10">
      <c r="A759" s="9" t="s">
        <v>1</v>
      </c>
      <c r="B759" s="83">
        <v>6774.1168337623558</v>
      </c>
      <c r="C759" s="23">
        <v>0.68289070366122828</v>
      </c>
      <c r="D759" s="83">
        <v>1593.4816704671207</v>
      </c>
      <c r="E759" s="23">
        <v>0.16063700197685965</v>
      </c>
      <c r="F759" s="83">
        <v>1552.1687402853922</v>
      </c>
      <c r="G759" s="23">
        <v>0.15647229436191307</v>
      </c>
      <c r="H759" s="83">
        <v>9919.7672445148582</v>
      </c>
      <c r="I759" s="21">
        <v>0.2702047649195316</v>
      </c>
      <c r="J759" s="1"/>
    </row>
    <row r="760" spans="1:10" ht="15.75" thickBot="1">
      <c r="A760" s="9" t="s">
        <v>0</v>
      </c>
      <c r="B760" s="83">
        <v>20222.402796326285</v>
      </c>
      <c r="C760" s="23">
        <v>0.81157212484618413</v>
      </c>
      <c r="D760" s="83">
        <v>2891.4081148587015</v>
      </c>
      <c r="E760" s="23">
        <v>0.11603894211817747</v>
      </c>
      <c r="F760" s="83">
        <v>1803.7560889863955</v>
      </c>
      <c r="G760" s="23">
        <v>7.238893303563651E-2</v>
      </c>
      <c r="H760" s="83">
        <v>24917.567000171428</v>
      </c>
      <c r="I760" s="21">
        <v>0.67873017256235824</v>
      </c>
      <c r="J760" s="1"/>
    </row>
    <row r="761" spans="1:10" ht="15.75" customHeight="1">
      <c r="A761" s="13" t="s">
        <v>3</v>
      </c>
      <c r="B761" s="85">
        <v>18573.487040864864</v>
      </c>
      <c r="C761" s="84">
        <v>0.74242313884869449</v>
      </c>
      <c r="D761" s="85">
        <v>3900.5626211360727</v>
      </c>
      <c r="E761" s="84">
        <v>0.15591406923688197</v>
      </c>
      <c r="F761" s="85">
        <v>2543.3374168385976</v>
      </c>
      <c r="G761" s="84">
        <v>0.10166279191442112</v>
      </c>
      <c r="H761" s="85">
        <v>25017.387078839594</v>
      </c>
      <c r="I761" s="84">
        <v>1</v>
      </c>
      <c r="J761" s="1"/>
    </row>
    <row r="762" spans="1:10">
      <c r="A762" s="9" t="s">
        <v>2</v>
      </c>
      <c r="B762" s="83">
        <v>987.3982835645113</v>
      </c>
      <c r="C762" s="23">
        <v>0.62147073606286229</v>
      </c>
      <c r="D762" s="83">
        <v>299.30668915010295</v>
      </c>
      <c r="E762" s="23">
        <v>0.18838431412211371</v>
      </c>
      <c r="F762" s="83">
        <v>302.10400294185388</v>
      </c>
      <c r="G762" s="23">
        <v>0.19014494981502014</v>
      </c>
      <c r="H762" s="83">
        <v>1588.8089756564743</v>
      </c>
      <c r="I762" s="21">
        <v>6.3508190149895116E-2</v>
      </c>
      <c r="J762" s="1"/>
    </row>
    <row r="763" spans="1:10">
      <c r="A763" s="9" t="s">
        <v>1</v>
      </c>
      <c r="B763" s="83">
        <v>2011.3573677393356</v>
      </c>
      <c r="C763" s="23">
        <v>0.63202918867295588</v>
      </c>
      <c r="D763" s="83">
        <v>609.08005963581343</v>
      </c>
      <c r="E763" s="23">
        <v>0.19139133706566047</v>
      </c>
      <c r="F763" s="83">
        <v>561.94307622548399</v>
      </c>
      <c r="G763" s="23">
        <v>0.17657947426138626</v>
      </c>
      <c r="H763" s="83">
        <v>3182.3805036006247</v>
      </c>
      <c r="I763" s="21">
        <v>0.12720674999238313</v>
      </c>
      <c r="J763" s="1"/>
    </row>
    <row r="764" spans="1:10" ht="15.75" thickBot="1">
      <c r="A764" s="5" t="s">
        <v>0</v>
      </c>
      <c r="B764" s="82">
        <v>15574.731389561019</v>
      </c>
      <c r="C764" s="20">
        <v>0.76926698521811432</v>
      </c>
      <c r="D764" s="82">
        <v>2992.1758723501562</v>
      </c>
      <c r="E764" s="20">
        <v>0.14778952233538731</v>
      </c>
      <c r="F764" s="82">
        <v>1679.2903376712582</v>
      </c>
      <c r="G764" s="20">
        <v>8.294349244649725E-2</v>
      </c>
      <c r="H764" s="82">
        <v>20246.197599582454</v>
      </c>
      <c r="I764" s="18">
        <v>0.80928505985772003</v>
      </c>
      <c r="J764" s="1"/>
    </row>
    <row r="768" spans="1:10" ht="15.75" thickBot="1"/>
    <row r="769" spans="1:18" ht="15" customHeight="1">
      <c r="A769" s="602" t="s">
        <v>13</v>
      </c>
      <c r="B769" s="655" t="s">
        <v>347</v>
      </c>
      <c r="C769" s="581"/>
      <c r="D769" s="581"/>
      <c r="E769" s="581"/>
      <c r="F769" s="581"/>
      <c r="G769" s="581"/>
      <c r="H769" s="581"/>
      <c r="I769" s="581"/>
      <c r="J769" s="581"/>
      <c r="K769" s="581"/>
      <c r="L769" s="581"/>
      <c r="M769" s="581"/>
      <c r="N769" s="581"/>
      <c r="O769" s="581"/>
      <c r="P769" s="581"/>
      <c r="Q769" s="656"/>
      <c r="R769" s="1"/>
    </row>
    <row r="770" spans="1:18" ht="27.75" customHeight="1">
      <c r="A770" s="603"/>
      <c r="B770" s="650" t="s">
        <v>135</v>
      </c>
      <c r="C770" s="648"/>
      <c r="D770" s="651" t="s">
        <v>134</v>
      </c>
      <c r="E770" s="648"/>
      <c r="F770" s="651" t="s">
        <v>133</v>
      </c>
      <c r="G770" s="648"/>
      <c r="H770" s="651" t="s">
        <v>132</v>
      </c>
      <c r="I770" s="648"/>
      <c r="J770" s="651" t="s">
        <v>131</v>
      </c>
      <c r="K770" s="648"/>
      <c r="L770" s="651" t="s">
        <v>130</v>
      </c>
      <c r="M770" s="648"/>
      <c r="N770" s="651" t="s">
        <v>129</v>
      </c>
      <c r="O770" s="648"/>
      <c r="P770" s="652" t="s">
        <v>9</v>
      </c>
      <c r="Q770" s="657"/>
      <c r="R770" s="1"/>
    </row>
    <row r="771" spans="1:18" ht="15.75" thickBot="1">
      <c r="A771" s="604"/>
      <c r="B771" s="16" t="s">
        <v>7</v>
      </c>
      <c r="C771" s="16" t="s">
        <v>8</v>
      </c>
      <c r="D771" s="16" t="s">
        <v>7</v>
      </c>
      <c r="E771" s="16" t="s">
        <v>8</v>
      </c>
      <c r="F771" s="16" t="s">
        <v>7</v>
      </c>
      <c r="G771" s="16" t="s">
        <v>8</v>
      </c>
      <c r="H771" s="16" t="s">
        <v>7</v>
      </c>
      <c r="I771" s="16" t="s">
        <v>8</v>
      </c>
      <c r="J771" s="16" t="s">
        <v>7</v>
      </c>
      <c r="K771" s="16" t="s">
        <v>8</v>
      </c>
      <c r="L771" s="16" t="s">
        <v>7</v>
      </c>
      <c r="M771" s="16" t="s">
        <v>8</v>
      </c>
      <c r="N771" s="16" t="s">
        <v>7</v>
      </c>
      <c r="O771" s="16" t="s">
        <v>8</v>
      </c>
      <c r="P771" s="16" t="s">
        <v>7</v>
      </c>
      <c r="Q771" s="16" t="s">
        <v>6</v>
      </c>
      <c r="R771" s="1"/>
    </row>
    <row r="772" spans="1:18" ht="15.75" customHeight="1">
      <c r="A772" s="14" t="s">
        <v>5</v>
      </c>
      <c r="B772" s="17">
        <v>7158.3542135000062</v>
      </c>
      <c r="C772" s="12">
        <v>0.19338169616628625</v>
      </c>
      <c r="D772" s="17">
        <v>18087.549265299996</v>
      </c>
      <c r="E772" s="12">
        <v>0.48863200284479402</v>
      </c>
      <c r="F772" s="17">
        <v>5497.1845550000044</v>
      </c>
      <c r="G772" s="12">
        <v>0.14850548627227575</v>
      </c>
      <c r="H772" s="17">
        <v>369.24730299999993</v>
      </c>
      <c r="I772" s="12">
        <v>9.9751517778069749E-3</v>
      </c>
      <c r="J772" s="17">
        <v>1853.8179529999998</v>
      </c>
      <c r="K772" s="12">
        <v>5.0080570120233044E-2</v>
      </c>
      <c r="L772" s="17">
        <v>1014.4586005</v>
      </c>
      <c r="M772" s="12">
        <v>2.740542295115735E-2</v>
      </c>
      <c r="N772" s="17">
        <v>3036.0983537999982</v>
      </c>
      <c r="O772" s="12">
        <v>8.2019669867446229E-2</v>
      </c>
      <c r="P772" s="17">
        <v>37016.710244100017</v>
      </c>
      <c r="Q772" s="12">
        <v>1</v>
      </c>
      <c r="R772" s="1"/>
    </row>
    <row r="773" spans="1:18">
      <c r="A773" s="9" t="s">
        <v>2</v>
      </c>
      <c r="B773" s="7">
        <v>222.10953949999993</v>
      </c>
      <c r="C773" s="8">
        <v>0.1400910255899567</v>
      </c>
      <c r="D773" s="7">
        <v>654.22400730000015</v>
      </c>
      <c r="E773" s="8">
        <v>0.4126383421196026</v>
      </c>
      <c r="F773" s="7">
        <v>214.86511399999989</v>
      </c>
      <c r="G773" s="8">
        <v>0.13552175314722564</v>
      </c>
      <c r="H773" s="7">
        <v>40.634647999999991</v>
      </c>
      <c r="I773" s="8">
        <v>2.5629468800041719E-2</v>
      </c>
      <c r="J773" s="7">
        <v>91.202918000000011</v>
      </c>
      <c r="K773" s="8">
        <v>5.7524365446792208E-2</v>
      </c>
      <c r="L773" s="7">
        <v>70.649448500000005</v>
      </c>
      <c r="M773" s="8">
        <v>4.4560687127667621E-2</v>
      </c>
      <c r="N773" s="7">
        <v>291.7801927999999</v>
      </c>
      <c r="O773" s="8">
        <v>0.18403435776871394</v>
      </c>
      <c r="P773" s="7">
        <v>1585.4658680999992</v>
      </c>
      <c r="Q773" s="8">
        <v>4.2831085140870986E-2</v>
      </c>
      <c r="R773" s="1"/>
    </row>
    <row r="774" spans="1:18">
      <c r="A774" s="9" t="s">
        <v>1</v>
      </c>
      <c r="B774" s="7">
        <v>1525.4970290000001</v>
      </c>
      <c r="C774" s="8">
        <v>0.14119840148488724</v>
      </c>
      <c r="D774" s="7">
        <v>3916.1335819999958</v>
      </c>
      <c r="E774" s="8">
        <v>0.36247320792368781</v>
      </c>
      <c r="F774" s="7">
        <v>2143.2296090000004</v>
      </c>
      <c r="G774" s="8">
        <v>0.19837507976285934</v>
      </c>
      <c r="H774" s="7">
        <v>211.29154000000003</v>
      </c>
      <c r="I774" s="8">
        <v>1.9556922844246403E-2</v>
      </c>
      <c r="J774" s="7">
        <v>818.15962799999988</v>
      </c>
      <c r="K774" s="8">
        <v>7.5727995162860454E-2</v>
      </c>
      <c r="L774" s="7">
        <v>627.06964699999992</v>
      </c>
      <c r="M774" s="8">
        <v>5.8040907384876016E-2</v>
      </c>
      <c r="N774" s="7">
        <v>1562.5445969999998</v>
      </c>
      <c r="O774" s="8">
        <v>0.14462748543658246</v>
      </c>
      <c r="P774" s="7">
        <v>10803.925631999999</v>
      </c>
      <c r="Q774" s="8">
        <v>0.29186617505325191</v>
      </c>
      <c r="R774" s="1"/>
    </row>
    <row r="775" spans="1:18" ht="15.75" thickBot="1">
      <c r="A775" s="9" t="s">
        <v>0</v>
      </c>
      <c r="B775" s="7">
        <v>5410.7476450000031</v>
      </c>
      <c r="C775" s="8">
        <v>0.21970510477589966</v>
      </c>
      <c r="D775" s="7">
        <v>13517.191675999982</v>
      </c>
      <c r="E775" s="8">
        <v>0.54886980659610729</v>
      </c>
      <c r="F775" s="7">
        <v>3139.0898320000001</v>
      </c>
      <c r="G775" s="8">
        <v>0.12746372695422961</v>
      </c>
      <c r="H775" s="7">
        <v>117.32111499999999</v>
      </c>
      <c r="I775" s="8">
        <v>4.7638606630120072E-3</v>
      </c>
      <c r="J775" s="7">
        <v>944.45540699999992</v>
      </c>
      <c r="K775" s="8">
        <v>3.8349907954559545E-2</v>
      </c>
      <c r="L775" s="7">
        <v>316.73950500000001</v>
      </c>
      <c r="M775" s="8">
        <v>1.2861306920680007E-2</v>
      </c>
      <c r="N775" s="7">
        <v>1181.7735640000003</v>
      </c>
      <c r="O775" s="8">
        <v>4.7986286135510259E-2</v>
      </c>
      <c r="P775" s="7">
        <v>24627.318744000026</v>
      </c>
      <c r="Q775" s="8">
        <v>0.66530273980587717</v>
      </c>
      <c r="R775" s="1"/>
    </row>
    <row r="776" spans="1:18" ht="15" customHeight="1">
      <c r="A776" s="13" t="s">
        <v>4</v>
      </c>
      <c r="B776" s="17">
        <v>7371.5006561010869</v>
      </c>
      <c r="C776" s="12">
        <v>0.20079247353181018</v>
      </c>
      <c r="D776" s="17">
        <v>19412.790097949364</v>
      </c>
      <c r="E776" s="12">
        <v>0.52878542969333098</v>
      </c>
      <c r="F776" s="17">
        <v>3521.517969654109</v>
      </c>
      <c r="G776" s="12">
        <v>9.5922707831319787E-2</v>
      </c>
      <c r="H776" s="17">
        <v>337.23149550118228</v>
      </c>
      <c r="I776" s="12">
        <v>9.1858563532067512E-3</v>
      </c>
      <c r="J776" s="17">
        <v>2025.8124229343807</v>
      </c>
      <c r="K776" s="12">
        <v>5.5181150526765387E-2</v>
      </c>
      <c r="L776" s="17">
        <v>621.15744932195275</v>
      </c>
      <c r="M776" s="12">
        <v>1.6919721847794483E-2</v>
      </c>
      <c r="N776" s="17">
        <v>3422.0266021505076</v>
      </c>
      <c r="O776" s="12">
        <v>9.3212660215767254E-2</v>
      </c>
      <c r="P776" s="17">
        <v>36712.036693612776</v>
      </c>
      <c r="Q776" s="12">
        <v>1</v>
      </c>
      <c r="R776" s="1"/>
    </row>
    <row r="777" spans="1:18">
      <c r="A777" s="9" t="s">
        <v>2</v>
      </c>
      <c r="B777" s="7">
        <v>242.06247507807689</v>
      </c>
      <c r="C777" s="8">
        <v>0.12912047734119381</v>
      </c>
      <c r="D777" s="7">
        <v>811.77696899283114</v>
      </c>
      <c r="E777" s="8">
        <v>0.43301643386540289</v>
      </c>
      <c r="F777" s="7">
        <v>317.82222792299001</v>
      </c>
      <c r="G777" s="8">
        <v>0.16953209193544608</v>
      </c>
      <c r="H777" s="7">
        <v>36.538090670730838</v>
      </c>
      <c r="I777" s="8">
        <v>1.9490074647129263E-2</v>
      </c>
      <c r="J777" s="7">
        <v>110.48189709228036</v>
      </c>
      <c r="K777" s="8">
        <v>5.8933030762056707E-2</v>
      </c>
      <c r="L777" s="7">
        <v>110.06810609600529</v>
      </c>
      <c r="M777" s="8">
        <v>5.8712307203226323E-2</v>
      </c>
      <c r="N777" s="7">
        <v>245.95268307344958</v>
      </c>
      <c r="O777" s="8">
        <v>0.13119558424554578</v>
      </c>
      <c r="P777" s="7">
        <v>1874.7024489263624</v>
      </c>
      <c r="Q777" s="8">
        <v>5.106506251810667E-2</v>
      </c>
      <c r="R777" s="1"/>
    </row>
    <row r="778" spans="1:18">
      <c r="A778" s="9" t="s">
        <v>1</v>
      </c>
      <c r="B778" s="7">
        <v>1291.6466918164544</v>
      </c>
      <c r="C778" s="8">
        <v>0.13020937487526951</v>
      </c>
      <c r="D778" s="7">
        <v>5105.5065692910466</v>
      </c>
      <c r="E778" s="8">
        <v>0.51468007700625629</v>
      </c>
      <c r="F778" s="7">
        <v>1301.1708769609791</v>
      </c>
      <c r="G778" s="8">
        <v>0.13116949671177641</v>
      </c>
      <c r="H778" s="7">
        <v>40.996062992125985</v>
      </c>
      <c r="I778" s="8">
        <v>4.1327646084432859E-3</v>
      </c>
      <c r="J778" s="7">
        <v>719.68038445804075</v>
      </c>
      <c r="K778" s="8">
        <v>7.2550128114748716E-2</v>
      </c>
      <c r="L778" s="7">
        <v>161.68514234362269</v>
      </c>
      <c r="M778" s="8">
        <v>1.6299287912529055E-2</v>
      </c>
      <c r="N778" s="7">
        <v>1299.0815166526017</v>
      </c>
      <c r="O778" s="8">
        <v>0.13095887077097801</v>
      </c>
      <c r="P778" s="7">
        <v>9919.7672445148582</v>
      </c>
      <c r="Q778" s="8">
        <v>0.2702047649195316</v>
      </c>
      <c r="R778" s="1"/>
    </row>
    <row r="779" spans="1:18" ht="15.75" thickBot="1">
      <c r="A779" s="9" t="s">
        <v>0</v>
      </c>
      <c r="B779" s="7">
        <v>5837.7914892065637</v>
      </c>
      <c r="C779" s="8">
        <v>0.23428416944424793</v>
      </c>
      <c r="D779" s="7">
        <v>13495.506559665468</v>
      </c>
      <c r="E779" s="8">
        <v>0.54160611104497569</v>
      </c>
      <c r="F779" s="7">
        <v>1902.5248647701408</v>
      </c>
      <c r="G779" s="8">
        <v>7.6352754053277017E-2</v>
      </c>
      <c r="H779" s="7">
        <v>259.69734183832543</v>
      </c>
      <c r="I779" s="8">
        <v>1.0422259197157523E-2</v>
      </c>
      <c r="J779" s="7">
        <v>1195.6501413840595</v>
      </c>
      <c r="K779" s="8">
        <v>4.798422499980972E-2</v>
      </c>
      <c r="L779" s="7">
        <v>349.40420088232463</v>
      </c>
      <c r="M779" s="8">
        <v>1.4022404389638875E-2</v>
      </c>
      <c r="N779" s="7">
        <v>1876.9924024244549</v>
      </c>
      <c r="O779" s="8">
        <v>7.5328076870889576E-2</v>
      </c>
      <c r="P779" s="7">
        <v>24917.567000171428</v>
      </c>
      <c r="Q779" s="8">
        <v>0.67873017256235824</v>
      </c>
      <c r="R779" s="1"/>
    </row>
    <row r="780" spans="1:18" ht="15.75" customHeight="1">
      <c r="A780" s="13" t="s">
        <v>3</v>
      </c>
      <c r="B780" s="17">
        <v>4312.8834491163816</v>
      </c>
      <c r="C780" s="12">
        <v>0.17239543984049152</v>
      </c>
      <c r="D780" s="17">
        <v>14323.607571108932</v>
      </c>
      <c r="E780" s="12">
        <v>0.5725461066725166</v>
      </c>
      <c r="F780" s="17">
        <v>2389.4319377548677</v>
      </c>
      <c r="G780" s="12">
        <v>9.5510851322115731E-2</v>
      </c>
      <c r="H780" s="17">
        <v>126.12808381209868</v>
      </c>
      <c r="I780" s="12">
        <v>5.0416169927986346E-3</v>
      </c>
      <c r="J780" s="17">
        <v>1320.8458789152132</v>
      </c>
      <c r="K780" s="12">
        <v>5.2797115652114666E-2</v>
      </c>
      <c r="L780" s="17">
        <v>426.01893772997016</v>
      </c>
      <c r="M780" s="12">
        <v>1.7028914186258438E-2</v>
      </c>
      <c r="N780" s="17">
        <v>2118.471220402057</v>
      </c>
      <c r="O780" s="12">
        <v>8.467995533370147E-2</v>
      </c>
      <c r="P780" s="17">
        <v>25017.387078839594</v>
      </c>
      <c r="Q780" s="12">
        <v>1</v>
      </c>
      <c r="R780" s="1"/>
    </row>
    <row r="781" spans="1:18">
      <c r="A781" s="9" t="s">
        <v>2</v>
      </c>
      <c r="B781" s="7">
        <v>201.98414445367098</v>
      </c>
      <c r="C781" s="8">
        <v>0.12712928209019833</v>
      </c>
      <c r="D781" s="7">
        <v>790.12340176439147</v>
      </c>
      <c r="E781" s="8">
        <v>0.49730547464834352</v>
      </c>
      <c r="F781" s="7">
        <v>245.65926926743438</v>
      </c>
      <c r="G781" s="8">
        <v>0.15461850545370395</v>
      </c>
      <c r="H781" s="7">
        <v>45.424242424242429</v>
      </c>
      <c r="I781" s="8">
        <v>2.8590121984597771E-2</v>
      </c>
      <c r="J781" s="7">
        <v>69.212369809654462</v>
      </c>
      <c r="K781" s="8">
        <v>4.3562423721238641E-2</v>
      </c>
      <c r="L781" s="7">
        <v>84.198945482256903</v>
      </c>
      <c r="M781" s="8">
        <v>5.2995008696666658E-2</v>
      </c>
      <c r="N781" s="7">
        <v>152.20660245481801</v>
      </c>
      <c r="O781" s="8">
        <v>9.5799183405247512E-2</v>
      </c>
      <c r="P781" s="7">
        <v>1588.8089756564743</v>
      </c>
      <c r="Q781" s="8">
        <v>6.3508190149895116E-2</v>
      </c>
      <c r="R781" s="1"/>
    </row>
    <row r="782" spans="1:18">
      <c r="A782" s="9" t="s">
        <v>1</v>
      </c>
      <c r="B782" s="7">
        <v>348.90133427411604</v>
      </c>
      <c r="C782" s="8">
        <v>0.10963532923839886</v>
      </c>
      <c r="D782" s="7">
        <v>1666.365116765058</v>
      </c>
      <c r="E782" s="8">
        <v>0.52362221138537357</v>
      </c>
      <c r="F782" s="7">
        <v>445.85885954424293</v>
      </c>
      <c r="G782" s="8">
        <v>0.14010230990285011</v>
      </c>
      <c r="H782" s="7">
        <v>0</v>
      </c>
      <c r="I782" s="8">
        <v>0</v>
      </c>
      <c r="J782" s="7">
        <v>171.45351941414469</v>
      </c>
      <c r="K782" s="8">
        <v>5.3875870349305466E-2</v>
      </c>
      <c r="L782" s="7">
        <v>171.81956598983652</v>
      </c>
      <c r="M782" s="8">
        <v>5.3990893230848915E-2</v>
      </c>
      <c r="N782" s="7">
        <v>377.9821076132327</v>
      </c>
      <c r="O782" s="8">
        <v>0.118773385893225</v>
      </c>
      <c r="P782" s="7">
        <v>3182.3805036006247</v>
      </c>
      <c r="Q782" s="8">
        <v>0.12720674999238313</v>
      </c>
      <c r="R782" s="1"/>
    </row>
    <row r="783" spans="1:18" ht="15.75" thickBot="1">
      <c r="A783" s="5" t="s">
        <v>0</v>
      </c>
      <c r="B783" s="81">
        <v>3761.9979703885965</v>
      </c>
      <c r="C783" s="80">
        <v>0.18581256810741498</v>
      </c>
      <c r="D783" s="81">
        <v>11867.119052579525</v>
      </c>
      <c r="E783" s="80">
        <v>0.58614063180062337</v>
      </c>
      <c r="F783" s="81">
        <v>1697.9138089431874</v>
      </c>
      <c r="G783" s="80">
        <v>8.3863342763097606E-2</v>
      </c>
      <c r="H783" s="81">
        <v>80.703841387856258</v>
      </c>
      <c r="I783" s="80">
        <v>3.9861233691367631E-3</v>
      </c>
      <c r="J783" s="81">
        <v>1080.1799896914138</v>
      </c>
      <c r="K783" s="80">
        <v>5.3352239815820567E-2</v>
      </c>
      <c r="L783" s="81">
        <v>170.00042625787702</v>
      </c>
      <c r="M783" s="80">
        <v>8.3966594429258669E-3</v>
      </c>
      <c r="N783" s="81">
        <v>1588.2825103340042</v>
      </c>
      <c r="O783" s="80">
        <v>7.844843470098109E-2</v>
      </c>
      <c r="P783" s="81">
        <v>20246.197599582454</v>
      </c>
      <c r="Q783" s="80">
        <v>0.80928505985772003</v>
      </c>
      <c r="R783" s="1"/>
    </row>
    <row r="788" spans="1:46" ht="15.75" thickBot="1"/>
    <row r="789" spans="1:46" ht="15" customHeight="1">
      <c r="A789" s="602" t="s">
        <v>13</v>
      </c>
      <c r="B789" s="642" t="s">
        <v>348</v>
      </c>
      <c r="C789" s="589"/>
      <c r="D789" s="589"/>
      <c r="E789" s="589"/>
      <c r="F789" s="589"/>
      <c r="G789" s="589"/>
      <c r="H789" s="589"/>
      <c r="I789" s="589"/>
      <c r="J789" s="589"/>
      <c r="K789" s="589"/>
      <c r="L789" s="589"/>
      <c r="M789" s="589"/>
      <c r="N789" s="589"/>
      <c r="O789" s="589"/>
      <c r="P789" s="589"/>
      <c r="Q789" s="589"/>
      <c r="R789" s="589"/>
      <c r="S789" s="589"/>
      <c r="T789" s="589"/>
      <c r="U789" s="589"/>
      <c r="V789" s="589"/>
      <c r="W789" s="589"/>
      <c r="X789" s="589"/>
      <c r="Y789" s="589"/>
      <c r="Z789" s="589"/>
      <c r="AA789" s="589"/>
      <c r="AB789" s="589"/>
      <c r="AC789" s="589"/>
      <c r="AD789" s="589"/>
      <c r="AE789" s="589"/>
      <c r="AF789" s="589"/>
      <c r="AG789" s="589"/>
      <c r="AH789" s="589"/>
      <c r="AI789" s="589"/>
      <c r="AJ789" s="589"/>
      <c r="AK789" s="589"/>
      <c r="AL789" s="589"/>
      <c r="AM789" s="589"/>
      <c r="AN789" s="589"/>
      <c r="AO789" s="589"/>
      <c r="AP789" s="589"/>
      <c r="AQ789" s="589"/>
      <c r="AR789" s="589"/>
      <c r="AS789" s="590"/>
      <c r="AT789" s="1"/>
    </row>
    <row r="790" spans="1:46" s="78" customFormat="1" ht="73.5" customHeight="1">
      <c r="A790" s="603"/>
      <c r="B790" s="650" t="s">
        <v>117</v>
      </c>
      <c r="C790" s="726"/>
      <c r="D790" s="651" t="s">
        <v>116</v>
      </c>
      <c r="E790" s="726"/>
      <c r="F790" s="651" t="s">
        <v>115</v>
      </c>
      <c r="G790" s="726"/>
      <c r="H790" s="651" t="s">
        <v>114</v>
      </c>
      <c r="I790" s="726"/>
      <c r="J790" s="703" t="s">
        <v>113</v>
      </c>
      <c r="K790" s="702"/>
      <c r="L790" s="651" t="s">
        <v>112</v>
      </c>
      <c r="M790" s="726"/>
      <c r="N790" s="703" t="s">
        <v>111</v>
      </c>
      <c r="O790" s="728"/>
      <c r="P790" s="651" t="s">
        <v>110</v>
      </c>
      <c r="Q790" s="726"/>
      <c r="R790" s="651" t="s">
        <v>109</v>
      </c>
      <c r="S790" s="726"/>
      <c r="T790" s="651" t="s">
        <v>108</v>
      </c>
      <c r="U790" s="726"/>
      <c r="V790" s="651" t="s">
        <v>107</v>
      </c>
      <c r="W790" s="726"/>
      <c r="X790" s="651" t="s">
        <v>106</v>
      </c>
      <c r="Y790" s="726"/>
      <c r="Z790" s="651" t="s">
        <v>105</v>
      </c>
      <c r="AA790" s="726"/>
      <c r="AB790" s="651" t="s">
        <v>104</v>
      </c>
      <c r="AC790" s="726"/>
      <c r="AD790" s="651" t="s">
        <v>103</v>
      </c>
      <c r="AE790" s="726"/>
      <c r="AF790" s="651" t="s">
        <v>102</v>
      </c>
      <c r="AG790" s="726"/>
      <c r="AH790" s="651" t="s">
        <v>101</v>
      </c>
      <c r="AI790" s="726"/>
      <c r="AJ790" s="651" t="s">
        <v>100</v>
      </c>
      <c r="AK790" s="726"/>
      <c r="AL790" s="651" t="s">
        <v>99</v>
      </c>
      <c r="AM790" s="726"/>
      <c r="AN790" s="703" t="s">
        <v>98</v>
      </c>
      <c r="AO790" s="702"/>
      <c r="AP790" s="651" t="s">
        <v>97</v>
      </c>
      <c r="AQ790" s="726"/>
      <c r="AR790" s="652" t="s">
        <v>9</v>
      </c>
      <c r="AS790" s="727"/>
      <c r="AT790" s="79"/>
    </row>
    <row r="791" spans="1:46" ht="15.75" thickBot="1">
      <c r="A791" s="604"/>
      <c r="B791" s="16" t="s">
        <v>7</v>
      </c>
      <c r="C791" s="16" t="s">
        <v>8</v>
      </c>
      <c r="D791" s="16" t="s">
        <v>7</v>
      </c>
      <c r="E791" s="16" t="s">
        <v>8</v>
      </c>
      <c r="F791" s="16" t="s">
        <v>7</v>
      </c>
      <c r="G791" s="16" t="s">
        <v>8</v>
      </c>
      <c r="H791" s="16" t="s">
        <v>7</v>
      </c>
      <c r="I791" s="16" t="s">
        <v>8</v>
      </c>
      <c r="J791" s="16" t="s">
        <v>7</v>
      </c>
      <c r="K791" s="16" t="s">
        <v>8</v>
      </c>
      <c r="L791" s="16" t="s">
        <v>7</v>
      </c>
      <c r="M791" s="16" t="s">
        <v>8</v>
      </c>
      <c r="N791" s="16" t="s">
        <v>7</v>
      </c>
      <c r="O791" s="16" t="s">
        <v>8</v>
      </c>
      <c r="P791" s="16" t="s">
        <v>7</v>
      </c>
      <c r="Q791" s="16" t="s">
        <v>8</v>
      </c>
      <c r="R791" s="16" t="s">
        <v>7</v>
      </c>
      <c r="S791" s="16" t="s">
        <v>8</v>
      </c>
      <c r="T791" s="16" t="s">
        <v>7</v>
      </c>
      <c r="U791" s="16" t="s">
        <v>8</v>
      </c>
      <c r="V791" s="16" t="s">
        <v>7</v>
      </c>
      <c r="W791" s="16" t="s">
        <v>8</v>
      </c>
      <c r="X791" s="16" t="s">
        <v>7</v>
      </c>
      <c r="Y791" s="16" t="s">
        <v>8</v>
      </c>
      <c r="Z791" s="16" t="s">
        <v>7</v>
      </c>
      <c r="AA791" s="16" t="s">
        <v>8</v>
      </c>
      <c r="AB791" s="16" t="s">
        <v>7</v>
      </c>
      <c r="AC791" s="16" t="s">
        <v>8</v>
      </c>
      <c r="AD791" s="16" t="s">
        <v>7</v>
      </c>
      <c r="AE791" s="16" t="s">
        <v>8</v>
      </c>
      <c r="AF791" s="16" t="s">
        <v>7</v>
      </c>
      <c r="AG791" s="16" t="s">
        <v>8</v>
      </c>
      <c r="AH791" s="16" t="s">
        <v>7</v>
      </c>
      <c r="AI791" s="16" t="s">
        <v>8</v>
      </c>
      <c r="AJ791" s="16" t="s">
        <v>7</v>
      </c>
      <c r="AK791" s="16" t="s">
        <v>8</v>
      </c>
      <c r="AL791" s="16" t="s">
        <v>7</v>
      </c>
      <c r="AM791" s="16" t="s">
        <v>8</v>
      </c>
      <c r="AN791" s="16" t="s">
        <v>7</v>
      </c>
      <c r="AO791" s="16" t="s">
        <v>8</v>
      </c>
      <c r="AP791" s="16" t="s">
        <v>7</v>
      </c>
      <c r="AQ791" s="16" t="s">
        <v>8</v>
      </c>
      <c r="AR791" s="16" t="s">
        <v>7</v>
      </c>
      <c r="AS791" s="15" t="s">
        <v>6</v>
      </c>
      <c r="AT791" s="1"/>
    </row>
    <row r="792" spans="1:46" ht="15.75" customHeight="1">
      <c r="A792" s="14" t="s">
        <v>5</v>
      </c>
      <c r="B792" s="17">
        <v>1227.3132378</v>
      </c>
      <c r="C792" s="12">
        <v>3.3155654019676635E-2</v>
      </c>
      <c r="D792" s="17">
        <v>360.733114</v>
      </c>
      <c r="E792" s="12">
        <v>9.7451424402981938E-3</v>
      </c>
      <c r="F792" s="17">
        <v>2407.9630579999989</v>
      </c>
      <c r="G792" s="12">
        <v>6.5050703915099997E-2</v>
      </c>
      <c r="H792" s="17">
        <v>131.20686899999998</v>
      </c>
      <c r="I792" s="12">
        <v>3.5445307844694995E-3</v>
      </c>
      <c r="J792" s="17">
        <v>317.60757100000001</v>
      </c>
      <c r="K792" s="12">
        <v>8.5801133840796278E-3</v>
      </c>
      <c r="L792" s="17">
        <v>1317.5009340000004</v>
      </c>
      <c r="M792" s="12">
        <v>3.5592058973149647E-2</v>
      </c>
      <c r="N792" s="17">
        <v>5590.9845805000059</v>
      </c>
      <c r="O792" s="12">
        <v>0.15103947767457634</v>
      </c>
      <c r="P792" s="17">
        <v>827.08721899999989</v>
      </c>
      <c r="Q792" s="12">
        <v>2.2343617613394665E-2</v>
      </c>
      <c r="R792" s="17">
        <v>921.65840400000002</v>
      </c>
      <c r="S792" s="12">
        <v>2.4898441755690604E-2</v>
      </c>
      <c r="T792" s="17">
        <v>1971.1819110000004</v>
      </c>
      <c r="U792" s="12">
        <v>5.3251137067594524E-2</v>
      </c>
      <c r="V792" s="17">
        <v>2323.2418794999994</v>
      </c>
      <c r="W792" s="12">
        <v>6.2761975988136168E-2</v>
      </c>
      <c r="X792" s="17">
        <v>267.42089199999998</v>
      </c>
      <c r="Y792" s="12">
        <v>7.224328964852391E-3</v>
      </c>
      <c r="Z792" s="17">
        <v>9290.7842307999981</v>
      </c>
      <c r="AA792" s="12">
        <v>0.25098892282792279</v>
      </c>
      <c r="AB792" s="17">
        <v>609.17219299999999</v>
      </c>
      <c r="AC792" s="12">
        <v>1.6456681022784681E-2</v>
      </c>
      <c r="AD792" s="17">
        <v>734.27664600000003</v>
      </c>
      <c r="AE792" s="12">
        <v>1.9836356098582104E-2</v>
      </c>
      <c r="AF792" s="17">
        <v>4018.6635239999987</v>
      </c>
      <c r="AG792" s="12">
        <v>0.1085634973367338</v>
      </c>
      <c r="AH792" s="17">
        <v>2598.056853</v>
      </c>
      <c r="AI792" s="12">
        <v>7.018605478087013E-2</v>
      </c>
      <c r="AJ792" s="17">
        <v>954.13191899999993</v>
      </c>
      <c r="AK792" s="12">
        <v>2.5775708125010274E-2</v>
      </c>
      <c r="AL792" s="17">
        <v>1005.7630584999999</v>
      </c>
      <c r="AM792" s="12">
        <v>2.7170514393842052E-2</v>
      </c>
      <c r="AN792" s="17">
        <v>87.698993000000002</v>
      </c>
      <c r="AO792" s="12">
        <v>2.3691730686407524E-3</v>
      </c>
      <c r="AP792" s="17">
        <v>54.263157</v>
      </c>
      <c r="AQ792" s="12">
        <v>1.4659097645947302E-3</v>
      </c>
      <c r="AR792" s="17">
        <v>37016.710244100017</v>
      </c>
      <c r="AS792" s="10">
        <v>1</v>
      </c>
      <c r="AT792" s="1"/>
    </row>
    <row r="793" spans="1:46">
      <c r="A793" s="9" t="s">
        <v>2</v>
      </c>
      <c r="B793" s="7">
        <v>75.460167800000008</v>
      </c>
      <c r="C793" s="8">
        <v>4.7594949420406291E-2</v>
      </c>
      <c r="D793" s="7">
        <v>8.7419360000000008</v>
      </c>
      <c r="E793" s="8">
        <v>5.5137964026158561E-3</v>
      </c>
      <c r="F793" s="7">
        <v>116.030841</v>
      </c>
      <c r="G793" s="8">
        <v>7.3184067430634617E-2</v>
      </c>
      <c r="H793" s="7">
        <v>4.7735190000000003</v>
      </c>
      <c r="I793" s="8">
        <v>3.0107989683313212E-3</v>
      </c>
      <c r="J793" s="7">
        <v>8.7419360000000008</v>
      </c>
      <c r="K793" s="8">
        <v>5.5137964026158561E-3</v>
      </c>
      <c r="L793" s="7">
        <v>33.133291999999997</v>
      </c>
      <c r="M793" s="8">
        <v>2.0898142726785082E-2</v>
      </c>
      <c r="N793" s="7">
        <v>398.8492955000001</v>
      </c>
      <c r="O793" s="8">
        <v>0.25156599301502192</v>
      </c>
      <c r="P793" s="7">
        <v>9.5470380000000006</v>
      </c>
      <c r="Q793" s="8">
        <v>6.0215979366626425E-3</v>
      </c>
      <c r="R793" s="7">
        <v>47.626904000000003</v>
      </c>
      <c r="S793" s="8">
        <v>3.0039690515113668E-2</v>
      </c>
      <c r="T793" s="7">
        <v>96.170140000000018</v>
      </c>
      <c r="U793" s="8">
        <v>6.0657338599946653E-2</v>
      </c>
      <c r="V793" s="7">
        <v>13.693077500000001</v>
      </c>
      <c r="W793" s="8">
        <v>8.6366271110015127E-3</v>
      </c>
      <c r="X793" s="7">
        <v>14.850269000000001</v>
      </c>
      <c r="Y793" s="8">
        <v>9.3665018584073098E-3</v>
      </c>
      <c r="Z793" s="7">
        <v>360.58313980000003</v>
      </c>
      <c r="AA793" s="8">
        <v>0.22743040203830941</v>
      </c>
      <c r="AB793" s="7">
        <v>73.465323999999995</v>
      </c>
      <c r="AC793" s="8">
        <v>4.6336742706444917E-2</v>
      </c>
      <c r="AD793" s="7">
        <v>28.365724</v>
      </c>
      <c r="AE793" s="8">
        <v>1.7891097229354488E-2</v>
      </c>
      <c r="AF793" s="7">
        <v>70.790636000000006</v>
      </c>
      <c r="AG793" s="8">
        <v>4.4649738240555473E-2</v>
      </c>
      <c r="AH793" s="7">
        <v>44.850269000000004</v>
      </c>
      <c r="AI793" s="8">
        <v>2.8288385074948325E-2</v>
      </c>
      <c r="AJ793" s="7">
        <v>66.494067000000001</v>
      </c>
      <c r="AK793" s="8">
        <v>4.1939765678895118E-2</v>
      </c>
      <c r="AL793" s="7">
        <v>106.39302950000003</v>
      </c>
      <c r="AM793" s="8">
        <v>6.7105215975100108E-2</v>
      </c>
      <c r="AN793" s="7">
        <v>6.9052629999999997</v>
      </c>
      <c r="AO793" s="8">
        <v>4.3553526688500542E-3</v>
      </c>
      <c r="AP793" s="7">
        <v>0</v>
      </c>
      <c r="AQ793" s="8">
        <v>0</v>
      </c>
      <c r="AR793" s="7">
        <v>1585.4658680999992</v>
      </c>
      <c r="AS793" s="6">
        <v>4.2831085140870986E-2</v>
      </c>
      <c r="AT793" s="1"/>
    </row>
    <row r="794" spans="1:46">
      <c r="A794" s="9" t="s">
        <v>1</v>
      </c>
      <c r="B794" s="7">
        <v>490.39089999999987</v>
      </c>
      <c r="C794" s="8">
        <v>4.5390066231807247E-2</v>
      </c>
      <c r="D794" s="7">
        <v>12.522353000000001</v>
      </c>
      <c r="E794" s="8">
        <v>1.1590558308648678E-3</v>
      </c>
      <c r="F794" s="7">
        <v>1482.7762849999997</v>
      </c>
      <c r="G794" s="8">
        <v>0.13724421432596545</v>
      </c>
      <c r="H794" s="7">
        <v>126.43334999999999</v>
      </c>
      <c r="I794" s="8">
        <v>1.1702537976151816E-2</v>
      </c>
      <c r="J794" s="7">
        <v>97.876910000000009</v>
      </c>
      <c r="K794" s="8">
        <v>9.0593839067255096E-3</v>
      </c>
      <c r="L794" s="7">
        <v>511.31095199999993</v>
      </c>
      <c r="M794" s="8">
        <v>4.7326404254908513E-2</v>
      </c>
      <c r="N794" s="7">
        <v>2741.4984649999979</v>
      </c>
      <c r="O794" s="8">
        <v>0.25375021620659732</v>
      </c>
      <c r="P794" s="7">
        <v>503.02543099999997</v>
      </c>
      <c r="Q794" s="8">
        <v>4.6559505140436726E-2</v>
      </c>
      <c r="R794" s="7">
        <v>599.33745799999986</v>
      </c>
      <c r="S794" s="8">
        <v>5.547404512160195E-2</v>
      </c>
      <c r="T794" s="7">
        <v>531.52603499999998</v>
      </c>
      <c r="U794" s="8">
        <v>4.9197491088394794E-2</v>
      </c>
      <c r="V794" s="7">
        <v>504.8157799999999</v>
      </c>
      <c r="W794" s="8">
        <v>4.67252179619594E-2</v>
      </c>
      <c r="X794" s="7">
        <v>63.146839999999997</v>
      </c>
      <c r="Y794" s="8">
        <v>5.8448051338826548E-3</v>
      </c>
      <c r="Z794" s="7">
        <v>1184.1075949999999</v>
      </c>
      <c r="AA794" s="8">
        <v>0.10959975432381799</v>
      </c>
      <c r="AB794" s="7">
        <v>365.04204900000002</v>
      </c>
      <c r="AC794" s="8">
        <v>3.378790834312919E-2</v>
      </c>
      <c r="AD794" s="7">
        <v>143.09797</v>
      </c>
      <c r="AE794" s="8">
        <v>1.3244997686411327E-2</v>
      </c>
      <c r="AF794" s="7">
        <v>385.10726799999998</v>
      </c>
      <c r="AG794" s="8">
        <v>3.5645123922304324E-2</v>
      </c>
      <c r="AH794" s="7">
        <v>524.61015499999985</v>
      </c>
      <c r="AI794" s="8">
        <v>4.8557364505190985E-2</v>
      </c>
      <c r="AJ794" s="7">
        <v>283.141008</v>
      </c>
      <c r="AK794" s="8">
        <v>2.6207234078080708E-2</v>
      </c>
      <c r="AL794" s="7">
        <v>173.36509800000002</v>
      </c>
      <c r="AM794" s="8">
        <v>1.6046491238935624E-2</v>
      </c>
      <c r="AN794" s="7">
        <v>80.793729999999996</v>
      </c>
      <c r="AO794" s="8">
        <v>7.4781827228334631E-3</v>
      </c>
      <c r="AP794" s="7">
        <v>0</v>
      </c>
      <c r="AQ794" s="8">
        <v>0</v>
      </c>
      <c r="AR794" s="7">
        <v>10803.925631999999</v>
      </c>
      <c r="AS794" s="6">
        <v>0.29186617505325191</v>
      </c>
      <c r="AT794" s="1"/>
    </row>
    <row r="795" spans="1:46" ht="15.75" thickBot="1">
      <c r="A795" s="9" t="s">
        <v>0</v>
      </c>
      <c r="B795" s="7">
        <v>661.46217000000001</v>
      </c>
      <c r="C795" s="8">
        <v>2.6858878827852609E-2</v>
      </c>
      <c r="D795" s="7">
        <v>339.46882500000004</v>
      </c>
      <c r="E795" s="8">
        <v>1.3784238086523532E-2</v>
      </c>
      <c r="F795" s="7">
        <v>809.15593200000001</v>
      </c>
      <c r="G795" s="8">
        <v>3.2856030346264768E-2</v>
      </c>
      <c r="H795" s="7">
        <v>0</v>
      </c>
      <c r="I795" s="8">
        <v>0</v>
      </c>
      <c r="J795" s="7">
        <v>210.98872499999999</v>
      </c>
      <c r="K795" s="8">
        <v>8.5672633384583675E-3</v>
      </c>
      <c r="L795" s="7">
        <v>773.05669</v>
      </c>
      <c r="M795" s="8">
        <v>3.1390209305198542E-2</v>
      </c>
      <c r="N795" s="7">
        <v>2450.6368200000006</v>
      </c>
      <c r="O795" s="8">
        <v>9.9508876523436041E-2</v>
      </c>
      <c r="P795" s="7">
        <v>314.51474999999999</v>
      </c>
      <c r="Q795" s="8">
        <v>1.2770970046287539E-2</v>
      </c>
      <c r="R795" s="7">
        <v>274.69404199999997</v>
      </c>
      <c r="S795" s="8">
        <v>1.1154037711349471E-2</v>
      </c>
      <c r="T795" s="7">
        <v>1343.4857360000005</v>
      </c>
      <c r="U795" s="8">
        <v>5.4552659587731818E-2</v>
      </c>
      <c r="V795" s="7">
        <v>1804.7330220000006</v>
      </c>
      <c r="W795" s="8">
        <v>7.3281750269289431E-2</v>
      </c>
      <c r="X795" s="7">
        <v>189.42378300000001</v>
      </c>
      <c r="Y795" s="8">
        <v>7.6916121064193998E-3</v>
      </c>
      <c r="Z795" s="7">
        <v>7746.0934960000068</v>
      </c>
      <c r="AA795" s="8">
        <v>0.31453255535124763</v>
      </c>
      <c r="AB795" s="7">
        <v>170.66481999999999</v>
      </c>
      <c r="AC795" s="8">
        <v>6.9298985315475814E-3</v>
      </c>
      <c r="AD795" s="7">
        <v>562.812952</v>
      </c>
      <c r="AE795" s="8">
        <v>2.2853196397481096E-2</v>
      </c>
      <c r="AF795" s="7">
        <v>3562.7656200000001</v>
      </c>
      <c r="AG795" s="8">
        <v>0.14466721517818498</v>
      </c>
      <c r="AH795" s="7">
        <v>2028.5964290000009</v>
      </c>
      <c r="AI795" s="8">
        <v>8.2371794107477872E-2</v>
      </c>
      <c r="AJ795" s="7">
        <v>604.49684400000001</v>
      </c>
      <c r="AK795" s="8">
        <v>2.4545783902978638E-2</v>
      </c>
      <c r="AL795" s="7">
        <v>726.00493099999994</v>
      </c>
      <c r="AM795" s="8">
        <v>2.947965787696142E-2</v>
      </c>
      <c r="AN795" s="7">
        <v>0</v>
      </c>
      <c r="AO795" s="8">
        <v>0</v>
      </c>
      <c r="AP795" s="7">
        <v>54.263157</v>
      </c>
      <c r="AQ795" s="8">
        <v>2.2033725053085683E-3</v>
      </c>
      <c r="AR795" s="7">
        <v>24627.318744000026</v>
      </c>
      <c r="AS795" s="6">
        <v>0.66530273980587717</v>
      </c>
      <c r="AT795" s="1"/>
    </row>
    <row r="796" spans="1:46" ht="15" customHeight="1">
      <c r="A796" s="13" t="s">
        <v>4</v>
      </c>
      <c r="B796" s="17">
        <v>1421.4513786702928</v>
      </c>
      <c r="C796" s="12">
        <v>3.8718946337226758E-2</v>
      </c>
      <c r="D796" s="17">
        <v>121.93233880626431</v>
      </c>
      <c r="E796" s="12">
        <v>3.3213177417497604E-3</v>
      </c>
      <c r="F796" s="17">
        <v>2037.496250239672</v>
      </c>
      <c r="G796" s="12">
        <v>5.5499406563683219E-2</v>
      </c>
      <c r="H796" s="17">
        <v>104.25551589325174</v>
      </c>
      <c r="I796" s="12">
        <v>2.839818361572685E-3</v>
      </c>
      <c r="J796" s="17">
        <v>230.78264537029071</v>
      </c>
      <c r="K796" s="12">
        <v>6.2862937105977205E-3</v>
      </c>
      <c r="L796" s="17">
        <v>1580.9900205386491</v>
      </c>
      <c r="M796" s="12">
        <v>4.3064623020866409E-2</v>
      </c>
      <c r="N796" s="17">
        <v>4800.7620312934587</v>
      </c>
      <c r="O796" s="12">
        <v>0.13076806583516798</v>
      </c>
      <c r="P796" s="17">
        <v>695.45088116037471</v>
      </c>
      <c r="Q796" s="12">
        <v>1.8943402322360678E-2</v>
      </c>
      <c r="R796" s="17">
        <v>537.76546112177164</v>
      </c>
      <c r="S796" s="12">
        <v>1.4648205590166372E-2</v>
      </c>
      <c r="T796" s="17">
        <v>2039.3787343723859</v>
      </c>
      <c r="U796" s="12">
        <v>5.5550683591662472E-2</v>
      </c>
      <c r="V796" s="17">
        <v>2023.5312635295859</v>
      </c>
      <c r="W796" s="12">
        <v>5.5119013974009333E-2</v>
      </c>
      <c r="X796" s="17">
        <v>281.17721112264741</v>
      </c>
      <c r="Y796" s="12">
        <v>7.6589924299015292E-3</v>
      </c>
      <c r="Z796" s="17">
        <v>10920.250803601562</v>
      </c>
      <c r="AA796" s="12">
        <v>0.29745695927301918</v>
      </c>
      <c r="AB796" s="17">
        <v>1032.6526569699938</v>
      </c>
      <c r="AC796" s="12">
        <v>2.8128449140214999E-2</v>
      </c>
      <c r="AD796" s="17">
        <v>454.62662335870607</v>
      </c>
      <c r="AE796" s="12">
        <v>1.2383584903035434E-2</v>
      </c>
      <c r="AF796" s="17">
        <v>3588.1228814652413</v>
      </c>
      <c r="AG796" s="12">
        <v>9.7736960534513445E-2</v>
      </c>
      <c r="AH796" s="17">
        <v>2709.6025939635779</v>
      </c>
      <c r="AI796" s="12">
        <v>7.3806926501438136E-2</v>
      </c>
      <c r="AJ796" s="17">
        <v>796.50196653066837</v>
      </c>
      <c r="AK796" s="12">
        <v>2.1695935128253047E-2</v>
      </c>
      <c r="AL796" s="17">
        <v>1131.7082826158505</v>
      </c>
      <c r="AM796" s="12">
        <v>3.0826627573423269E-2</v>
      </c>
      <c r="AN796" s="17">
        <v>203.59715298833447</v>
      </c>
      <c r="AO796" s="12">
        <v>5.5457874671321801E-3</v>
      </c>
      <c r="AP796" s="17">
        <v>0</v>
      </c>
      <c r="AQ796" s="12">
        <v>0</v>
      </c>
      <c r="AR796" s="17">
        <v>36712.036693612776</v>
      </c>
      <c r="AS796" s="10">
        <v>1</v>
      </c>
      <c r="AT796" s="1"/>
    </row>
    <row r="797" spans="1:46">
      <c r="A797" s="9" t="s">
        <v>2</v>
      </c>
      <c r="B797" s="7">
        <v>56.613635784376193</v>
      </c>
      <c r="C797" s="8">
        <v>3.0198731439647228E-2</v>
      </c>
      <c r="D797" s="7">
        <v>0</v>
      </c>
      <c r="E797" s="8">
        <v>0</v>
      </c>
      <c r="F797" s="7">
        <v>281.23505417283479</v>
      </c>
      <c r="G797" s="8">
        <v>0.15001583549106548</v>
      </c>
      <c r="H797" s="7">
        <v>0</v>
      </c>
      <c r="I797" s="8">
        <v>0</v>
      </c>
      <c r="J797" s="7">
        <v>6.3125</v>
      </c>
      <c r="K797" s="8">
        <v>3.3672010209487664E-3</v>
      </c>
      <c r="L797" s="7">
        <v>66.674543880888663</v>
      </c>
      <c r="M797" s="8">
        <v>3.5565400748835109E-2</v>
      </c>
      <c r="N797" s="7">
        <v>344.93623406614626</v>
      </c>
      <c r="O797" s="8">
        <v>0.18399519041738618</v>
      </c>
      <c r="P797" s="7">
        <v>47.548019235942959</v>
      </c>
      <c r="Q797" s="8">
        <v>2.5362968541046926E-2</v>
      </c>
      <c r="R797" s="7">
        <v>54.893855932203387</v>
      </c>
      <c r="S797" s="8">
        <v>2.9281369938808671E-2</v>
      </c>
      <c r="T797" s="7">
        <v>143.38584770863986</v>
      </c>
      <c r="U797" s="8">
        <v>7.6484589749566179E-2</v>
      </c>
      <c r="V797" s="7">
        <v>50.360128251419511</v>
      </c>
      <c r="W797" s="8">
        <v>2.6862998061511378E-2</v>
      </c>
      <c r="X797" s="7">
        <v>11.793258570154199</v>
      </c>
      <c r="Y797" s="8">
        <v>6.290736205581942E-3</v>
      </c>
      <c r="Z797" s="7">
        <v>468.2480188175881</v>
      </c>
      <c r="AA797" s="8">
        <v>0.24977191398333778</v>
      </c>
      <c r="AB797" s="7">
        <v>45.402247934074097</v>
      </c>
      <c r="AC797" s="8">
        <v>2.4218375540116171E-2</v>
      </c>
      <c r="AD797" s="7">
        <v>36.246590619460825</v>
      </c>
      <c r="AE797" s="8">
        <v>1.9334583277585818E-2</v>
      </c>
      <c r="AF797" s="7">
        <v>30.148213660537149</v>
      </c>
      <c r="AG797" s="8">
        <v>1.6081599337432431E-2</v>
      </c>
      <c r="AH797" s="7">
        <v>78.558225310730677</v>
      </c>
      <c r="AI797" s="8">
        <v>4.1904370133895537E-2</v>
      </c>
      <c r="AJ797" s="7">
        <v>33.694933356117566</v>
      </c>
      <c r="AK797" s="8">
        <v>1.7973483405547677E-2</v>
      </c>
      <c r="AL797" s="7">
        <v>118.65114162524958</v>
      </c>
      <c r="AM797" s="8">
        <v>6.3290652707687453E-2</v>
      </c>
      <c r="AN797" s="7">
        <v>0</v>
      </c>
      <c r="AO797" s="8">
        <v>0</v>
      </c>
      <c r="AP797" s="7">
        <v>0</v>
      </c>
      <c r="AQ797" s="8">
        <v>0</v>
      </c>
      <c r="AR797" s="7">
        <v>1874.7024489263624</v>
      </c>
      <c r="AS797" s="6">
        <v>5.106506251810667E-2</v>
      </c>
      <c r="AT797" s="1"/>
    </row>
    <row r="798" spans="1:46">
      <c r="A798" s="9" t="s">
        <v>1</v>
      </c>
      <c r="B798" s="7">
        <v>422.36726927181269</v>
      </c>
      <c r="C798" s="8">
        <v>4.2578344719263549E-2</v>
      </c>
      <c r="D798" s="7">
        <v>0</v>
      </c>
      <c r="E798" s="8">
        <v>0</v>
      </c>
      <c r="F798" s="7">
        <v>813.00122164160643</v>
      </c>
      <c r="G798" s="8">
        <v>8.195769130481928E-2</v>
      </c>
      <c r="H798" s="7">
        <v>0</v>
      </c>
      <c r="I798" s="8">
        <v>0</v>
      </c>
      <c r="J798" s="7">
        <v>102.85083230722765</v>
      </c>
      <c r="K798" s="8">
        <v>1.0368270723700607E-2</v>
      </c>
      <c r="L798" s="7">
        <v>784.62358697900936</v>
      </c>
      <c r="M798" s="8">
        <v>7.909697552761305E-2</v>
      </c>
      <c r="N798" s="7">
        <v>2339.8549185147594</v>
      </c>
      <c r="O798" s="8">
        <v>0.23587800609017151</v>
      </c>
      <c r="P798" s="7">
        <v>203.83798261358896</v>
      </c>
      <c r="Q798" s="8">
        <v>2.0548665869786542E-2</v>
      </c>
      <c r="R798" s="7">
        <v>245.55628987425303</v>
      </c>
      <c r="S798" s="8">
        <v>2.4754239068465394E-2</v>
      </c>
      <c r="T798" s="7">
        <v>678.78178768285227</v>
      </c>
      <c r="U798" s="8">
        <v>6.8427188960324153E-2</v>
      </c>
      <c r="V798" s="7">
        <v>576.69398154325961</v>
      </c>
      <c r="W798" s="8">
        <v>5.8135838001858654E-2</v>
      </c>
      <c r="X798" s="7">
        <v>21.172413793103448</v>
      </c>
      <c r="Y798" s="8">
        <v>2.1343659857352751E-3</v>
      </c>
      <c r="Z798" s="7">
        <v>1532.8946970385259</v>
      </c>
      <c r="AA798" s="8">
        <v>0.15452930086501182</v>
      </c>
      <c r="AB798" s="7">
        <v>459.76502831586771</v>
      </c>
      <c r="AC798" s="8">
        <v>4.634836856379821E-2</v>
      </c>
      <c r="AD798" s="7">
        <v>106.36109575068076</v>
      </c>
      <c r="AE798" s="8">
        <v>1.0722136228498023E-2</v>
      </c>
      <c r="AF798" s="7">
        <v>738.25347771875806</v>
      </c>
      <c r="AG798" s="8">
        <v>7.4422459672829094E-2</v>
      </c>
      <c r="AH798" s="7">
        <v>231.09283158701763</v>
      </c>
      <c r="AI798" s="8">
        <v>2.3296194950017658E-2</v>
      </c>
      <c r="AJ798" s="7">
        <v>226.14091545951959</v>
      </c>
      <c r="AK798" s="8">
        <v>2.2796998143738135E-2</v>
      </c>
      <c r="AL798" s="7">
        <v>421.34650062992603</v>
      </c>
      <c r="AM798" s="8">
        <v>4.2475442240130168E-2</v>
      </c>
      <c r="AN798" s="7">
        <v>15.172413793103448</v>
      </c>
      <c r="AO798" s="8">
        <v>1.529513084240262E-3</v>
      </c>
      <c r="AP798" s="7">
        <v>0</v>
      </c>
      <c r="AQ798" s="8">
        <v>0</v>
      </c>
      <c r="AR798" s="7">
        <v>9919.7672445148582</v>
      </c>
      <c r="AS798" s="6">
        <v>0.2702047649195316</v>
      </c>
      <c r="AT798" s="1"/>
    </row>
    <row r="799" spans="1:46" ht="15.75" thickBot="1">
      <c r="A799" s="9" t="s">
        <v>0</v>
      </c>
      <c r="B799" s="7">
        <v>942.47047361410375</v>
      </c>
      <c r="C799" s="8">
        <v>3.7823535243533997E-2</v>
      </c>
      <c r="D799" s="7">
        <v>121.93233880626431</v>
      </c>
      <c r="E799" s="8">
        <v>4.8934287527119093E-3</v>
      </c>
      <c r="F799" s="7">
        <v>943.2599744252301</v>
      </c>
      <c r="G799" s="8">
        <v>3.7855219749935484E-2</v>
      </c>
      <c r="H799" s="7">
        <v>104.25551589325174</v>
      </c>
      <c r="I799" s="8">
        <v>4.1840166775726738E-3</v>
      </c>
      <c r="J799" s="7">
        <v>121.61931306306306</v>
      </c>
      <c r="K799" s="8">
        <v>4.8808663005592131E-3</v>
      </c>
      <c r="L799" s="7">
        <v>729.69188967875039</v>
      </c>
      <c r="M799" s="8">
        <v>2.9284235080966382E-2</v>
      </c>
      <c r="N799" s="7">
        <v>2115.9708787125514</v>
      </c>
      <c r="O799" s="8">
        <v>8.4918839736559906E-2</v>
      </c>
      <c r="P799" s="7">
        <v>444.0648793108428</v>
      </c>
      <c r="Q799" s="8">
        <v>1.7821357892116342E-2</v>
      </c>
      <c r="R799" s="7">
        <v>237.3153153153153</v>
      </c>
      <c r="S799" s="8">
        <v>9.5240163421124787E-3</v>
      </c>
      <c r="T799" s="7">
        <v>1217.2110989808932</v>
      </c>
      <c r="U799" s="8">
        <v>4.8849516446470037E-2</v>
      </c>
      <c r="V799" s="7">
        <v>1396.4771537349068</v>
      </c>
      <c r="W799" s="8">
        <v>5.6043880757912647E-2</v>
      </c>
      <c r="X799" s="7">
        <v>248.21153875938975</v>
      </c>
      <c r="Y799" s="8">
        <v>9.9613071676573437E-3</v>
      </c>
      <c r="Z799" s="7">
        <v>8919.1080877454569</v>
      </c>
      <c r="AA799" s="8">
        <v>0.35794458133428897</v>
      </c>
      <c r="AB799" s="7">
        <v>527.48538072005226</v>
      </c>
      <c r="AC799" s="8">
        <v>2.1169216910961783E-2</v>
      </c>
      <c r="AD799" s="7">
        <v>312.01893698856446</v>
      </c>
      <c r="AE799" s="8">
        <v>1.2522046674397136E-2</v>
      </c>
      <c r="AF799" s="7">
        <v>2819.7211900859452</v>
      </c>
      <c r="AG799" s="8">
        <v>0.11316197885879252</v>
      </c>
      <c r="AH799" s="7">
        <v>2399.9515370658305</v>
      </c>
      <c r="AI799" s="8">
        <v>9.6315644984493035E-2</v>
      </c>
      <c r="AJ799" s="7">
        <v>536.66611771503108</v>
      </c>
      <c r="AK799" s="8">
        <v>2.1537661269711402E-2</v>
      </c>
      <c r="AL799" s="7">
        <v>591.71064036067457</v>
      </c>
      <c r="AM799" s="8">
        <v>2.3746726169397023E-2</v>
      </c>
      <c r="AN799" s="7">
        <v>188.42473919523098</v>
      </c>
      <c r="AO799" s="8">
        <v>7.5619236498464977E-3</v>
      </c>
      <c r="AP799" s="7">
        <v>0</v>
      </c>
      <c r="AQ799" s="8">
        <v>0</v>
      </c>
      <c r="AR799" s="7">
        <v>24917.567000171428</v>
      </c>
      <c r="AS799" s="6">
        <v>0.67873017256235824</v>
      </c>
      <c r="AT799" s="1"/>
    </row>
    <row r="800" spans="1:46" ht="15.75" customHeight="1">
      <c r="A800" s="13" t="s">
        <v>3</v>
      </c>
      <c r="B800" s="17">
        <v>699.96055657167699</v>
      </c>
      <c r="C800" s="12">
        <v>2.7978963365191852E-2</v>
      </c>
      <c r="D800" s="17">
        <v>171.27922014470067</v>
      </c>
      <c r="E800" s="12">
        <v>6.8464072448866341E-3</v>
      </c>
      <c r="F800" s="17">
        <v>1304.6043418742618</v>
      </c>
      <c r="G800" s="12">
        <v>5.2147905685071827E-2</v>
      </c>
      <c r="H800" s="17">
        <v>4.6022408963585431</v>
      </c>
      <c r="I800" s="12">
        <v>1.8396169359554131E-4</v>
      </c>
      <c r="J800" s="17">
        <v>387.77496042984177</v>
      </c>
      <c r="K800" s="12">
        <v>1.550021827650549E-2</v>
      </c>
      <c r="L800" s="17">
        <v>610.37354134109648</v>
      </c>
      <c r="M800" s="12">
        <v>2.4397973274250032E-2</v>
      </c>
      <c r="N800" s="17">
        <v>2681.4028855564093</v>
      </c>
      <c r="O800" s="12">
        <v>0.10718157244424678</v>
      </c>
      <c r="P800" s="17">
        <v>519.00077245173384</v>
      </c>
      <c r="Q800" s="12">
        <v>2.074560268089385E-2</v>
      </c>
      <c r="R800" s="17">
        <v>258.40906176910346</v>
      </c>
      <c r="S800" s="12">
        <v>1.0329178700987245E-2</v>
      </c>
      <c r="T800" s="17">
        <v>1850.3941615794911</v>
      </c>
      <c r="U800" s="12">
        <v>7.3964325520813737E-2</v>
      </c>
      <c r="V800" s="17">
        <v>990.38051518189639</v>
      </c>
      <c r="W800" s="12">
        <v>3.9587688037156683E-2</v>
      </c>
      <c r="X800" s="17">
        <v>458.67117479437906</v>
      </c>
      <c r="Y800" s="12">
        <v>1.8334095936914849E-2</v>
      </c>
      <c r="Z800" s="17">
        <v>7599.7918768900445</v>
      </c>
      <c r="AA800" s="12">
        <v>0.30378040092436998</v>
      </c>
      <c r="AB800" s="17">
        <v>932.46719010758216</v>
      </c>
      <c r="AC800" s="12">
        <v>3.7272765024141508E-2</v>
      </c>
      <c r="AD800" s="17">
        <v>570.83643396835214</v>
      </c>
      <c r="AE800" s="12">
        <v>2.2817588110597753E-2</v>
      </c>
      <c r="AF800" s="17">
        <v>2741.3129434968196</v>
      </c>
      <c r="AG800" s="12">
        <v>0.10957630926274865</v>
      </c>
      <c r="AH800" s="17">
        <v>2155.4117127158202</v>
      </c>
      <c r="AI800" s="12">
        <v>8.6156548080871628E-2</v>
      </c>
      <c r="AJ800" s="17">
        <v>365.74008842236566</v>
      </c>
      <c r="AK800" s="12">
        <v>1.4619435965465747E-2</v>
      </c>
      <c r="AL800" s="17">
        <v>597.55453932514183</v>
      </c>
      <c r="AM800" s="12">
        <v>2.3885569561761716E-2</v>
      </c>
      <c r="AN800" s="17">
        <v>7.5707070707070709</v>
      </c>
      <c r="AO800" s="12">
        <v>3.0261781723442199E-4</v>
      </c>
      <c r="AP800" s="17">
        <v>109.84815425178654</v>
      </c>
      <c r="AQ800" s="12">
        <v>4.3908723922930857E-3</v>
      </c>
      <c r="AR800" s="17">
        <v>25017.387078839594</v>
      </c>
      <c r="AS800" s="10">
        <v>1</v>
      </c>
      <c r="AT800" s="1"/>
    </row>
    <row r="801" spans="1:46">
      <c r="A801" s="9" t="s">
        <v>2</v>
      </c>
      <c r="B801" s="7">
        <v>40.281998170552953</v>
      </c>
      <c r="C801" s="8">
        <v>2.5353581700348196E-2</v>
      </c>
      <c r="D801" s="7">
        <v>0</v>
      </c>
      <c r="E801" s="8">
        <v>0</v>
      </c>
      <c r="F801" s="7">
        <v>127.20485099727784</v>
      </c>
      <c r="G801" s="8">
        <v>8.0063023904254141E-2</v>
      </c>
      <c r="H801" s="7">
        <v>4.6022408963585431</v>
      </c>
      <c r="I801" s="8">
        <v>2.8966609371381224E-3</v>
      </c>
      <c r="J801" s="7">
        <v>0</v>
      </c>
      <c r="K801" s="8">
        <v>0</v>
      </c>
      <c r="L801" s="7">
        <v>24.630219883480549</v>
      </c>
      <c r="M801" s="8">
        <v>1.550231667926201E-2</v>
      </c>
      <c r="N801" s="7">
        <v>349.59198221372719</v>
      </c>
      <c r="O801" s="8">
        <v>0.22003399248753649</v>
      </c>
      <c r="P801" s="7">
        <v>26.845480877993563</v>
      </c>
      <c r="Q801" s="8">
        <v>1.6896607011488825E-2</v>
      </c>
      <c r="R801" s="7">
        <v>40.447759680648048</v>
      </c>
      <c r="S801" s="8">
        <v>2.5457912373597701E-2</v>
      </c>
      <c r="T801" s="7">
        <v>114.41499517647887</v>
      </c>
      <c r="U801" s="8">
        <v>7.2013059423461617E-2</v>
      </c>
      <c r="V801" s="7">
        <v>45.494452159797014</v>
      </c>
      <c r="W801" s="8">
        <v>2.863431215259803E-2</v>
      </c>
      <c r="X801" s="7">
        <v>0</v>
      </c>
      <c r="Y801" s="8">
        <v>0</v>
      </c>
      <c r="Z801" s="7">
        <v>491.99193601163148</v>
      </c>
      <c r="AA801" s="8">
        <v>0.30966084881811989</v>
      </c>
      <c r="AB801" s="7">
        <v>58.981493050004914</v>
      </c>
      <c r="AC801" s="8">
        <v>3.7123086509273123E-2</v>
      </c>
      <c r="AD801" s="7">
        <v>36.289970367079931</v>
      </c>
      <c r="AE801" s="8">
        <v>2.2840990278321791E-2</v>
      </c>
      <c r="AF801" s="7">
        <v>56.258410952970351</v>
      </c>
      <c r="AG801" s="8">
        <v>3.5409172414654279E-2</v>
      </c>
      <c r="AH801" s="7">
        <v>42.385346882875055</v>
      </c>
      <c r="AI801" s="8">
        <v>2.6677434186423831E-2</v>
      </c>
      <c r="AJ801" s="7">
        <v>35.773136220504639</v>
      </c>
      <c r="AK801" s="8">
        <v>2.2515693685405864E-2</v>
      </c>
      <c r="AL801" s="7">
        <v>86.043995044380608</v>
      </c>
      <c r="AM801" s="8">
        <v>5.4156287107346178E-2</v>
      </c>
      <c r="AN801" s="7">
        <v>7.5707070707070709</v>
      </c>
      <c r="AO801" s="8">
        <v>4.7650203307662946E-3</v>
      </c>
      <c r="AP801" s="7">
        <v>0</v>
      </c>
      <c r="AQ801" s="8">
        <v>0</v>
      </c>
      <c r="AR801" s="7">
        <v>1588.8089756564743</v>
      </c>
      <c r="AS801" s="6">
        <v>6.3508190149895116E-2</v>
      </c>
      <c r="AT801" s="1"/>
    </row>
    <row r="802" spans="1:46">
      <c r="A802" s="9" t="s">
        <v>1</v>
      </c>
      <c r="B802" s="7">
        <v>137.50294226003373</v>
      </c>
      <c r="C802" s="8">
        <v>4.320757436279523E-2</v>
      </c>
      <c r="D802" s="7">
        <v>0</v>
      </c>
      <c r="E802" s="8">
        <v>0</v>
      </c>
      <c r="F802" s="7">
        <v>337.89014315907752</v>
      </c>
      <c r="G802" s="8">
        <v>0.10617528066702903</v>
      </c>
      <c r="H802" s="7">
        <v>0</v>
      </c>
      <c r="I802" s="8">
        <v>0</v>
      </c>
      <c r="J802" s="7">
        <v>55.572213832678955</v>
      </c>
      <c r="K802" s="8">
        <v>1.7462466782272944E-2</v>
      </c>
      <c r="L802" s="7">
        <v>95.903654485049856</v>
      </c>
      <c r="M802" s="8">
        <v>3.0135822657454715E-2</v>
      </c>
      <c r="N802" s="7">
        <v>723.53591455178514</v>
      </c>
      <c r="O802" s="8">
        <v>0.22735682101281057</v>
      </c>
      <c r="P802" s="7">
        <v>96.102545497950047</v>
      </c>
      <c r="Q802" s="8">
        <v>3.0198320216334042E-2</v>
      </c>
      <c r="R802" s="7">
        <v>35.107199015590083</v>
      </c>
      <c r="S802" s="8">
        <v>1.1031741482789039E-2</v>
      </c>
      <c r="T802" s="7">
        <v>261.71952452491456</v>
      </c>
      <c r="U802" s="8">
        <v>8.224017342640158E-2</v>
      </c>
      <c r="V802" s="7">
        <v>104.39513742448659</v>
      </c>
      <c r="W802" s="8">
        <v>3.2804102874050202E-2</v>
      </c>
      <c r="X802" s="7">
        <v>31.660618961412723</v>
      </c>
      <c r="Y802" s="8">
        <v>9.9487220103287796E-3</v>
      </c>
      <c r="Z802" s="7">
        <v>636.8179277127773</v>
      </c>
      <c r="AA802" s="8">
        <v>0.20010741235759383</v>
      </c>
      <c r="AB802" s="7">
        <v>178.54943698710386</v>
      </c>
      <c r="AC802" s="8">
        <v>5.6105621808922146E-2</v>
      </c>
      <c r="AD802" s="7">
        <v>47.718503192949647</v>
      </c>
      <c r="AE802" s="8">
        <v>1.4994593870519173E-2</v>
      </c>
      <c r="AF802" s="7">
        <v>177.23003438236807</v>
      </c>
      <c r="AG802" s="8">
        <v>5.5691025690311265E-2</v>
      </c>
      <c r="AH802" s="7">
        <v>135.73404088832302</v>
      </c>
      <c r="AI802" s="8">
        <v>4.2651732165512622E-2</v>
      </c>
      <c r="AJ802" s="7">
        <v>19.792722371967656</v>
      </c>
      <c r="AK802" s="8">
        <v>6.2194707231186452E-3</v>
      </c>
      <c r="AL802" s="7">
        <v>97.60309385382061</v>
      </c>
      <c r="AM802" s="8">
        <v>3.0669837797017055E-2</v>
      </c>
      <c r="AN802" s="7">
        <v>0</v>
      </c>
      <c r="AO802" s="8">
        <v>0</v>
      </c>
      <c r="AP802" s="7">
        <v>9.5448504983388709</v>
      </c>
      <c r="AQ802" s="8">
        <v>2.9992800947402703E-3</v>
      </c>
      <c r="AR802" s="7">
        <v>3182.3805036006247</v>
      </c>
      <c r="AS802" s="6">
        <v>0.12720674999238313</v>
      </c>
      <c r="AT802" s="1"/>
    </row>
    <row r="803" spans="1:46" ht="15.75" thickBot="1">
      <c r="A803" s="5" t="s">
        <v>0</v>
      </c>
      <c r="B803" s="3">
        <v>522.17561614109059</v>
      </c>
      <c r="C803" s="4">
        <v>2.5791293084675794E-2</v>
      </c>
      <c r="D803" s="3">
        <v>171.27922014470067</v>
      </c>
      <c r="E803" s="4">
        <v>8.4598216184669176E-3</v>
      </c>
      <c r="F803" s="3">
        <v>839.50934771790526</v>
      </c>
      <c r="G803" s="4">
        <v>4.1465037747888955E-2</v>
      </c>
      <c r="H803" s="3">
        <v>0</v>
      </c>
      <c r="I803" s="4">
        <v>0</v>
      </c>
      <c r="J803" s="3">
        <v>332.20274659716279</v>
      </c>
      <c r="K803" s="4">
        <v>1.6408154912209982E-2</v>
      </c>
      <c r="L803" s="3">
        <v>489.83966697256625</v>
      </c>
      <c r="M803" s="4">
        <v>2.4194156189736509E-2</v>
      </c>
      <c r="N803" s="3">
        <v>1608.2749887908942</v>
      </c>
      <c r="O803" s="4">
        <v>7.9435903007489289E-2</v>
      </c>
      <c r="P803" s="3">
        <v>396.05274607579037</v>
      </c>
      <c r="Q803" s="4">
        <v>1.9561833481461149E-2</v>
      </c>
      <c r="R803" s="3">
        <v>182.85410307286531</v>
      </c>
      <c r="S803" s="4">
        <v>9.0315281263794629E-3</v>
      </c>
      <c r="T803" s="3">
        <v>1474.259641878097</v>
      </c>
      <c r="U803" s="4">
        <v>7.2816618262606575E-2</v>
      </c>
      <c r="V803" s="3">
        <v>840.49092559761266</v>
      </c>
      <c r="W803" s="4">
        <v>4.1513519833222733E-2</v>
      </c>
      <c r="X803" s="3">
        <v>427.0105558329663</v>
      </c>
      <c r="Y803" s="4">
        <v>2.1090901327653386E-2</v>
      </c>
      <c r="Z803" s="3">
        <v>6470.9820131656443</v>
      </c>
      <c r="AA803" s="4">
        <v>0.31961468227985179</v>
      </c>
      <c r="AB803" s="3">
        <v>694.93626007047351</v>
      </c>
      <c r="AC803" s="4">
        <v>3.4324285172678819E-2</v>
      </c>
      <c r="AD803" s="3">
        <v>486.82796040832261</v>
      </c>
      <c r="AE803" s="4">
        <v>2.4045402007652178E-2</v>
      </c>
      <c r="AF803" s="3">
        <v>2507.8244981614816</v>
      </c>
      <c r="AG803" s="4">
        <v>0.12386644385082964</v>
      </c>
      <c r="AH803" s="3">
        <v>1977.2923249446224</v>
      </c>
      <c r="AI803" s="4">
        <v>9.7662403778248252E-2</v>
      </c>
      <c r="AJ803" s="3">
        <v>310.17422982989342</v>
      </c>
      <c r="AK803" s="4">
        <v>1.532012262076758E-2</v>
      </c>
      <c r="AL803" s="3">
        <v>413.90745042694073</v>
      </c>
      <c r="AM803" s="4">
        <v>2.044371286959468E-2</v>
      </c>
      <c r="AN803" s="3">
        <v>0</v>
      </c>
      <c r="AO803" s="4">
        <v>0</v>
      </c>
      <c r="AP803" s="3">
        <v>100.30330375344766</v>
      </c>
      <c r="AQ803" s="4">
        <v>4.9541798285874803E-3</v>
      </c>
      <c r="AR803" s="3">
        <v>20246.197599582454</v>
      </c>
      <c r="AS803" s="2">
        <v>0.80928505985772003</v>
      </c>
      <c r="AT803" s="1"/>
    </row>
    <row r="808" spans="1:46" ht="15.75" thickBot="1"/>
    <row r="809" spans="1:46" ht="50.25" customHeight="1">
      <c r="A809" s="729" t="s">
        <v>96</v>
      </c>
      <c r="B809" s="670" t="s">
        <v>349</v>
      </c>
      <c r="C809" s="625"/>
      <c r="D809" s="625"/>
      <c r="E809" s="626"/>
      <c r="F809" s="1"/>
      <c r="I809" s="64"/>
      <c r="J809" s="44"/>
      <c r="K809" s="44"/>
      <c r="L809" s="44"/>
      <c r="M809" s="63"/>
      <c r="N809" s="44"/>
      <c r="O809" s="44"/>
      <c r="P809" s="44"/>
      <c r="Q809" s="1"/>
    </row>
    <row r="810" spans="1:46" ht="36.75" thickBot="1">
      <c r="A810" s="730"/>
      <c r="B810" s="77" t="s">
        <v>95</v>
      </c>
      <c r="C810" s="61" t="s">
        <v>94</v>
      </c>
      <c r="D810" s="61" t="s">
        <v>93</v>
      </c>
      <c r="E810" s="60" t="s">
        <v>92</v>
      </c>
      <c r="F810" s="1"/>
      <c r="I810" s="44"/>
      <c r="J810" s="44"/>
      <c r="K810" s="44"/>
      <c r="L810" s="44"/>
      <c r="M810" s="59"/>
      <c r="N810" s="59"/>
      <c r="O810" s="59"/>
      <c r="P810" s="59"/>
      <c r="Q810" s="1"/>
    </row>
    <row r="811" spans="1:46" ht="15.75" customHeight="1">
      <c r="A811" s="14" t="s">
        <v>5</v>
      </c>
      <c r="B811" s="17">
        <v>1650209.7482878</v>
      </c>
      <c r="C811" s="58">
        <v>9200.0789958912992</v>
      </c>
      <c r="D811" s="58">
        <v>1770070.1003020103</v>
      </c>
      <c r="E811" s="57">
        <v>37016.710244100017</v>
      </c>
      <c r="F811" s="1"/>
      <c r="I811" s="51"/>
      <c r="J811" s="51"/>
      <c r="K811" s="51"/>
      <c r="L811" s="43"/>
      <c r="M811" s="42"/>
      <c r="N811" s="42"/>
      <c r="O811" s="42"/>
      <c r="P811" s="42"/>
      <c r="Q811" s="1"/>
    </row>
    <row r="812" spans="1:46">
      <c r="A812" s="9" t="s">
        <v>2</v>
      </c>
      <c r="B812" s="7">
        <v>1660478.7613445199</v>
      </c>
      <c r="C812" s="56">
        <v>138792.366213498</v>
      </c>
      <c r="D812" s="56">
        <v>5526421.7920419173</v>
      </c>
      <c r="E812" s="55">
        <v>1585.4658680999992</v>
      </c>
      <c r="F812" s="1"/>
      <c r="I812" s="44"/>
      <c r="J812" s="44"/>
      <c r="K812" s="44"/>
      <c r="L812" s="43"/>
      <c r="M812" s="42"/>
      <c r="N812" s="42"/>
      <c r="O812" s="42"/>
      <c r="P812" s="42"/>
      <c r="Q812" s="1"/>
    </row>
    <row r="813" spans="1:46">
      <c r="A813" s="9" t="s">
        <v>1</v>
      </c>
      <c r="B813" s="7">
        <v>1348158.65407242</v>
      </c>
      <c r="C813" s="56">
        <v>12761.6666886942</v>
      </c>
      <c r="D813" s="56">
        <v>1326472.3159704441</v>
      </c>
      <c r="E813" s="55">
        <v>10803.925631999999</v>
      </c>
      <c r="F813" s="1"/>
      <c r="I813" s="44"/>
      <c r="J813" s="44"/>
      <c r="K813" s="44"/>
      <c r="L813" s="43"/>
      <c r="M813" s="42"/>
      <c r="N813" s="42"/>
      <c r="O813" s="42"/>
      <c r="P813" s="42"/>
      <c r="Q813" s="1"/>
    </row>
    <row r="814" spans="1:46" ht="15.75" thickBot="1">
      <c r="A814" s="9" t="s">
        <v>0</v>
      </c>
      <c r="B814" s="7">
        <v>1782057.4911549799</v>
      </c>
      <c r="C814" s="56">
        <v>8818.3555622845506</v>
      </c>
      <c r="D814" s="56">
        <v>1383872.7943414676</v>
      </c>
      <c r="E814" s="55">
        <v>24627.318744000026</v>
      </c>
      <c r="F814" s="1"/>
      <c r="I814" s="44"/>
      <c r="J814" s="44"/>
      <c r="K814" s="44"/>
      <c r="L814" s="43"/>
      <c r="M814" s="42"/>
      <c r="N814" s="42"/>
      <c r="O814" s="42"/>
      <c r="P814" s="42"/>
      <c r="Q814" s="1"/>
    </row>
    <row r="815" spans="1:46" ht="15" customHeight="1">
      <c r="A815" s="13" t="s">
        <v>4</v>
      </c>
      <c r="B815" s="54">
        <v>1911279.1570972074</v>
      </c>
      <c r="C815" s="53">
        <v>8272.9656446922872</v>
      </c>
      <c r="D815" s="53">
        <v>1543064.9935030579</v>
      </c>
      <c r="E815" s="57">
        <v>34789.324483885954</v>
      </c>
      <c r="F815" s="1"/>
      <c r="I815" s="44"/>
      <c r="J815" s="51"/>
      <c r="K815" s="51"/>
      <c r="L815" s="43"/>
      <c r="M815" s="42"/>
      <c r="N815" s="42"/>
      <c r="O815" s="42"/>
      <c r="P815" s="42"/>
      <c r="Q815" s="1"/>
    </row>
    <row r="816" spans="1:46">
      <c r="A816" s="9" t="s">
        <v>2</v>
      </c>
      <c r="B816" s="50">
        <v>1284840.5063114038</v>
      </c>
      <c r="C816" s="49">
        <v>21853.445319427545</v>
      </c>
      <c r="D816" s="49">
        <v>917235.98784647405</v>
      </c>
      <c r="E816" s="55">
        <v>1761.661002571647</v>
      </c>
      <c r="F816" s="1"/>
      <c r="I816" s="44"/>
      <c r="J816" s="44"/>
      <c r="K816" s="44"/>
      <c r="L816" s="43"/>
      <c r="M816" s="42"/>
      <c r="N816" s="42"/>
      <c r="O816" s="42"/>
      <c r="P816" s="42"/>
      <c r="Q816" s="1"/>
    </row>
    <row r="817" spans="1:17">
      <c r="A817" s="9" t="s">
        <v>1</v>
      </c>
      <c r="B817" s="50">
        <v>1565621.3816566158</v>
      </c>
      <c r="C817" s="49">
        <v>16364.477444510774</v>
      </c>
      <c r="D817" s="49">
        <v>1582062.801695057</v>
      </c>
      <c r="E817" s="55">
        <v>9346.3739859871675</v>
      </c>
      <c r="F817" s="1"/>
      <c r="I817" s="44"/>
      <c r="J817" s="44"/>
      <c r="K817" s="44"/>
      <c r="L817" s="43"/>
      <c r="M817" s="42"/>
      <c r="N817" s="42"/>
      <c r="O817" s="42"/>
      <c r="P817" s="42"/>
      <c r="Q817" s="1"/>
    </row>
    <row r="818" spans="1:17" ht="15.75" thickBot="1">
      <c r="A818" s="9" t="s">
        <v>0</v>
      </c>
      <c r="B818" s="50">
        <v>2094302.1036677645</v>
      </c>
      <c r="C818" s="49">
        <v>9935.7250131246401</v>
      </c>
      <c r="D818" s="49">
        <v>1528981.5211429899</v>
      </c>
      <c r="E818" s="55">
        <v>23681.289495326997</v>
      </c>
      <c r="F818" s="1"/>
      <c r="I818" s="44"/>
      <c r="J818" s="44"/>
      <c r="K818" s="44"/>
      <c r="L818" s="43"/>
      <c r="M818" s="42"/>
      <c r="N818" s="42"/>
      <c r="O818" s="42"/>
      <c r="P818" s="42"/>
      <c r="Q818" s="1"/>
    </row>
    <row r="819" spans="1:17" ht="15.75" customHeight="1">
      <c r="A819" s="13" t="s">
        <v>3</v>
      </c>
      <c r="B819" s="54">
        <v>2305155.8669892726</v>
      </c>
      <c r="C819" s="53">
        <v>9819.7067473450788</v>
      </c>
      <c r="D819" s="53">
        <v>1553171.7846712186</v>
      </c>
      <c r="E819" s="57">
        <v>25017.387078839594</v>
      </c>
      <c r="F819" s="1"/>
      <c r="I819" s="44"/>
      <c r="J819" s="51"/>
      <c r="K819" s="51"/>
      <c r="L819" s="43"/>
      <c r="M819" s="42"/>
      <c r="N819" s="42"/>
      <c r="O819" s="42"/>
      <c r="P819" s="42"/>
      <c r="Q819" s="1"/>
    </row>
    <row r="820" spans="1:17">
      <c r="A820" s="9" t="s">
        <v>2</v>
      </c>
      <c r="B820" s="50">
        <v>1731960.3412405965</v>
      </c>
      <c r="C820" s="49">
        <v>58461.41748807492</v>
      </c>
      <c r="D820" s="49">
        <v>2330264.3098651739</v>
      </c>
      <c r="E820" s="55">
        <v>1588.8089756564743</v>
      </c>
      <c r="F820" s="1"/>
      <c r="I820" s="44"/>
      <c r="J820" s="44"/>
      <c r="K820" s="44"/>
      <c r="L820" s="43"/>
      <c r="M820" s="42"/>
      <c r="N820" s="42"/>
      <c r="O820" s="42"/>
      <c r="P820" s="42"/>
      <c r="Q820" s="1"/>
    </row>
    <row r="821" spans="1:17">
      <c r="A821" s="9" t="s">
        <v>1</v>
      </c>
      <c r="B821" s="50">
        <v>1765336.8609983686</v>
      </c>
      <c r="C821" s="49">
        <v>28164.313513673969</v>
      </c>
      <c r="D821" s="49">
        <v>1588821.9190796311</v>
      </c>
      <c r="E821" s="55">
        <v>3182.3805036006247</v>
      </c>
      <c r="F821" s="1"/>
      <c r="I821" s="44"/>
      <c r="J821" s="44"/>
      <c r="K821" s="44"/>
      <c r="L821" s="43"/>
      <c r="M821" s="42"/>
      <c r="N821" s="42"/>
      <c r="O821" s="42"/>
      <c r="P821" s="42"/>
      <c r="Q821" s="1"/>
    </row>
    <row r="822" spans="1:17" ht="15.75" thickBot="1">
      <c r="A822" s="5" t="s">
        <v>0</v>
      </c>
      <c r="B822" s="47">
        <v>2434988.0324280043</v>
      </c>
      <c r="C822" s="46">
        <v>10111.081388596964</v>
      </c>
      <c r="D822" s="46">
        <v>1438697.0126368233</v>
      </c>
      <c r="E822" s="76">
        <v>20246.197599582454</v>
      </c>
      <c r="F822" s="1"/>
      <c r="I822" s="44"/>
      <c r="J822" s="44"/>
      <c r="K822" s="44"/>
      <c r="L822" s="43"/>
      <c r="M822" s="42"/>
      <c r="N822" s="42"/>
      <c r="O822" s="42"/>
      <c r="P822" s="42"/>
      <c r="Q822" s="1"/>
    </row>
    <row r="826" spans="1:17" ht="15.75" thickBot="1"/>
    <row r="827" spans="1:17" ht="36" customHeight="1">
      <c r="A827" s="602" t="s">
        <v>13</v>
      </c>
      <c r="B827" s="594" t="s">
        <v>350</v>
      </c>
      <c r="C827" s="595"/>
      <c r="D827" s="595"/>
      <c r="E827" s="595"/>
      <c r="F827" s="595"/>
      <c r="G827" s="596"/>
    </row>
    <row r="828" spans="1:17" ht="15.75" customHeight="1">
      <c r="A828" s="603"/>
      <c r="B828" s="597" t="s">
        <v>27</v>
      </c>
      <c r="C828" s="598"/>
      <c r="D828" s="599" t="s">
        <v>26</v>
      </c>
      <c r="E828" s="598"/>
      <c r="F828" s="600" t="s">
        <v>9</v>
      </c>
      <c r="G828" s="601"/>
    </row>
    <row r="829" spans="1:17" ht="15.75" thickBot="1">
      <c r="A829" s="604"/>
      <c r="B829" s="16" t="s">
        <v>7</v>
      </c>
      <c r="C829" s="16" t="s">
        <v>8</v>
      </c>
      <c r="D829" s="16" t="s">
        <v>7</v>
      </c>
      <c r="E829" s="16" t="s">
        <v>8</v>
      </c>
      <c r="F829" s="16" t="s">
        <v>7</v>
      </c>
      <c r="G829" s="15" t="s">
        <v>6</v>
      </c>
    </row>
    <row r="830" spans="1:17" ht="15.75" customHeight="1">
      <c r="A830" s="14" t="s">
        <v>5</v>
      </c>
      <c r="B830" s="17">
        <v>1690.6819097999996</v>
      </c>
      <c r="C830" s="12">
        <v>0.24238548188479453</v>
      </c>
      <c r="D830" s="17">
        <v>5284.4962100000048</v>
      </c>
      <c r="E830" s="12">
        <v>0.75761451811520519</v>
      </c>
      <c r="F830" s="17">
        <v>6975.1781198000072</v>
      </c>
      <c r="G830" s="10">
        <v>1</v>
      </c>
    </row>
    <row r="831" spans="1:17">
      <c r="A831" s="9" t="s">
        <v>2</v>
      </c>
      <c r="B831" s="41">
        <v>69.125115799999989</v>
      </c>
      <c r="C831" s="75">
        <v>0.26044379017004832</v>
      </c>
      <c r="D831" s="41">
        <v>196.28768499999995</v>
      </c>
      <c r="E831" s="75">
        <v>0.73955620982995196</v>
      </c>
      <c r="F831" s="41">
        <v>265.41280079999984</v>
      </c>
      <c r="G831" s="74">
        <v>3.8051042746362118E-2</v>
      </c>
    </row>
    <row r="832" spans="1:17">
      <c r="A832" s="9" t="s">
        <v>1</v>
      </c>
      <c r="B832" s="41">
        <v>378.31912699999998</v>
      </c>
      <c r="C832" s="75">
        <v>0.2533311833435643</v>
      </c>
      <c r="D832" s="41">
        <v>1115.0585219999998</v>
      </c>
      <c r="E832" s="75">
        <v>0.7466688166564357</v>
      </c>
      <c r="F832" s="41">
        <v>1493.3776489999998</v>
      </c>
      <c r="G832" s="74">
        <v>0.21409885501860387</v>
      </c>
    </row>
    <row r="833" spans="1:19" ht="15.75" thickBot="1">
      <c r="A833" s="9" t="s">
        <v>0</v>
      </c>
      <c r="B833" s="41">
        <v>1243.2376669999999</v>
      </c>
      <c r="C833" s="75">
        <v>0.23833306603149754</v>
      </c>
      <c r="D833" s="41">
        <v>3973.1500029999993</v>
      </c>
      <c r="E833" s="75">
        <v>0.76166693396850205</v>
      </c>
      <c r="F833" s="41">
        <v>5216.387670000001</v>
      </c>
      <c r="G833" s="74">
        <v>0.74785010223503301</v>
      </c>
    </row>
    <row r="834" spans="1:19" ht="15" customHeight="1">
      <c r="A834" s="13" t="s">
        <v>4</v>
      </c>
      <c r="B834" s="17">
        <v>1074.5062936856527</v>
      </c>
      <c r="C834" s="12">
        <v>0.15218553889434694</v>
      </c>
      <c r="D834" s="17">
        <v>5985.9956534252142</v>
      </c>
      <c r="E834" s="12">
        <v>0.84781446110565351</v>
      </c>
      <c r="F834" s="17">
        <v>7060.5019471108635</v>
      </c>
      <c r="G834" s="10">
        <v>1</v>
      </c>
    </row>
    <row r="835" spans="1:19">
      <c r="A835" s="9" t="s">
        <v>2</v>
      </c>
      <c r="B835" s="41">
        <v>39.226268177505915</v>
      </c>
      <c r="C835" s="75">
        <v>0.16761118243800335</v>
      </c>
      <c r="D835" s="41">
        <v>194.80506318676672</v>
      </c>
      <c r="E835" s="75">
        <v>0.83238881756199679</v>
      </c>
      <c r="F835" s="41">
        <v>234.0313313642726</v>
      </c>
      <c r="G835" s="74">
        <v>3.3146557159443535E-2</v>
      </c>
    </row>
    <row r="836" spans="1:19">
      <c r="A836" s="9" t="s">
        <v>1</v>
      </c>
      <c r="B836" s="41">
        <v>430.54534157498091</v>
      </c>
      <c r="C836" s="75">
        <v>0.2309558473411725</v>
      </c>
      <c r="D836" s="41">
        <v>1433.6436215170463</v>
      </c>
      <c r="E836" s="75">
        <v>0.76904415265882742</v>
      </c>
      <c r="F836" s="41">
        <v>1864.1889630920273</v>
      </c>
      <c r="G836" s="74">
        <v>0.26403065632675704</v>
      </c>
    </row>
    <row r="837" spans="1:19" ht="15.75" thickBot="1">
      <c r="A837" s="9" t="s">
        <v>0</v>
      </c>
      <c r="B837" s="41">
        <v>604.7346839331658</v>
      </c>
      <c r="C837" s="75">
        <v>0.12186625553784584</v>
      </c>
      <c r="D837" s="41">
        <v>4357.5469687214081</v>
      </c>
      <c r="E837" s="75">
        <v>0.87813374446215486</v>
      </c>
      <c r="F837" s="41">
        <v>4962.2816526545703</v>
      </c>
      <c r="G837" s="74">
        <v>0.70282278651380037</v>
      </c>
    </row>
    <row r="838" spans="1:19" ht="15.75" customHeight="1">
      <c r="A838" s="13" t="s">
        <v>3</v>
      </c>
      <c r="B838" s="17">
        <v>1077.9602678948579</v>
      </c>
      <c r="C838" s="12">
        <v>0.17739644050820988</v>
      </c>
      <c r="D838" s="17">
        <v>4998.6005966111634</v>
      </c>
      <c r="E838" s="12">
        <v>0.82260355949179087</v>
      </c>
      <c r="F838" s="17">
        <v>6076.5608645060165</v>
      </c>
      <c r="G838" s="10">
        <v>1</v>
      </c>
    </row>
    <row r="839" spans="1:19">
      <c r="A839" s="9" t="s">
        <v>2</v>
      </c>
      <c r="B839" s="41">
        <v>42.832106712063791</v>
      </c>
      <c r="C839" s="75">
        <v>0.16255806190774408</v>
      </c>
      <c r="D839" s="41">
        <v>220.65594309239393</v>
      </c>
      <c r="E839" s="75">
        <v>0.83744193809225598</v>
      </c>
      <c r="F839" s="41">
        <v>263.48804980445772</v>
      </c>
      <c r="G839" s="74">
        <v>4.3361377542274891E-2</v>
      </c>
    </row>
    <row r="840" spans="1:19">
      <c r="A840" s="9" t="s">
        <v>1</v>
      </c>
      <c r="B840" s="41">
        <v>185.36188884896094</v>
      </c>
      <c r="C840" s="75">
        <v>0.22588044911497668</v>
      </c>
      <c r="D840" s="41">
        <v>635.25755641612602</v>
      </c>
      <c r="E840" s="75">
        <v>0.77411955088502293</v>
      </c>
      <c r="F840" s="41">
        <v>820.61944526508728</v>
      </c>
      <c r="G840" s="74">
        <v>0.13504669229241698</v>
      </c>
    </row>
    <row r="841" spans="1:19" ht="15.75" thickBot="1">
      <c r="A841" s="5" t="s">
        <v>0</v>
      </c>
      <c r="B841" s="39">
        <v>849.76627233383329</v>
      </c>
      <c r="C841" s="73">
        <v>0.17021015710152734</v>
      </c>
      <c r="D841" s="39">
        <v>4142.6870971026483</v>
      </c>
      <c r="E841" s="73">
        <v>0.82978984289847246</v>
      </c>
      <c r="F841" s="39">
        <v>4992.4533694364827</v>
      </c>
      <c r="G841" s="72">
        <v>0.82159193016530996</v>
      </c>
    </row>
    <row r="846" spans="1:19" ht="15.75" thickBot="1"/>
    <row r="847" spans="1:19" ht="28.5" customHeight="1">
      <c r="A847" s="602" t="s">
        <v>13</v>
      </c>
      <c r="B847" s="594" t="s">
        <v>351</v>
      </c>
      <c r="C847" s="595"/>
      <c r="D847" s="595"/>
      <c r="E847" s="595"/>
      <c r="F847" s="595"/>
      <c r="G847" s="595"/>
      <c r="H847" s="595"/>
      <c r="I847" s="595"/>
      <c r="J847" s="595"/>
      <c r="K847" s="595"/>
      <c r="L847" s="595"/>
      <c r="M847" s="595"/>
      <c r="N847" s="595"/>
      <c r="O847" s="595"/>
      <c r="P847" s="595"/>
      <c r="Q847" s="595"/>
      <c r="R847" s="595"/>
      <c r="S847" s="596"/>
    </row>
    <row r="848" spans="1:19" ht="46.5" customHeight="1">
      <c r="A848" s="603"/>
      <c r="B848" s="631" t="s">
        <v>128</v>
      </c>
      <c r="C848" s="632"/>
      <c r="D848" s="633" t="s">
        <v>127</v>
      </c>
      <c r="E848" s="632"/>
      <c r="F848" s="633" t="s">
        <v>126</v>
      </c>
      <c r="G848" s="632"/>
      <c r="H848" s="633" t="s">
        <v>125</v>
      </c>
      <c r="I848" s="632"/>
      <c r="J848" s="633" t="s">
        <v>124</v>
      </c>
      <c r="K848" s="632"/>
      <c r="L848" s="633" t="s">
        <v>123</v>
      </c>
      <c r="M848" s="632"/>
      <c r="N848" s="633" t="s">
        <v>122</v>
      </c>
      <c r="O848" s="632"/>
      <c r="P848" s="633" t="s">
        <v>121</v>
      </c>
      <c r="Q848" s="632"/>
      <c r="R848" s="638" t="s">
        <v>9</v>
      </c>
      <c r="S848" s="639"/>
    </row>
    <row r="849" spans="1:19" ht="15.75" thickBot="1">
      <c r="A849" s="604"/>
      <c r="B849" s="16" t="s">
        <v>7</v>
      </c>
      <c r="C849" s="16" t="s">
        <v>8</v>
      </c>
      <c r="D849" s="16" t="s">
        <v>7</v>
      </c>
      <c r="E849" s="16" t="s">
        <v>8</v>
      </c>
      <c r="F849" s="16" t="s">
        <v>7</v>
      </c>
      <c r="G849" s="16" t="s">
        <v>8</v>
      </c>
      <c r="H849" s="16" t="s">
        <v>7</v>
      </c>
      <c r="I849" s="16" t="s">
        <v>8</v>
      </c>
      <c r="J849" s="16" t="s">
        <v>7</v>
      </c>
      <c r="K849" s="16" t="s">
        <v>8</v>
      </c>
      <c r="L849" s="16" t="s">
        <v>7</v>
      </c>
      <c r="M849" s="16" t="s">
        <v>8</v>
      </c>
      <c r="N849" s="16" t="s">
        <v>7</v>
      </c>
      <c r="O849" s="16" t="s">
        <v>8</v>
      </c>
      <c r="P849" s="16" t="s">
        <v>7</v>
      </c>
      <c r="Q849" s="16" t="s">
        <v>8</v>
      </c>
      <c r="R849" s="16" t="s">
        <v>7</v>
      </c>
      <c r="S849" s="15" t="s">
        <v>6</v>
      </c>
    </row>
    <row r="850" spans="1:19" ht="15.75" customHeight="1">
      <c r="A850" s="14" t="s">
        <v>5</v>
      </c>
      <c r="B850" s="17">
        <v>395.53789599999999</v>
      </c>
      <c r="C850" s="12">
        <v>0.23395169351920869</v>
      </c>
      <c r="D850" s="17">
        <v>238.00087199999999</v>
      </c>
      <c r="E850" s="12">
        <v>0.14077211722703914</v>
      </c>
      <c r="F850" s="17">
        <v>448.20443599999999</v>
      </c>
      <c r="G850" s="10">
        <v>0.26510275729691851</v>
      </c>
      <c r="H850" s="17">
        <v>6.108333</v>
      </c>
      <c r="I850" s="12">
        <v>3.6129404145115564E-3</v>
      </c>
      <c r="J850" s="17">
        <v>312.23906700000003</v>
      </c>
      <c r="K850" s="12">
        <v>0.18468232562856049</v>
      </c>
      <c r="L850" s="17">
        <v>273.08408579999997</v>
      </c>
      <c r="M850" s="10">
        <v>0.1615230423990901</v>
      </c>
      <c r="N850" s="17">
        <v>17.50722</v>
      </c>
      <c r="O850" s="12">
        <v>1.0355123514671681E-2</v>
      </c>
      <c r="P850" s="17">
        <v>0</v>
      </c>
      <c r="Q850" s="12">
        <v>0</v>
      </c>
      <c r="R850" s="17">
        <v>1690.6819097999996</v>
      </c>
      <c r="S850" s="10">
        <v>1</v>
      </c>
    </row>
    <row r="851" spans="1:19">
      <c r="A851" s="9" t="s">
        <v>2</v>
      </c>
      <c r="B851" s="31">
        <v>13.924871</v>
      </c>
      <c r="C851" s="71">
        <v>0.20144445096177332</v>
      </c>
      <c r="D851" s="31">
        <v>24.104504999999996</v>
      </c>
      <c r="E851" s="71">
        <v>0.34870834892691782</v>
      </c>
      <c r="F851" s="31">
        <v>12.216666</v>
      </c>
      <c r="G851" s="71">
        <v>0.1767326659581524</v>
      </c>
      <c r="H851" s="31">
        <v>6.108333</v>
      </c>
      <c r="I851" s="71">
        <v>8.8366332979076201E-2</v>
      </c>
      <c r="J851" s="31">
        <v>4.7735190000000003</v>
      </c>
      <c r="K851" s="71">
        <v>6.9056217045787585E-2</v>
      </c>
      <c r="L851" s="31">
        <v>7.9972218000000002</v>
      </c>
      <c r="M851" s="71">
        <v>0.1156919841282928</v>
      </c>
      <c r="N851" s="31">
        <v>0</v>
      </c>
      <c r="O851" s="71">
        <v>0</v>
      </c>
      <c r="P851" s="31">
        <v>0</v>
      </c>
      <c r="Q851" s="71">
        <v>0</v>
      </c>
      <c r="R851" s="31">
        <v>69.125115799999989</v>
      </c>
      <c r="S851" s="70">
        <v>4.0885938034421379E-2</v>
      </c>
    </row>
    <row r="852" spans="1:19">
      <c r="A852" s="9" t="s">
        <v>1</v>
      </c>
      <c r="B852" s="31">
        <v>17.50722</v>
      </c>
      <c r="C852" s="71">
        <v>4.6276327974292458E-2</v>
      </c>
      <c r="D852" s="31">
        <v>0</v>
      </c>
      <c r="E852" s="71">
        <v>0</v>
      </c>
      <c r="F852" s="31">
        <v>112.20587</v>
      </c>
      <c r="G852" s="71">
        <v>0.29659052897951949</v>
      </c>
      <c r="H852" s="31">
        <v>0</v>
      </c>
      <c r="I852" s="71">
        <v>0</v>
      </c>
      <c r="J852" s="31">
        <v>53.273263</v>
      </c>
      <c r="K852" s="71">
        <v>0.14081567438169734</v>
      </c>
      <c r="L852" s="31">
        <v>177.82555399999998</v>
      </c>
      <c r="M852" s="71">
        <v>0.47004114069019826</v>
      </c>
      <c r="N852" s="31">
        <v>17.50722</v>
      </c>
      <c r="O852" s="71">
        <v>4.6276327974292458E-2</v>
      </c>
      <c r="P852" s="31">
        <v>0</v>
      </c>
      <c r="Q852" s="71">
        <v>0</v>
      </c>
      <c r="R852" s="31">
        <v>378.31912699999998</v>
      </c>
      <c r="S852" s="70">
        <v>0.22376718222811853</v>
      </c>
    </row>
    <row r="853" spans="1:19" ht="15.75" thickBot="1">
      <c r="A853" s="9" t="s">
        <v>0</v>
      </c>
      <c r="B853" s="31">
        <v>364.10580499999998</v>
      </c>
      <c r="C853" s="71">
        <v>0.29286902630500822</v>
      </c>
      <c r="D853" s="31">
        <v>213.896367</v>
      </c>
      <c r="E853" s="71">
        <v>0.17204784948009466</v>
      </c>
      <c r="F853" s="31">
        <v>323.78189999999995</v>
      </c>
      <c r="G853" s="71">
        <v>0.26043443550202539</v>
      </c>
      <c r="H853" s="31">
        <v>0</v>
      </c>
      <c r="I853" s="71">
        <v>0</v>
      </c>
      <c r="J853" s="31">
        <v>254.192285</v>
      </c>
      <c r="K853" s="71">
        <v>0.20445992889949982</v>
      </c>
      <c r="L853" s="31">
        <v>87.261309999999995</v>
      </c>
      <c r="M853" s="71">
        <v>7.0188759813372026E-2</v>
      </c>
      <c r="N853" s="31">
        <v>0</v>
      </c>
      <c r="O853" s="71">
        <v>0</v>
      </c>
      <c r="P853" s="31">
        <v>0</v>
      </c>
      <c r="Q853" s="71">
        <v>0</v>
      </c>
      <c r="R853" s="31">
        <v>1243.2376669999999</v>
      </c>
      <c r="S853" s="70">
        <v>0.73534687973746016</v>
      </c>
    </row>
    <row r="854" spans="1:19" ht="15" customHeight="1">
      <c r="A854" s="13" t="s">
        <v>4</v>
      </c>
      <c r="B854" s="17">
        <v>248.82833597366604</v>
      </c>
      <c r="C854" s="12">
        <v>0.23157457283955274</v>
      </c>
      <c r="D854" s="17">
        <v>158.57236819094848</v>
      </c>
      <c r="E854" s="12">
        <v>0.14757695615446892</v>
      </c>
      <c r="F854" s="17">
        <v>234.23422984565047</v>
      </c>
      <c r="G854" s="10">
        <v>0.21799242240099506</v>
      </c>
      <c r="H854" s="17">
        <v>0</v>
      </c>
      <c r="I854" s="12">
        <v>0</v>
      </c>
      <c r="J854" s="17">
        <v>386.49559743514146</v>
      </c>
      <c r="K854" s="12">
        <v>0.35969598289594656</v>
      </c>
      <c r="L854" s="17">
        <v>5.3796992481203008</v>
      </c>
      <c r="M854" s="10">
        <v>5.0066707656662027E-3</v>
      </c>
      <c r="N854" s="17">
        <v>0</v>
      </c>
      <c r="O854" s="12">
        <v>0</v>
      </c>
      <c r="P854" s="17">
        <v>40.996062992125985</v>
      </c>
      <c r="Q854" s="12">
        <v>3.8153394943370528E-2</v>
      </c>
      <c r="R854" s="17">
        <v>1074.5062936856527</v>
      </c>
      <c r="S854" s="10">
        <v>1</v>
      </c>
    </row>
    <row r="855" spans="1:19">
      <c r="A855" s="9" t="s">
        <v>2</v>
      </c>
      <c r="B855" s="31">
        <v>0</v>
      </c>
      <c r="C855" s="71">
        <v>0</v>
      </c>
      <c r="D855" s="31">
        <v>10.560254803675857</v>
      </c>
      <c r="E855" s="71">
        <v>0.26921385322429364</v>
      </c>
      <c r="F855" s="31">
        <v>0</v>
      </c>
      <c r="G855" s="71">
        <v>0</v>
      </c>
      <c r="H855" s="31">
        <v>0</v>
      </c>
      <c r="I855" s="71">
        <v>0</v>
      </c>
      <c r="J855" s="31">
        <v>23.286314125709755</v>
      </c>
      <c r="K855" s="71">
        <v>0.59364082304069798</v>
      </c>
      <c r="L855" s="31">
        <v>5.3796992481203008</v>
      </c>
      <c r="M855" s="71">
        <v>0.13714532373500826</v>
      </c>
      <c r="N855" s="31">
        <v>0</v>
      </c>
      <c r="O855" s="71">
        <v>0</v>
      </c>
      <c r="P855" s="31">
        <v>0</v>
      </c>
      <c r="Q855" s="71">
        <v>0</v>
      </c>
      <c r="R855" s="31">
        <v>39.226268177505915</v>
      </c>
      <c r="S855" s="70">
        <v>3.6506317746130931E-2</v>
      </c>
    </row>
    <row r="856" spans="1:19">
      <c r="A856" s="9" t="s">
        <v>1</v>
      </c>
      <c r="B856" s="31">
        <v>91.661645295314003</v>
      </c>
      <c r="C856" s="71">
        <v>0.21289661376896077</v>
      </c>
      <c r="D856" s="31">
        <v>0</v>
      </c>
      <c r="E856" s="71">
        <v>0</v>
      </c>
      <c r="F856" s="31">
        <v>129.97871395239872</v>
      </c>
      <c r="G856" s="71">
        <v>0.30189320705903511</v>
      </c>
      <c r="H856" s="31">
        <v>0</v>
      </c>
      <c r="I856" s="71">
        <v>0</v>
      </c>
      <c r="J856" s="31">
        <v>167.90891933514229</v>
      </c>
      <c r="K856" s="71">
        <v>0.3899912578798635</v>
      </c>
      <c r="L856" s="31">
        <v>0</v>
      </c>
      <c r="M856" s="71">
        <v>0</v>
      </c>
      <c r="N856" s="31">
        <v>0</v>
      </c>
      <c r="O856" s="71">
        <v>0</v>
      </c>
      <c r="P856" s="31">
        <v>40.996062992125985</v>
      </c>
      <c r="Q856" s="71">
        <v>9.521892129214081E-2</v>
      </c>
      <c r="R856" s="31">
        <v>430.54534157498091</v>
      </c>
      <c r="S856" s="70">
        <v>0.40069131665871571</v>
      </c>
    </row>
    <row r="857" spans="1:19" ht="15.75" thickBot="1">
      <c r="A857" s="9" t="s">
        <v>0</v>
      </c>
      <c r="B857" s="31">
        <v>157.16669067835204</v>
      </c>
      <c r="C857" s="71">
        <v>0.25989362749321293</v>
      </c>
      <c r="D857" s="31">
        <v>148.01211338727262</v>
      </c>
      <c r="E857" s="71">
        <v>0.24475545610284632</v>
      </c>
      <c r="F857" s="31">
        <v>104.25551589325174</v>
      </c>
      <c r="G857" s="71">
        <v>0.17239877034202636</v>
      </c>
      <c r="H857" s="31">
        <v>0</v>
      </c>
      <c r="I857" s="71">
        <v>0</v>
      </c>
      <c r="J857" s="31">
        <v>195.30036397428947</v>
      </c>
      <c r="K857" s="71">
        <v>0.32295214606191452</v>
      </c>
      <c r="L857" s="31">
        <v>0</v>
      </c>
      <c r="M857" s="71">
        <v>0</v>
      </c>
      <c r="N857" s="31">
        <v>0</v>
      </c>
      <c r="O857" s="71">
        <v>0</v>
      </c>
      <c r="P857" s="31">
        <v>0</v>
      </c>
      <c r="Q857" s="71">
        <v>0</v>
      </c>
      <c r="R857" s="31">
        <v>604.7346839331658</v>
      </c>
      <c r="S857" s="70">
        <v>0.56280236559515329</v>
      </c>
    </row>
    <row r="858" spans="1:19" ht="15" customHeight="1">
      <c r="A858" s="13" t="s">
        <v>3</v>
      </c>
      <c r="B858" s="17">
        <v>157.70013818185859</v>
      </c>
      <c r="C858" s="12">
        <v>0.14629494507235433</v>
      </c>
      <c r="D858" s="17">
        <v>259.61912597935503</v>
      </c>
      <c r="E858" s="12">
        <v>0.24084294543282531</v>
      </c>
      <c r="F858" s="17">
        <v>260.84950796729481</v>
      </c>
      <c r="G858" s="10">
        <v>0.24198434370564162</v>
      </c>
      <c r="H858" s="17">
        <v>0</v>
      </c>
      <c r="I858" s="12">
        <v>0</v>
      </c>
      <c r="J858" s="17">
        <v>226.4929655733431</v>
      </c>
      <c r="K858" s="12">
        <v>0.21011253598025448</v>
      </c>
      <c r="L858" s="17">
        <v>129.2613554718169</v>
      </c>
      <c r="M858" s="10">
        <v>0.11991291267557626</v>
      </c>
      <c r="N858" s="17">
        <v>0</v>
      </c>
      <c r="O858" s="12">
        <v>0</v>
      </c>
      <c r="P858" s="17">
        <v>44.037174721189594</v>
      </c>
      <c r="Q858" s="12">
        <v>4.0852317133348082E-2</v>
      </c>
      <c r="R858" s="17">
        <v>1077.9602678948579</v>
      </c>
      <c r="S858" s="10">
        <v>1</v>
      </c>
    </row>
    <row r="859" spans="1:19">
      <c r="A859" s="9" t="s">
        <v>2</v>
      </c>
      <c r="B859" s="31">
        <v>5.4680511182108624</v>
      </c>
      <c r="C859" s="71">
        <v>0.12766243684835538</v>
      </c>
      <c r="D859" s="31">
        <v>0</v>
      </c>
      <c r="E859" s="71">
        <v>0</v>
      </c>
      <c r="F859" s="31">
        <v>9.652764494007041</v>
      </c>
      <c r="G859" s="71">
        <v>0.2253628232413866</v>
      </c>
      <c r="H859" s="31">
        <v>0</v>
      </c>
      <c r="I859" s="71">
        <v>0</v>
      </c>
      <c r="J859" s="31">
        <v>18.506809307128798</v>
      </c>
      <c r="K859" s="71">
        <v>0.43207796038471069</v>
      </c>
      <c r="L859" s="31">
        <v>9.2044817927170861</v>
      </c>
      <c r="M859" s="71">
        <v>0.21489677952554728</v>
      </c>
      <c r="N859" s="31">
        <v>0</v>
      </c>
      <c r="O859" s="71">
        <v>0</v>
      </c>
      <c r="P859" s="31">
        <v>0</v>
      </c>
      <c r="Q859" s="71">
        <v>0</v>
      </c>
      <c r="R859" s="31">
        <v>42.832106712063791</v>
      </c>
      <c r="S859" s="70">
        <v>3.9734402081173507E-2</v>
      </c>
    </row>
    <row r="860" spans="1:19">
      <c r="A860" s="9" t="s">
        <v>1</v>
      </c>
      <c r="B860" s="31">
        <v>27.601993355481728</v>
      </c>
      <c r="C860" s="71">
        <v>0.14890867549355172</v>
      </c>
      <c r="D860" s="31">
        <v>25.562348517251213</v>
      </c>
      <c r="E860" s="71">
        <v>0.13790509298316586</v>
      </c>
      <c r="F860" s="31">
        <v>27.675630252100841</v>
      </c>
      <c r="G860" s="71">
        <v>0.14930593566972047</v>
      </c>
      <c r="H860" s="31">
        <v>0</v>
      </c>
      <c r="I860" s="71">
        <v>0</v>
      </c>
      <c r="J860" s="31">
        <v>75.512988152698554</v>
      </c>
      <c r="K860" s="71">
        <v>0.40738141276834455</v>
      </c>
      <c r="L860" s="31">
        <v>29.008928571428573</v>
      </c>
      <c r="M860" s="71">
        <v>0.15649888308521726</v>
      </c>
      <c r="N860" s="31">
        <v>0</v>
      </c>
      <c r="O860" s="71">
        <v>0</v>
      </c>
      <c r="P860" s="31">
        <v>0</v>
      </c>
      <c r="Q860" s="71">
        <v>0</v>
      </c>
      <c r="R860" s="31">
        <v>185.36188884896094</v>
      </c>
      <c r="S860" s="70">
        <v>0.17195614195591183</v>
      </c>
    </row>
    <row r="861" spans="1:19" ht="15.75" thickBot="1">
      <c r="A861" s="5" t="s">
        <v>0</v>
      </c>
      <c r="B861" s="30">
        <v>124.63009370816599</v>
      </c>
      <c r="C861" s="69">
        <v>0.14666396839436419</v>
      </c>
      <c r="D861" s="30">
        <v>234.05677746210381</v>
      </c>
      <c r="E861" s="69">
        <v>0.27543665250361204</v>
      </c>
      <c r="F861" s="30">
        <v>223.52111322118697</v>
      </c>
      <c r="G861" s="69">
        <v>0.26303834418763095</v>
      </c>
      <c r="H861" s="30">
        <v>0</v>
      </c>
      <c r="I861" s="69">
        <v>0</v>
      </c>
      <c r="J861" s="30">
        <v>132.47316811351573</v>
      </c>
      <c r="K861" s="69">
        <v>0.15589365267426528</v>
      </c>
      <c r="L861" s="30">
        <v>91.047945107671211</v>
      </c>
      <c r="M861" s="69">
        <v>0.10714469151336563</v>
      </c>
      <c r="N861" s="30">
        <v>0</v>
      </c>
      <c r="O861" s="69">
        <v>0</v>
      </c>
      <c r="P861" s="30">
        <v>44.037174721189594</v>
      </c>
      <c r="Q861" s="69">
        <v>5.1822690726761926E-2</v>
      </c>
      <c r="R861" s="30">
        <v>849.76627233383329</v>
      </c>
      <c r="S861" s="68">
        <v>0.78830945596291468</v>
      </c>
    </row>
    <row r="866" spans="1:7" ht="15.75" thickBot="1"/>
    <row r="867" spans="1:7" ht="29.25" customHeight="1">
      <c r="A867" s="602" t="s">
        <v>13</v>
      </c>
      <c r="B867" s="594" t="s">
        <v>352</v>
      </c>
      <c r="C867" s="595"/>
      <c r="D867" s="595"/>
      <c r="E867" s="595"/>
      <c r="F867" s="595"/>
      <c r="G867" s="596"/>
    </row>
    <row r="868" spans="1:7">
      <c r="A868" s="603"/>
      <c r="B868" s="597" t="s">
        <v>27</v>
      </c>
      <c r="C868" s="598"/>
      <c r="D868" s="599" t="s">
        <v>26</v>
      </c>
      <c r="E868" s="598"/>
      <c r="F868" s="600" t="s">
        <v>9</v>
      </c>
      <c r="G868" s="601"/>
    </row>
    <row r="869" spans="1:7" ht="15.75" thickBot="1">
      <c r="A869" s="604"/>
      <c r="B869" s="16" t="s">
        <v>7</v>
      </c>
      <c r="C869" s="16" t="s">
        <v>8</v>
      </c>
      <c r="D869" s="16" t="s">
        <v>7</v>
      </c>
      <c r="E869" s="16" t="s">
        <v>8</v>
      </c>
      <c r="F869" s="16" t="s">
        <v>7</v>
      </c>
      <c r="G869" s="15" t="s">
        <v>6</v>
      </c>
    </row>
    <row r="870" spans="1:7" ht="15" customHeight="1">
      <c r="A870" s="14" t="s">
        <v>5</v>
      </c>
      <c r="B870" s="35">
        <v>3068.0985020000007</v>
      </c>
      <c r="C870" s="12">
        <v>0.43985952033121267</v>
      </c>
      <c r="D870" s="35">
        <v>3907.0796178000001</v>
      </c>
      <c r="E870" s="12">
        <v>0.56014047966878644</v>
      </c>
      <c r="F870" s="35">
        <v>6975.1781198000072</v>
      </c>
      <c r="G870" s="10">
        <v>1</v>
      </c>
    </row>
    <row r="871" spans="1:7">
      <c r="A871" s="9" t="s">
        <v>2</v>
      </c>
      <c r="B871" s="41">
        <v>117.383776</v>
      </c>
      <c r="C871" s="8">
        <v>0.4422687061294146</v>
      </c>
      <c r="D871" s="40">
        <v>148.0290248</v>
      </c>
      <c r="E871" s="8">
        <v>0.55773129387058595</v>
      </c>
      <c r="F871" s="40">
        <v>265.41280079999984</v>
      </c>
      <c r="G871" s="6">
        <v>3.8051042746362118E-2</v>
      </c>
    </row>
    <row r="872" spans="1:7">
      <c r="A872" s="9" t="s">
        <v>1</v>
      </c>
      <c r="B872" s="41">
        <v>445.94203899999997</v>
      </c>
      <c r="C872" s="8">
        <v>0.29861303957415797</v>
      </c>
      <c r="D872" s="40">
        <v>1047.43561</v>
      </c>
      <c r="E872" s="8">
        <v>0.70138696042584214</v>
      </c>
      <c r="F872" s="40">
        <v>1493.3776489999998</v>
      </c>
      <c r="G872" s="6">
        <v>0.21409885501860387</v>
      </c>
    </row>
    <row r="873" spans="1:7" ht="15.75" thickBot="1">
      <c r="A873" s="9" t="s">
        <v>0</v>
      </c>
      <c r="B873" s="41">
        <v>2504.7726870000001</v>
      </c>
      <c r="C873" s="8">
        <v>0.48017379946763034</v>
      </c>
      <c r="D873" s="40">
        <v>2711.6149830000008</v>
      </c>
      <c r="E873" s="8">
        <v>0.51982620053236961</v>
      </c>
      <c r="F873" s="40">
        <v>5216.387670000001</v>
      </c>
      <c r="G873" s="6">
        <v>0.74785010223503301</v>
      </c>
    </row>
    <row r="874" spans="1:7" ht="15" customHeight="1">
      <c r="A874" s="13" t="s">
        <v>4</v>
      </c>
      <c r="B874" s="35">
        <v>2273.2889632903466</v>
      </c>
      <c r="C874" s="12">
        <v>0.32197271246707465</v>
      </c>
      <c r="D874" s="35">
        <v>4787.2129838205246</v>
      </c>
      <c r="E874" s="12">
        <v>0.6780272875329264</v>
      </c>
      <c r="F874" s="35">
        <v>7060.5019471108635</v>
      </c>
      <c r="G874" s="10">
        <v>1</v>
      </c>
    </row>
    <row r="875" spans="1:7">
      <c r="A875" s="9" t="s">
        <v>2</v>
      </c>
      <c r="B875" s="41">
        <v>57.534145391727911</v>
      </c>
      <c r="C875" s="8">
        <v>0.24583949959322035</v>
      </c>
      <c r="D875" s="40">
        <v>176.49718597254474</v>
      </c>
      <c r="E875" s="8">
        <v>0.75416050040677984</v>
      </c>
      <c r="F875" s="40">
        <v>234.0313313642726</v>
      </c>
      <c r="G875" s="6">
        <v>3.3146557159443535E-2</v>
      </c>
    </row>
    <row r="876" spans="1:7">
      <c r="A876" s="9" t="s">
        <v>1</v>
      </c>
      <c r="B876" s="41">
        <v>510.25654956233888</v>
      </c>
      <c r="C876" s="8">
        <v>0.27371503622465637</v>
      </c>
      <c r="D876" s="40">
        <v>1353.9324135296883</v>
      </c>
      <c r="E876" s="8">
        <v>0.72628496377534357</v>
      </c>
      <c r="F876" s="40">
        <v>1864.1889630920273</v>
      </c>
      <c r="G876" s="6">
        <v>0.26403065632675704</v>
      </c>
    </row>
    <row r="877" spans="1:7" ht="15.75" thickBot="1">
      <c r="A877" s="9" t="s">
        <v>0</v>
      </c>
      <c r="B877" s="41">
        <v>1705.4982683362798</v>
      </c>
      <c r="C877" s="8">
        <v>0.34369235519389035</v>
      </c>
      <c r="D877" s="40">
        <v>3256.7833843182943</v>
      </c>
      <c r="E877" s="8">
        <v>0.65630764480611048</v>
      </c>
      <c r="F877" s="40">
        <v>4962.2816526545703</v>
      </c>
      <c r="G877" s="6">
        <v>0.70282278651380037</v>
      </c>
    </row>
    <row r="878" spans="1:7" ht="15" customHeight="1">
      <c r="A878" s="13" t="s">
        <v>3</v>
      </c>
      <c r="B878" s="35">
        <v>1654.7438382797552</v>
      </c>
      <c r="C878" s="12">
        <v>0.27231585022793559</v>
      </c>
      <c r="D878" s="35">
        <v>4421.8170262262656</v>
      </c>
      <c r="E878" s="12">
        <v>0.72768414977206519</v>
      </c>
      <c r="F878" s="35">
        <v>6076.5608645060165</v>
      </c>
      <c r="G878" s="10">
        <v>1</v>
      </c>
    </row>
    <row r="879" spans="1:7">
      <c r="A879" s="9" t="s">
        <v>2</v>
      </c>
      <c r="B879" s="41">
        <v>95.24024284967777</v>
      </c>
      <c r="C879" s="8">
        <v>0.36145943969890992</v>
      </c>
      <c r="D879" s="40">
        <v>168.24780695477992</v>
      </c>
      <c r="E879" s="8">
        <v>0.63854056030108997</v>
      </c>
      <c r="F879" s="40">
        <v>263.48804980445772</v>
      </c>
      <c r="G879" s="6">
        <v>4.3361377542274891E-2</v>
      </c>
    </row>
    <row r="880" spans="1:7">
      <c r="A880" s="9" t="s">
        <v>1</v>
      </c>
      <c r="B880" s="41">
        <v>195.36273599528832</v>
      </c>
      <c r="C880" s="8">
        <v>0.23806739789376999</v>
      </c>
      <c r="D880" s="40">
        <v>625.25670926979865</v>
      </c>
      <c r="E880" s="8">
        <v>0.76193260210622971</v>
      </c>
      <c r="F880" s="40">
        <v>820.61944526508728</v>
      </c>
      <c r="G880" s="6">
        <v>0.13504669229241698</v>
      </c>
    </row>
    <row r="881" spans="1:23" ht="15.75" thickBot="1">
      <c r="A881" s="5" t="s">
        <v>0</v>
      </c>
      <c r="B881" s="39">
        <v>1364.1408594347879</v>
      </c>
      <c r="C881" s="4">
        <v>0.27324058103095789</v>
      </c>
      <c r="D881" s="38">
        <v>3628.3125100016928</v>
      </c>
      <c r="E881" s="4">
        <v>0.72675941896904173</v>
      </c>
      <c r="F881" s="38">
        <v>4992.4533694364827</v>
      </c>
      <c r="G881" s="2">
        <v>0.82159193016530996</v>
      </c>
    </row>
    <row r="884" spans="1:23" ht="15.75" thickBot="1"/>
    <row r="885" spans="1:23" ht="15" customHeight="1">
      <c r="A885" s="602" t="s">
        <v>13</v>
      </c>
      <c r="B885" s="594" t="s">
        <v>353</v>
      </c>
      <c r="C885" s="595"/>
      <c r="D885" s="595"/>
      <c r="E885" s="595"/>
      <c r="F885" s="595"/>
      <c r="G885" s="595"/>
      <c r="H885" s="595"/>
      <c r="I885" s="595"/>
      <c r="J885" s="595"/>
      <c r="K885" s="595"/>
      <c r="L885" s="595"/>
      <c r="M885" s="595"/>
      <c r="N885" s="595"/>
      <c r="O885" s="595"/>
      <c r="P885" s="595"/>
      <c r="Q885" s="595"/>
      <c r="R885" s="595"/>
      <c r="S885" s="595"/>
      <c r="T885" s="595"/>
      <c r="U885" s="595"/>
      <c r="V885" s="595"/>
      <c r="W885" s="596"/>
    </row>
    <row r="886" spans="1:23" ht="15.75">
      <c r="A886" s="603"/>
      <c r="B886" s="637" t="s">
        <v>69</v>
      </c>
      <c r="C886" s="636"/>
      <c r="D886" s="635" t="s">
        <v>68</v>
      </c>
      <c r="E886" s="636"/>
      <c r="F886" s="635" t="s">
        <v>67</v>
      </c>
      <c r="G886" s="636"/>
      <c r="H886" s="635" t="s">
        <v>66</v>
      </c>
      <c r="I886" s="636"/>
      <c r="J886" s="635" t="s">
        <v>65</v>
      </c>
      <c r="K886" s="636"/>
      <c r="L886" s="635" t="s">
        <v>64</v>
      </c>
      <c r="M886" s="636"/>
      <c r="N886" s="635" t="s">
        <v>63</v>
      </c>
      <c r="O886" s="636"/>
      <c r="P886" s="635" t="s">
        <v>62</v>
      </c>
      <c r="Q886" s="636"/>
      <c r="R886" s="635" t="s">
        <v>61</v>
      </c>
      <c r="S886" s="636"/>
      <c r="T886" s="635" t="s">
        <v>60</v>
      </c>
      <c r="U886" s="636"/>
      <c r="V886" s="640" t="s">
        <v>9</v>
      </c>
      <c r="W886" s="641"/>
    </row>
    <row r="887" spans="1:23" ht="15.75" thickBot="1">
      <c r="A887" s="604"/>
      <c r="B887" s="16" t="s">
        <v>7</v>
      </c>
      <c r="C887" s="16" t="s">
        <v>8</v>
      </c>
      <c r="D887" s="16" t="s">
        <v>7</v>
      </c>
      <c r="E887" s="16" t="s">
        <v>8</v>
      </c>
      <c r="F887" s="16" t="s">
        <v>7</v>
      </c>
      <c r="G887" s="16" t="s">
        <v>8</v>
      </c>
      <c r="H887" s="16" t="s">
        <v>7</v>
      </c>
      <c r="I887" s="16" t="s">
        <v>8</v>
      </c>
      <c r="J887" s="16" t="s">
        <v>7</v>
      </c>
      <c r="K887" s="16" t="s">
        <v>8</v>
      </c>
      <c r="L887" s="16" t="s">
        <v>7</v>
      </c>
      <c r="M887" s="16" t="s">
        <v>8</v>
      </c>
      <c r="N887" s="16" t="s">
        <v>7</v>
      </c>
      <c r="O887" s="16" t="s">
        <v>8</v>
      </c>
      <c r="P887" s="16" t="s">
        <v>7</v>
      </c>
      <c r="Q887" s="16" t="s">
        <v>8</v>
      </c>
      <c r="R887" s="16" t="s">
        <v>7</v>
      </c>
      <c r="S887" s="16" t="s">
        <v>8</v>
      </c>
      <c r="T887" s="16" t="s">
        <v>7</v>
      </c>
      <c r="U887" s="16" t="s">
        <v>8</v>
      </c>
      <c r="V887" s="16" t="s">
        <v>7</v>
      </c>
      <c r="W887" s="15" t="s">
        <v>6</v>
      </c>
    </row>
    <row r="888" spans="1:23" ht="15" customHeight="1">
      <c r="A888" s="14" t="s">
        <v>5</v>
      </c>
      <c r="B888" s="35">
        <v>0</v>
      </c>
      <c r="C888" s="12">
        <v>0</v>
      </c>
      <c r="D888" s="35">
        <v>1128.5674147999998</v>
      </c>
      <c r="E888" s="12">
        <v>0.1617976480910796</v>
      </c>
      <c r="F888" s="35">
        <v>693.37040400000001</v>
      </c>
      <c r="G888" s="12">
        <v>9.9405404721031043E-2</v>
      </c>
      <c r="H888" s="35">
        <v>1173.0050000000001</v>
      </c>
      <c r="I888" s="12">
        <v>0.16816846535721625</v>
      </c>
      <c r="J888" s="35">
        <v>567.66482599999995</v>
      </c>
      <c r="K888" s="12">
        <v>8.1383559853275264E-2</v>
      </c>
      <c r="L888" s="35">
        <v>0</v>
      </c>
      <c r="M888" s="12">
        <v>0</v>
      </c>
      <c r="N888" s="35">
        <v>0</v>
      </c>
      <c r="O888" s="12">
        <v>0</v>
      </c>
      <c r="P888" s="35">
        <v>0</v>
      </c>
      <c r="Q888" s="12">
        <v>0</v>
      </c>
      <c r="R888" s="35">
        <v>0</v>
      </c>
      <c r="S888" s="12">
        <v>0</v>
      </c>
      <c r="T888" s="35">
        <v>3412.570475</v>
      </c>
      <c r="U888" s="12">
        <v>0.48924492197739683</v>
      </c>
      <c r="V888" s="35">
        <v>6975.1781198000072</v>
      </c>
      <c r="W888" s="10">
        <v>1</v>
      </c>
    </row>
    <row r="889" spans="1:23">
      <c r="A889" s="9" t="s">
        <v>2</v>
      </c>
      <c r="B889" s="22">
        <v>0</v>
      </c>
      <c r="C889" s="8">
        <v>0</v>
      </c>
      <c r="D889" s="22">
        <v>27.916080799999996</v>
      </c>
      <c r="E889" s="8">
        <v>0.10517985837855644</v>
      </c>
      <c r="F889" s="22">
        <v>24.921067999999998</v>
      </c>
      <c r="G889" s="8">
        <v>9.389550136573524E-2</v>
      </c>
      <c r="H889" s="22">
        <v>84.802332000000007</v>
      </c>
      <c r="I889" s="8">
        <v>0.31951108516390764</v>
      </c>
      <c r="J889" s="22">
        <v>6.108333</v>
      </c>
      <c r="K889" s="8">
        <v>2.3014462684499141E-2</v>
      </c>
      <c r="L889" s="22">
        <v>0</v>
      </c>
      <c r="M889" s="8">
        <v>0</v>
      </c>
      <c r="N889" s="22">
        <v>0</v>
      </c>
      <c r="O889" s="8">
        <v>0</v>
      </c>
      <c r="P889" s="22">
        <v>0</v>
      </c>
      <c r="Q889" s="8">
        <v>0</v>
      </c>
      <c r="R889" s="22">
        <v>0</v>
      </c>
      <c r="S889" s="8">
        <v>0</v>
      </c>
      <c r="T889" s="22">
        <v>121.664987</v>
      </c>
      <c r="U889" s="8">
        <v>0.45839909240730214</v>
      </c>
      <c r="V889" s="22">
        <v>265.41280079999984</v>
      </c>
      <c r="W889" s="6">
        <v>3.8051042746362118E-2</v>
      </c>
    </row>
    <row r="890" spans="1:23">
      <c r="A890" s="9" t="s">
        <v>1</v>
      </c>
      <c r="B890" s="22">
        <v>0</v>
      </c>
      <c r="C890" s="8">
        <v>0</v>
      </c>
      <c r="D890" s="22">
        <v>196.6019</v>
      </c>
      <c r="E890" s="8">
        <v>0.13164915125899276</v>
      </c>
      <c r="F890" s="22">
        <v>248.78174100000001</v>
      </c>
      <c r="G890" s="8">
        <v>0.1665899721792341</v>
      </c>
      <c r="H890" s="22">
        <v>218.90934999999999</v>
      </c>
      <c r="I890" s="8">
        <v>0.14658673252983714</v>
      </c>
      <c r="J890" s="22">
        <v>129.08212599999999</v>
      </c>
      <c r="K890" s="8">
        <v>8.6436358603891233E-2</v>
      </c>
      <c r="L890" s="22">
        <v>0</v>
      </c>
      <c r="M890" s="8">
        <v>0</v>
      </c>
      <c r="N890" s="22">
        <v>0</v>
      </c>
      <c r="O890" s="8">
        <v>0</v>
      </c>
      <c r="P890" s="22">
        <v>0</v>
      </c>
      <c r="Q890" s="8">
        <v>0</v>
      </c>
      <c r="R890" s="22">
        <v>0</v>
      </c>
      <c r="S890" s="8">
        <v>0</v>
      </c>
      <c r="T890" s="22">
        <v>700.00253199999986</v>
      </c>
      <c r="U890" s="8">
        <v>0.46873778542804478</v>
      </c>
      <c r="V890" s="22">
        <v>1493.3776489999998</v>
      </c>
      <c r="W890" s="6">
        <v>0.21409885501860387</v>
      </c>
    </row>
    <row r="891" spans="1:23" ht="15.75" thickBot="1">
      <c r="A891" s="9" t="s">
        <v>0</v>
      </c>
      <c r="B891" s="22">
        <v>0</v>
      </c>
      <c r="C891" s="8">
        <v>0</v>
      </c>
      <c r="D891" s="22">
        <v>904.04943399999991</v>
      </c>
      <c r="E891" s="8">
        <v>0.17330947989147436</v>
      </c>
      <c r="F891" s="22">
        <v>419.66759499999995</v>
      </c>
      <c r="G891" s="8">
        <v>8.0451765004651177E-2</v>
      </c>
      <c r="H891" s="22">
        <v>869.293318</v>
      </c>
      <c r="I891" s="8">
        <v>0.16664660930003308</v>
      </c>
      <c r="J891" s="22">
        <v>432.47436699999997</v>
      </c>
      <c r="K891" s="8">
        <v>8.2906868576353307E-2</v>
      </c>
      <c r="L891" s="22">
        <v>0</v>
      </c>
      <c r="M891" s="8">
        <v>0</v>
      </c>
      <c r="N891" s="22">
        <v>0</v>
      </c>
      <c r="O891" s="8">
        <v>0</v>
      </c>
      <c r="P891" s="22">
        <v>0</v>
      </c>
      <c r="Q891" s="8">
        <v>0</v>
      </c>
      <c r="R891" s="22">
        <v>0</v>
      </c>
      <c r="S891" s="8">
        <v>0</v>
      </c>
      <c r="T891" s="22">
        <v>2590.9029560000004</v>
      </c>
      <c r="U891" s="8">
        <v>0.4966852772274879</v>
      </c>
      <c r="V891" s="22">
        <v>5216.387670000001</v>
      </c>
      <c r="W891" s="6">
        <v>0.74785010223503301</v>
      </c>
    </row>
    <row r="892" spans="1:23" ht="15" customHeight="1">
      <c r="A892" s="13" t="s">
        <v>4</v>
      </c>
      <c r="B892" s="35">
        <v>55.455154813445795</v>
      </c>
      <c r="C892" s="12">
        <v>7.8542793740235244E-3</v>
      </c>
      <c r="D892" s="35">
        <v>653.60418851795202</v>
      </c>
      <c r="E892" s="12">
        <v>9.2571915341713759E-2</v>
      </c>
      <c r="F892" s="35">
        <v>273.81645997610428</v>
      </c>
      <c r="G892" s="12">
        <v>3.8781443872860789E-2</v>
      </c>
      <c r="H892" s="35">
        <v>685.59353745753594</v>
      </c>
      <c r="I892" s="12">
        <v>9.7102662472613413E-2</v>
      </c>
      <c r="J892" s="35">
        <v>942.63482948311162</v>
      </c>
      <c r="K892" s="12">
        <v>0.13350818915485674</v>
      </c>
      <c r="L892" s="35">
        <v>314.2105674241493</v>
      </c>
      <c r="M892" s="12">
        <v>4.4502582079553613E-2</v>
      </c>
      <c r="N892" s="35">
        <v>327.95574289257536</v>
      </c>
      <c r="O892" s="12">
        <v>4.6449352375970081E-2</v>
      </c>
      <c r="P892" s="35">
        <v>0</v>
      </c>
      <c r="Q892" s="12">
        <v>0</v>
      </c>
      <c r="R892" s="35">
        <v>0</v>
      </c>
      <c r="S892" s="12">
        <v>0</v>
      </c>
      <c r="T892" s="35">
        <v>3807.2314665459994</v>
      </c>
      <c r="U892" s="12">
        <v>0.53922957532840954</v>
      </c>
      <c r="V892" s="35">
        <v>7060.5019471108635</v>
      </c>
      <c r="W892" s="10">
        <v>1</v>
      </c>
    </row>
    <row r="893" spans="1:23">
      <c r="A893" s="9" t="s">
        <v>2</v>
      </c>
      <c r="B893" s="22">
        <v>11.793258570154199</v>
      </c>
      <c r="C893" s="8">
        <v>5.0391793703031366E-2</v>
      </c>
      <c r="D893" s="22">
        <v>20.660254803675855</v>
      </c>
      <c r="E893" s="8">
        <v>8.8279866987202305E-2</v>
      </c>
      <c r="F893" s="22">
        <v>27.932356314515101</v>
      </c>
      <c r="G893" s="8">
        <v>0.11935306333423387</v>
      </c>
      <c r="H893" s="22">
        <v>28.666013373830054</v>
      </c>
      <c r="I893" s="8">
        <v>0.12248793017038841</v>
      </c>
      <c r="J893" s="22">
        <v>18.0046992481203</v>
      </c>
      <c r="K893" s="8">
        <v>7.6932858276551733E-2</v>
      </c>
      <c r="L893" s="22">
        <v>16.973814125709755</v>
      </c>
      <c r="M893" s="8">
        <v>7.2527956093578802E-2</v>
      </c>
      <c r="N893" s="22">
        <v>0</v>
      </c>
      <c r="O893" s="8">
        <v>0</v>
      </c>
      <c r="P893" s="22">
        <v>0</v>
      </c>
      <c r="Q893" s="8">
        <v>0</v>
      </c>
      <c r="R893" s="22">
        <v>0</v>
      </c>
      <c r="S893" s="8">
        <v>0</v>
      </c>
      <c r="T893" s="22">
        <v>110.00093492826738</v>
      </c>
      <c r="U893" s="8">
        <v>0.47002653143501372</v>
      </c>
      <c r="V893" s="22">
        <v>234.0313313642726</v>
      </c>
      <c r="W893" s="6">
        <v>3.3146557159443535E-2</v>
      </c>
    </row>
    <row r="894" spans="1:23">
      <c r="A894" s="9" t="s">
        <v>1</v>
      </c>
      <c r="B894" s="22">
        <v>43.661896243291594</v>
      </c>
      <c r="C894" s="8">
        <v>2.342138973447843E-2</v>
      </c>
      <c r="D894" s="22">
        <v>145.09847924457779</v>
      </c>
      <c r="E894" s="8">
        <v>7.7834641292967938E-2</v>
      </c>
      <c r="F894" s="22">
        <v>58.834310036395038</v>
      </c>
      <c r="G894" s="8">
        <v>3.1560271625473965E-2</v>
      </c>
      <c r="H894" s="22">
        <v>169.94041234874328</v>
      </c>
      <c r="I894" s="8">
        <v>9.1160507713162572E-2</v>
      </c>
      <c r="J894" s="22">
        <v>263.1126955815688</v>
      </c>
      <c r="K894" s="8">
        <v>0.14114057147144476</v>
      </c>
      <c r="L894" s="22">
        <v>90.690540927983221</v>
      </c>
      <c r="M894" s="8">
        <v>4.864879190013003E-2</v>
      </c>
      <c r="N894" s="22">
        <v>15.172413793103448</v>
      </c>
      <c r="O894" s="8">
        <v>8.1388818909955366E-3</v>
      </c>
      <c r="P894" s="22">
        <v>0</v>
      </c>
      <c r="Q894" s="8">
        <v>0</v>
      </c>
      <c r="R894" s="22">
        <v>0</v>
      </c>
      <c r="S894" s="8">
        <v>0</v>
      </c>
      <c r="T894" s="22">
        <v>1077.6782149163644</v>
      </c>
      <c r="U894" s="8">
        <v>0.5780949443713469</v>
      </c>
      <c r="V894" s="22">
        <v>1864.1889630920273</v>
      </c>
      <c r="W894" s="6">
        <v>0.26403065632675704</v>
      </c>
    </row>
    <row r="895" spans="1:23" ht="15.75" thickBot="1">
      <c r="A895" s="9" t="s">
        <v>0</v>
      </c>
      <c r="B895" s="22">
        <v>0</v>
      </c>
      <c r="C895" s="8">
        <v>0</v>
      </c>
      <c r="D895" s="22">
        <v>487.84545446969844</v>
      </c>
      <c r="E895" s="8">
        <v>9.8310714428860704E-2</v>
      </c>
      <c r="F895" s="22">
        <v>187.04979362519416</v>
      </c>
      <c r="G895" s="8">
        <v>3.7694312156814389E-2</v>
      </c>
      <c r="H895" s="22">
        <v>486.9871117349627</v>
      </c>
      <c r="I895" s="8">
        <v>9.8137741027748623E-2</v>
      </c>
      <c r="J895" s="22">
        <v>661.51743465342247</v>
      </c>
      <c r="K895" s="8">
        <v>0.13330912692139191</v>
      </c>
      <c r="L895" s="22">
        <v>206.54621237045635</v>
      </c>
      <c r="M895" s="8">
        <v>4.1623234396613612E-2</v>
      </c>
      <c r="N895" s="22">
        <v>312.78332909947198</v>
      </c>
      <c r="O895" s="8">
        <v>6.3032159597823045E-2</v>
      </c>
      <c r="P895" s="22">
        <v>0</v>
      </c>
      <c r="Q895" s="8">
        <v>0</v>
      </c>
      <c r="R895" s="22">
        <v>0</v>
      </c>
      <c r="S895" s="8">
        <v>0</v>
      </c>
      <c r="T895" s="22">
        <v>2619.552316701368</v>
      </c>
      <c r="U895" s="8">
        <v>0.52789271147074845</v>
      </c>
      <c r="V895" s="22">
        <v>4962.2816526545703</v>
      </c>
      <c r="W895" s="6">
        <v>0.70282278651380037</v>
      </c>
    </row>
    <row r="896" spans="1:23" ht="15" customHeight="1">
      <c r="A896" s="13" t="s">
        <v>3</v>
      </c>
      <c r="B896" s="35">
        <v>20.480952734760596</v>
      </c>
      <c r="C896" s="12">
        <v>3.3704842576978877E-3</v>
      </c>
      <c r="D896" s="35">
        <v>570.63805027170326</v>
      </c>
      <c r="E896" s="12">
        <v>9.3908061318841454E-2</v>
      </c>
      <c r="F896" s="35">
        <v>464.91319963763266</v>
      </c>
      <c r="G896" s="12">
        <v>7.6509264040001843E-2</v>
      </c>
      <c r="H896" s="35">
        <v>970.04186770901231</v>
      </c>
      <c r="I896" s="12">
        <v>0.15963665786269882</v>
      </c>
      <c r="J896" s="35">
        <v>714.98407925695847</v>
      </c>
      <c r="K896" s="12">
        <v>0.11766262120951895</v>
      </c>
      <c r="L896" s="35">
        <v>524.05289474457584</v>
      </c>
      <c r="M896" s="12">
        <v>8.6241692699177433E-2</v>
      </c>
      <c r="N896" s="35">
        <v>363.13629390795563</v>
      </c>
      <c r="O896" s="12">
        <v>5.9760167305997383E-2</v>
      </c>
      <c r="P896" s="35">
        <v>315.86820574829153</v>
      </c>
      <c r="Q896" s="12">
        <v>5.1981410668215114E-2</v>
      </c>
      <c r="R896" s="35">
        <v>165.39426723683408</v>
      </c>
      <c r="S896" s="12">
        <v>2.721840049408927E-2</v>
      </c>
      <c r="T896" s="35">
        <v>1967.0510532583</v>
      </c>
      <c r="U896" s="12">
        <v>0.32371124014376312</v>
      </c>
      <c r="V896" s="35">
        <v>6076.5608645060165</v>
      </c>
      <c r="W896" s="10">
        <v>1</v>
      </c>
    </row>
    <row r="897" spans="1:23">
      <c r="A897" s="9" t="s">
        <v>2</v>
      </c>
      <c r="B897" s="22">
        <v>10.936102236421725</v>
      </c>
      <c r="C897" s="8">
        <v>4.1505116624976843E-2</v>
      </c>
      <c r="D897" s="22">
        <v>4.1847133757961785</v>
      </c>
      <c r="E897" s="8">
        <v>1.5881985459688885E-2</v>
      </c>
      <c r="F897" s="22">
        <v>5.4680511182108624</v>
      </c>
      <c r="G897" s="8">
        <v>2.0752558312488421E-2</v>
      </c>
      <c r="H897" s="22">
        <v>45.058383496525124</v>
      </c>
      <c r="I897" s="8">
        <v>0.17100731334861025</v>
      </c>
      <c r="J897" s="22">
        <v>44.623314853112191</v>
      </c>
      <c r="K897" s="8">
        <v>0.16935612406797376</v>
      </c>
      <c r="L897" s="22">
        <v>18.506809307128798</v>
      </c>
      <c r="M897" s="8">
        <v>7.0237755833189586E-2</v>
      </c>
      <c r="N897" s="22">
        <v>27.711291099845884</v>
      </c>
      <c r="O897" s="8">
        <v>0.10517095982307832</v>
      </c>
      <c r="P897" s="22">
        <v>5.4680511182108624</v>
      </c>
      <c r="Q897" s="8">
        <v>2.0752558312488421E-2</v>
      </c>
      <c r="R897" s="22">
        <v>15.141414141414142</v>
      </c>
      <c r="S897" s="8">
        <v>5.7465278416425465E-2</v>
      </c>
      <c r="T897" s="22">
        <v>86.389919057791943</v>
      </c>
      <c r="U897" s="8">
        <v>0.32787034980108004</v>
      </c>
      <c r="V897" s="22">
        <v>263.48804980445772</v>
      </c>
      <c r="W897" s="6">
        <v>4.3361377542274891E-2</v>
      </c>
    </row>
    <row r="898" spans="1:23">
      <c r="A898" s="9" t="s">
        <v>1</v>
      </c>
      <c r="B898" s="22">
        <v>9.5448504983388709</v>
      </c>
      <c r="C898" s="8">
        <v>1.1631275073253435E-2</v>
      </c>
      <c r="D898" s="22">
        <v>34.469648937419279</v>
      </c>
      <c r="E898" s="8">
        <v>4.2004426212791532E-2</v>
      </c>
      <c r="F898" s="22">
        <v>60.998191831719254</v>
      </c>
      <c r="G898" s="8">
        <v>7.4331886946713541E-2</v>
      </c>
      <c r="H898" s="22">
        <v>118.97323860681998</v>
      </c>
      <c r="I898" s="8">
        <v>0.14497979458479404</v>
      </c>
      <c r="J898" s="22">
        <v>166.48641894086356</v>
      </c>
      <c r="K898" s="8">
        <v>0.20287895918318502</v>
      </c>
      <c r="L898" s="22">
        <v>75.280110335806796</v>
      </c>
      <c r="M898" s="8">
        <v>9.1735713515159051E-2</v>
      </c>
      <c r="N898" s="22">
        <v>66.155772425249168</v>
      </c>
      <c r="O898" s="8">
        <v>8.061687156813431E-2</v>
      </c>
      <c r="P898" s="22">
        <v>56.610921926910308</v>
      </c>
      <c r="Q898" s="8">
        <v>6.8985596494880896E-2</v>
      </c>
      <c r="R898" s="22">
        <v>9.5448504983388709</v>
      </c>
      <c r="S898" s="8">
        <v>1.1631275073253435E-2</v>
      </c>
      <c r="T898" s="22">
        <v>222.55544126362082</v>
      </c>
      <c r="U898" s="8">
        <v>0.27120420134783429</v>
      </c>
      <c r="V898" s="22">
        <v>820.61944526508728</v>
      </c>
      <c r="W898" s="6">
        <v>0.13504669229241698</v>
      </c>
    </row>
    <row r="899" spans="1:23" ht="15.75" thickBot="1">
      <c r="A899" s="5" t="s">
        <v>0</v>
      </c>
      <c r="B899" s="19">
        <v>0</v>
      </c>
      <c r="C899" s="4">
        <v>0</v>
      </c>
      <c r="D899" s="19">
        <v>531.98368795848774</v>
      </c>
      <c r="E899" s="4">
        <v>0.10655756771115016</v>
      </c>
      <c r="F899" s="19">
        <v>398.44695668770265</v>
      </c>
      <c r="G899" s="4">
        <v>7.980985042884374E-2</v>
      </c>
      <c r="H899" s="19">
        <v>806.01024560566702</v>
      </c>
      <c r="I899" s="4">
        <v>0.16144572336719581</v>
      </c>
      <c r="J899" s="19">
        <v>503.874345462983</v>
      </c>
      <c r="K899" s="4">
        <v>0.10092720115277856</v>
      </c>
      <c r="L899" s="19">
        <v>430.26597510164027</v>
      </c>
      <c r="M899" s="4">
        <v>8.6183273685780271E-2</v>
      </c>
      <c r="N899" s="19">
        <v>269.26923038286066</v>
      </c>
      <c r="O899" s="4">
        <v>5.3935251960751732E-2</v>
      </c>
      <c r="P899" s="19">
        <v>253.78923270317037</v>
      </c>
      <c r="Q899" s="4">
        <v>5.0834572488318817E-2</v>
      </c>
      <c r="R899" s="19">
        <v>140.70800259708108</v>
      </c>
      <c r="S899" s="4">
        <v>2.8184139577244229E-2</v>
      </c>
      <c r="T899" s="19">
        <v>1658.105692936886</v>
      </c>
      <c r="U899" s="4">
        <v>0.33212241962793593</v>
      </c>
      <c r="V899" s="19">
        <v>4992.4533694364827</v>
      </c>
      <c r="W899" s="2">
        <v>0.82159193016530996</v>
      </c>
    </row>
    <row r="904" spans="1:23" ht="15.75" thickBot="1"/>
    <row r="905" spans="1:23" ht="28.5" customHeight="1">
      <c r="A905" s="602" t="s">
        <v>13</v>
      </c>
      <c r="B905" s="594" t="s">
        <v>354</v>
      </c>
      <c r="C905" s="595"/>
      <c r="D905" s="595"/>
      <c r="E905" s="595"/>
      <c r="F905" s="595"/>
      <c r="G905" s="595"/>
      <c r="H905" s="595"/>
      <c r="I905" s="596"/>
    </row>
    <row r="906" spans="1:23" ht="15.75">
      <c r="A906" s="603"/>
      <c r="B906" s="597" t="s">
        <v>120</v>
      </c>
      <c r="C906" s="598"/>
      <c r="D906" s="599" t="s">
        <v>119</v>
      </c>
      <c r="E906" s="598"/>
      <c r="F906" s="599" t="s">
        <v>118</v>
      </c>
      <c r="G906" s="598"/>
      <c r="H906" s="600" t="s">
        <v>9</v>
      </c>
      <c r="I906" s="601"/>
    </row>
    <row r="907" spans="1:23" ht="15.75" thickBot="1">
      <c r="A907" s="604"/>
      <c r="B907" s="16" t="s">
        <v>7</v>
      </c>
      <c r="C907" s="16" t="s">
        <v>8</v>
      </c>
      <c r="D907" s="16" t="s">
        <v>7</v>
      </c>
      <c r="E907" s="16" t="s">
        <v>8</v>
      </c>
      <c r="F907" s="16" t="s">
        <v>7</v>
      </c>
      <c r="G907" s="16" t="s">
        <v>8</v>
      </c>
      <c r="H907" s="16" t="s">
        <v>7</v>
      </c>
      <c r="I907" s="15" t="s">
        <v>6</v>
      </c>
    </row>
    <row r="908" spans="1:23" ht="15.75" customHeight="1">
      <c r="A908" s="14" t="s">
        <v>5</v>
      </c>
      <c r="B908" s="35">
        <v>5463.4331840000059</v>
      </c>
      <c r="C908" s="12">
        <v>0.78326790945901381</v>
      </c>
      <c r="D908" s="35">
        <v>1091.3388069999996</v>
      </c>
      <c r="E908" s="12">
        <v>0.15646034957904281</v>
      </c>
      <c r="F908" s="35">
        <v>420.40612880000009</v>
      </c>
      <c r="G908" s="12">
        <v>6.0271740961943203E-2</v>
      </c>
      <c r="H908" s="35">
        <v>6975.1781198000072</v>
      </c>
      <c r="I908" s="10">
        <v>1</v>
      </c>
    </row>
    <row r="909" spans="1:23">
      <c r="A909" s="9" t="s">
        <v>2</v>
      </c>
      <c r="B909" s="22">
        <v>192.6187789999999</v>
      </c>
      <c r="C909" s="27">
        <v>0.72573281476784002</v>
      </c>
      <c r="D909" s="67">
        <v>13.127941</v>
      </c>
      <c r="E909" s="27">
        <v>4.9462350574011979E-2</v>
      </c>
      <c r="F909" s="67">
        <v>59.666080799999996</v>
      </c>
      <c r="G909" s="27">
        <v>0.22480483465814821</v>
      </c>
      <c r="H909" s="67">
        <v>265.41280079999984</v>
      </c>
      <c r="I909" s="26">
        <v>3.8051042746362118E-2</v>
      </c>
    </row>
    <row r="910" spans="1:23">
      <c r="A910" s="9" t="s">
        <v>1</v>
      </c>
      <c r="B910" s="22">
        <v>1219.4428559999999</v>
      </c>
      <c r="C910" s="27">
        <v>0.81656696604276024</v>
      </c>
      <c r="D910" s="67">
        <v>122.03301700000002</v>
      </c>
      <c r="E910" s="27">
        <v>8.1716113189263376E-2</v>
      </c>
      <c r="F910" s="67">
        <v>151.90177600000001</v>
      </c>
      <c r="G910" s="27">
        <v>0.1017169207679765</v>
      </c>
      <c r="H910" s="67">
        <v>1493.3776489999998</v>
      </c>
      <c r="I910" s="26">
        <v>0.21409885501860387</v>
      </c>
    </row>
    <row r="911" spans="1:23" ht="15.75" thickBot="1">
      <c r="A911" s="9" t="s">
        <v>0</v>
      </c>
      <c r="B911" s="22">
        <v>4051.371548999999</v>
      </c>
      <c r="C911" s="27">
        <v>0.77666228150562244</v>
      </c>
      <c r="D911" s="67">
        <v>956.17784899999981</v>
      </c>
      <c r="E911" s="27">
        <v>0.18330268175792994</v>
      </c>
      <c r="F911" s="67">
        <v>208.83827199999999</v>
      </c>
      <c r="G911" s="27">
        <v>4.0035036736447156E-2</v>
      </c>
      <c r="H911" s="67">
        <v>5216.387670000001</v>
      </c>
      <c r="I911" s="26">
        <v>0.74785010223503301</v>
      </c>
    </row>
    <row r="912" spans="1:23" ht="15" customHeight="1">
      <c r="A912" s="13" t="s">
        <v>4</v>
      </c>
      <c r="B912" s="35">
        <v>5272.6589032193342</v>
      </c>
      <c r="C912" s="12">
        <v>0.74678244446584852</v>
      </c>
      <c r="D912" s="35">
        <v>1028.3318056209341</v>
      </c>
      <c r="E912" s="12">
        <v>0.14564570809894392</v>
      </c>
      <c r="F912" s="35">
        <v>759.51123827060292</v>
      </c>
      <c r="G912" s="12">
        <v>0.10757184743520858</v>
      </c>
      <c r="H912" s="35">
        <v>7060.5019471108635</v>
      </c>
      <c r="I912" s="10">
        <v>1</v>
      </c>
    </row>
    <row r="913" spans="1:45">
      <c r="A913" s="9" t="s">
        <v>2</v>
      </c>
      <c r="B913" s="22">
        <v>171.42066469052614</v>
      </c>
      <c r="C913" s="27">
        <v>0.73246886940837763</v>
      </c>
      <c r="D913" s="67">
        <v>52.050411870070654</v>
      </c>
      <c r="E913" s="27">
        <v>0.22240787832400763</v>
      </c>
      <c r="F913" s="67">
        <v>10.560254803675857</v>
      </c>
      <c r="G913" s="27">
        <v>4.512325226761494E-2</v>
      </c>
      <c r="H913" s="67">
        <v>234.0313313642726</v>
      </c>
      <c r="I913" s="26">
        <v>3.3146557159443535E-2</v>
      </c>
    </row>
    <row r="914" spans="1:45">
      <c r="A914" s="9" t="s">
        <v>1</v>
      </c>
      <c r="B914" s="22">
        <v>1437.8904060583582</v>
      </c>
      <c r="C914" s="27">
        <v>0.77132223960462065</v>
      </c>
      <c r="D914" s="67">
        <v>224.95203938675513</v>
      </c>
      <c r="E914" s="27">
        <v>0.12067019161707707</v>
      </c>
      <c r="F914" s="67">
        <v>201.34651764691407</v>
      </c>
      <c r="G914" s="27">
        <v>0.10800756877830224</v>
      </c>
      <c r="H914" s="67">
        <v>1864.1889630920273</v>
      </c>
      <c r="I914" s="26">
        <v>0.26403065632675704</v>
      </c>
    </row>
    <row r="915" spans="1:45" ht="15.75" thickBot="1">
      <c r="A915" s="9" t="s">
        <v>0</v>
      </c>
      <c r="B915" s="22">
        <v>3663.3478324704529</v>
      </c>
      <c r="C915" s="27">
        <v>0.7382385944398675</v>
      </c>
      <c r="D915" s="67">
        <v>751.32935436410844</v>
      </c>
      <c r="E915" s="27">
        <v>0.15140804310496667</v>
      </c>
      <c r="F915" s="67">
        <v>547.60446582001305</v>
      </c>
      <c r="G915" s="27">
        <v>0.11035336245516662</v>
      </c>
      <c r="H915" s="67">
        <v>4962.2816526545703</v>
      </c>
      <c r="I915" s="26">
        <v>0.70282278651380037</v>
      </c>
    </row>
    <row r="916" spans="1:45" ht="15.75" customHeight="1">
      <c r="A916" s="13" t="s">
        <v>3</v>
      </c>
      <c r="B916" s="35">
        <v>4325.2514437913633</v>
      </c>
      <c r="C916" s="12">
        <v>0.71179266368509853</v>
      </c>
      <c r="D916" s="35">
        <v>1180.8308703798677</v>
      </c>
      <c r="E916" s="12">
        <v>0.1943255233856464</v>
      </c>
      <c r="F916" s="35">
        <v>570.47855033479004</v>
      </c>
      <c r="G916" s="12">
        <v>9.3881812929255681E-2</v>
      </c>
      <c r="H916" s="35">
        <v>6076.5608645060165</v>
      </c>
      <c r="I916" s="10">
        <v>1</v>
      </c>
    </row>
    <row r="917" spans="1:45">
      <c r="A917" s="9" t="s">
        <v>2</v>
      </c>
      <c r="B917" s="22">
        <v>181.59268587031315</v>
      </c>
      <c r="C917" s="27">
        <v>0.68918755899965278</v>
      </c>
      <c r="D917" s="67">
        <v>54.750287662437941</v>
      </c>
      <c r="E917" s="27">
        <v>0.20779040151183231</v>
      </c>
      <c r="F917" s="67">
        <v>27.145076271706603</v>
      </c>
      <c r="G917" s="27">
        <v>0.10302203948851484</v>
      </c>
      <c r="H917" s="67">
        <v>263.48804980445772</v>
      </c>
      <c r="I917" s="26">
        <v>4.3361377542274891E-2</v>
      </c>
    </row>
    <row r="918" spans="1:45">
      <c r="A918" s="9" t="s">
        <v>1</v>
      </c>
      <c r="B918" s="22">
        <v>585.98970990485168</v>
      </c>
      <c r="C918" s="27">
        <v>0.71408216474270558</v>
      </c>
      <c r="D918" s="67">
        <v>186.29328822324084</v>
      </c>
      <c r="E918" s="27">
        <v>0.227015444610945</v>
      </c>
      <c r="F918" s="67">
        <v>48.336447136994337</v>
      </c>
      <c r="G918" s="27">
        <v>5.8902390646348939E-2</v>
      </c>
      <c r="H918" s="67">
        <v>820.61944526508728</v>
      </c>
      <c r="I918" s="26">
        <v>0.13504669229241698</v>
      </c>
    </row>
    <row r="919" spans="1:45" ht="15.75" thickBot="1">
      <c r="A919" s="5" t="s">
        <v>0</v>
      </c>
      <c r="B919" s="19">
        <v>3557.6690480162033</v>
      </c>
      <c r="C919" s="25">
        <v>0.71260936953283371</v>
      </c>
      <c r="D919" s="66">
        <v>939.78729449418881</v>
      </c>
      <c r="E919" s="25">
        <v>0.1882415768262381</v>
      </c>
      <c r="F919" s="66">
        <v>494.99702692608912</v>
      </c>
      <c r="G919" s="25">
        <v>9.9149053640927909E-2</v>
      </c>
      <c r="H919" s="66">
        <v>4992.4533694364827</v>
      </c>
      <c r="I919" s="24">
        <v>0.82159193016530996</v>
      </c>
    </row>
    <row r="924" spans="1:45" ht="15.75" thickBot="1"/>
    <row r="925" spans="1:45" ht="15" customHeight="1">
      <c r="A925" s="602" t="s">
        <v>13</v>
      </c>
      <c r="B925" s="594" t="s">
        <v>355</v>
      </c>
      <c r="C925" s="595"/>
      <c r="D925" s="595"/>
      <c r="E925" s="595"/>
      <c r="F925" s="595"/>
      <c r="G925" s="595"/>
      <c r="H925" s="595"/>
      <c r="I925" s="595"/>
      <c r="J925" s="595"/>
      <c r="K925" s="595"/>
      <c r="L925" s="595"/>
      <c r="M925" s="595"/>
      <c r="N925" s="595"/>
      <c r="O925" s="595"/>
      <c r="P925" s="595"/>
      <c r="Q925" s="595"/>
      <c r="R925" s="595"/>
      <c r="S925" s="595"/>
      <c r="T925" s="595"/>
      <c r="U925" s="595"/>
      <c r="V925" s="595"/>
      <c r="W925" s="595"/>
      <c r="X925" s="595"/>
      <c r="Y925" s="595"/>
      <c r="Z925" s="595"/>
      <c r="AA925" s="595"/>
      <c r="AB925" s="595"/>
      <c r="AC925" s="595"/>
      <c r="AD925" s="595"/>
      <c r="AE925" s="595"/>
      <c r="AF925" s="595"/>
      <c r="AG925" s="595"/>
      <c r="AH925" s="595"/>
      <c r="AI925" s="595"/>
      <c r="AJ925" s="595"/>
      <c r="AK925" s="595"/>
      <c r="AL925" s="595"/>
      <c r="AM925" s="595"/>
      <c r="AN925" s="595"/>
      <c r="AO925" s="595"/>
      <c r="AP925" s="595"/>
      <c r="AQ925" s="595"/>
      <c r="AR925" s="595"/>
      <c r="AS925" s="596"/>
    </row>
    <row r="926" spans="1:45" s="65" customFormat="1" ht="59.25" customHeight="1">
      <c r="A926" s="603"/>
      <c r="B926" s="634" t="s">
        <v>117</v>
      </c>
      <c r="C926" s="623"/>
      <c r="D926" s="622" t="s">
        <v>116</v>
      </c>
      <c r="E926" s="623"/>
      <c r="F926" s="622" t="s">
        <v>115</v>
      </c>
      <c r="G926" s="623"/>
      <c r="H926" s="622" t="s">
        <v>114</v>
      </c>
      <c r="I926" s="623"/>
      <c r="J926" s="622" t="s">
        <v>113</v>
      </c>
      <c r="K926" s="623"/>
      <c r="L926" s="622" t="s">
        <v>112</v>
      </c>
      <c r="M926" s="623"/>
      <c r="N926" s="622" t="s">
        <v>111</v>
      </c>
      <c r="O926" s="623"/>
      <c r="P926" s="622" t="s">
        <v>110</v>
      </c>
      <c r="Q926" s="623"/>
      <c r="R926" s="622" t="s">
        <v>109</v>
      </c>
      <c r="S926" s="623"/>
      <c r="T926" s="622" t="s">
        <v>108</v>
      </c>
      <c r="U926" s="623"/>
      <c r="V926" s="622" t="s">
        <v>107</v>
      </c>
      <c r="W926" s="623"/>
      <c r="X926" s="622" t="s">
        <v>106</v>
      </c>
      <c r="Y926" s="623"/>
      <c r="Z926" s="622" t="s">
        <v>105</v>
      </c>
      <c r="AA926" s="623"/>
      <c r="AB926" s="622" t="s">
        <v>104</v>
      </c>
      <c r="AC926" s="623"/>
      <c r="AD926" s="622" t="s">
        <v>103</v>
      </c>
      <c r="AE926" s="623"/>
      <c r="AF926" s="622" t="s">
        <v>102</v>
      </c>
      <c r="AG926" s="623"/>
      <c r="AH926" s="622" t="s">
        <v>101</v>
      </c>
      <c r="AI926" s="623"/>
      <c r="AJ926" s="622" t="s">
        <v>100</v>
      </c>
      <c r="AK926" s="623"/>
      <c r="AL926" s="622" t="s">
        <v>99</v>
      </c>
      <c r="AM926" s="623"/>
      <c r="AN926" s="622" t="s">
        <v>98</v>
      </c>
      <c r="AO926" s="623"/>
      <c r="AP926" s="622" t="s">
        <v>97</v>
      </c>
      <c r="AQ926" s="623"/>
      <c r="AR926" s="629" t="s">
        <v>9</v>
      </c>
      <c r="AS926" s="630"/>
    </row>
    <row r="927" spans="1:45" ht="15.75" thickBot="1">
      <c r="A927" s="604"/>
      <c r="B927" s="16" t="s">
        <v>7</v>
      </c>
      <c r="C927" s="16" t="s">
        <v>8</v>
      </c>
      <c r="D927" s="16" t="s">
        <v>7</v>
      </c>
      <c r="E927" s="16" t="s">
        <v>8</v>
      </c>
      <c r="F927" s="16" t="s">
        <v>7</v>
      </c>
      <c r="G927" s="16" t="s">
        <v>8</v>
      </c>
      <c r="H927" s="16" t="s">
        <v>7</v>
      </c>
      <c r="I927" s="16" t="s">
        <v>8</v>
      </c>
      <c r="J927" s="16" t="s">
        <v>7</v>
      </c>
      <c r="K927" s="16" t="s">
        <v>8</v>
      </c>
      <c r="L927" s="16" t="s">
        <v>7</v>
      </c>
      <c r="M927" s="16" t="s">
        <v>8</v>
      </c>
      <c r="N927" s="16" t="s">
        <v>7</v>
      </c>
      <c r="O927" s="16" t="s">
        <v>8</v>
      </c>
      <c r="P927" s="16" t="s">
        <v>7</v>
      </c>
      <c r="Q927" s="16" t="s">
        <v>8</v>
      </c>
      <c r="R927" s="16" t="s">
        <v>7</v>
      </c>
      <c r="S927" s="16" t="s">
        <v>8</v>
      </c>
      <c r="T927" s="16" t="s">
        <v>7</v>
      </c>
      <c r="U927" s="16" t="s">
        <v>8</v>
      </c>
      <c r="V927" s="16" t="s">
        <v>7</v>
      </c>
      <c r="W927" s="16" t="s">
        <v>8</v>
      </c>
      <c r="X927" s="16" t="s">
        <v>7</v>
      </c>
      <c r="Y927" s="16" t="s">
        <v>8</v>
      </c>
      <c r="Z927" s="16" t="s">
        <v>7</v>
      </c>
      <c r="AA927" s="16" t="s">
        <v>8</v>
      </c>
      <c r="AB927" s="16" t="s">
        <v>7</v>
      </c>
      <c r="AC927" s="16" t="s">
        <v>8</v>
      </c>
      <c r="AD927" s="16" t="s">
        <v>7</v>
      </c>
      <c r="AE927" s="16" t="s">
        <v>8</v>
      </c>
      <c r="AF927" s="16" t="s">
        <v>7</v>
      </c>
      <c r="AG927" s="16" t="s">
        <v>8</v>
      </c>
      <c r="AH927" s="16" t="s">
        <v>7</v>
      </c>
      <c r="AI927" s="16" t="s">
        <v>8</v>
      </c>
      <c r="AJ927" s="16" t="s">
        <v>7</v>
      </c>
      <c r="AK927" s="16" t="s">
        <v>8</v>
      </c>
      <c r="AL927" s="16" t="s">
        <v>7</v>
      </c>
      <c r="AM927" s="16" t="s">
        <v>8</v>
      </c>
      <c r="AN927" s="16" t="s">
        <v>7</v>
      </c>
      <c r="AO927" s="16" t="s">
        <v>8</v>
      </c>
      <c r="AP927" s="16" t="s">
        <v>7</v>
      </c>
      <c r="AQ927" s="16" t="s">
        <v>8</v>
      </c>
      <c r="AR927" s="16" t="s">
        <v>7</v>
      </c>
      <c r="AS927" s="15" t="s">
        <v>6</v>
      </c>
    </row>
    <row r="928" spans="1:45" ht="15.75" customHeight="1">
      <c r="A928" s="14" t="s">
        <v>5</v>
      </c>
      <c r="B928" s="11">
        <v>58.297807000000006</v>
      </c>
      <c r="C928" s="12">
        <v>8.357895095827534E-3</v>
      </c>
      <c r="D928" s="11">
        <v>68.266670000000005</v>
      </c>
      <c r="E928" s="12">
        <v>9.7870862689822397E-3</v>
      </c>
      <c r="F928" s="11">
        <v>842.90896499999963</v>
      </c>
      <c r="G928" s="12">
        <v>0.12084407745908109</v>
      </c>
      <c r="H928" s="11">
        <v>45.639620000000001</v>
      </c>
      <c r="I928" s="12">
        <v>6.5431476037071555E-3</v>
      </c>
      <c r="J928" s="11">
        <v>80.793729999999996</v>
      </c>
      <c r="K928" s="12">
        <v>1.1583034671280412E-2</v>
      </c>
      <c r="L928" s="11">
        <v>456.656251</v>
      </c>
      <c r="M928" s="12">
        <v>6.5468758382487488E-2</v>
      </c>
      <c r="N928" s="11">
        <v>1905.0065778000001</v>
      </c>
      <c r="O928" s="12">
        <v>0.27311224818651952</v>
      </c>
      <c r="P928" s="11">
        <v>275.26350699999995</v>
      </c>
      <c r="Q928" s="12">
        <v>3.946329430909104E-2</v>
      </c>
      <c r="R928" s="11">
        <v>394.49743699999999</v>
      </c>
      <c r="S928" s="12">
        <v>5.6557328031547255E-2</v>
      </c>
      <c r="T928" s="11">
        <v>530.51135799999997</v>
      </c>
      <c r="U928" s="12">
        <v>7.6057033797326284E-2</v>
      </c>
      <c r="V928" s="11">
        <v>191.51866599999997</v>
      </c>
      <c r="W928" s="12">
        <v>2.7457172090895824E-2</v>
      </c>
      <c r="X928" s="11">
        <v>0</v>
      </c>
      <c r="Y928" s="12">
        <v>0</v>
      </c>
      <c r="Z928" s="11">
        <v>1060.9187189999998</v>
      </c>
      <c r="AA928" s="12">
        <v>0.15209915801123922</v>
      </c>
      <c r="AB928" s="11">
        <v>233.260595</v>
      </c>
      <c r="AC928" s="12">
        <v>3.3441525218955707E-2</v>
      </c>
      <c r="AD928" s="11">
        <v>108.526314</v>
      </c>
      <c r="AE928" s="12">
        <v>1.5558930845354766E-2</v>
      </c>
      <c r="AF928" s="11">
        <v>302.35724099999999</v>
      </c>
      <c r="AG928" s="12">
        <v>4.3347601424215558E-2</v>
      </c>
      <c r="AH928" s="11">
        <v>141.52446699999999</v>
      </c>
      <c r="AI928" s="12">
        <v>2.0289728028344282E-2</v>
      </c>
      <c r="AJ928" s="11">
        <v>204.42549</v>
      </c>
      <c r="AK928" s="12">
        <v>2.9307565554449425E-2</v>
      </c>
      <c r="AL928" s="11">
        <v>74.804704999999998</v>
      </c>
      <c r="AM928" s="12">
        <v>1.0724415020694095E-2</v>
      </c>
      <c r="AN928" s="11">
        <v>0</v>
      </c>
      <c r="AO928" s="12">
        <v>0</v>
      </c>
      <c r="AP928" s="11">
        <v>0</v>
      </c>
      <c r="AQ928" s="12">
        <v>0</v>
      </c>
      <c r="AR928" s="11">
        <v>6975.1781198000072</v>
      </c>
      <c r="AS928" s="10">
        <v>1</v>
      </c>
    </row>
    <row r="929" spans="1:45">
      <c r="A929" s="9" t="s">
        <v>2</v>
      </c>
      <c r="B929" s="31">
        <v>11.090909</v>
      </c>
      <c r="C929" s="8">
        <v>4.1787392946271214E-2</v>
      </c>
      <c r="D929" s="31">
        <v>0</v>
      </c>
      <c r="E929" s="8">
        <v>0</v>
      </c>
      <c r="F929" s="31">
        <v>39.665164000000004</v>
      </c>
      <c r="G929" s="8">
        <v>0.14944706464964153</v>
      </c>
      <c r="H929" s="31">
        <v>0</v>
      </c>
      <c r="I929" s="8">
        <v>0</v>
      </c>
      <c r="J929" s="31">
        <v>0</v>
      </c>
      <c r="K929" s="8">
        <v>0</v>
      </c>
      <c r="L929" s="31">
        <v>15.674871</v>
      </c>
      <c r="M929" s="8">
        <v>5.9058458946792472E-2</v>
      </c>
      <c r="N929" s="31">
        <v>60.280295799999998</v>
      </c>
      <c r="O929" s="8">
        <v>0.22711902221107955</v>
      </c>
      <c r="P929" s="31">
        <v>18.324998999999998</v>
      </c>
      <c r="Q929" s="8">
        <v>6.9043388053497412E-2</v>
      </c>
      <c r="R929" s="31">
        <v>14.850269000000001</v>
      </c>
      <c r="S929" s="8">
        <v>5.5951592972301019E-2</v>
      </c>
      <c r="T929" s="31">
        <v>13.013596</v>
      </c>
      <c r="U929" s="8">
        <v>4.9031531112194972E-2</v>
      </c>
      <c r="V929" s="31">
        <v>7.0196079999999998</v>
      </c>
      <c r="W929" s="8">
        <v>2.6447887889512842E-2</v>
      </c>
      <c r="X929" s="31">
        <v>0</v>
      </c>
      <c r="Y929" s="8">
        <v>0</v>
      </c>
      <c r="Z929" s="31">
        <v>37.705974000000005</v>
      </c>
      <c r="AA929" s="8">
        <v>0.14206539355429623</v>
      </c>
      <c r="AB929" s="31">
        <v>4.7735190000000003</v>
      </c>
      <c r="AC929" s="8">
        <v>1.7985262902210416E-2</v>
      </c>
      <c r="AD929" s="31">
        <v>0</v>
      </c>
      <c r="AE929" s="8">
        <v>0</v>
      </c>
      <c r="AF929" s="31">
        <v>43.013596</v>
      </c>
      <c r="AG929" s="8">
        <v>0.16206300476220295</v>
      </c>
      <c r="AH929" s="31">
        <v>0</v>
      </c>
      <c r="AI929" s="8">
        <v>0</v>
      </c>
      <c r="AJ929" s="31">
        <v>0</v>
      </c>
      <c r="AK929" s="8">
        <v>0</v>
      </c>
      <c r="AL929" s="31">
        <v>0</v>
      </c>
      <c r="AM929" s="8">
        <v>0</v>
      </c>
      <c r="AN929" s="31">
        <v>0</v>
      </c>
      <c r="AO929" s="8">
        <v>0</v>
      </c>
      <c r="AP929" s="31">
        <v>0</v>
      </c>
      <c r="AQ929" s="8">
        <v>0</v>
      </c>
      <c r="AR929" s="31">
        <v>265.41280079999984</v>
      </c>
      <c r="AS929" s="6">
        <v>3.8051042746362118E-2</v>
      </c>
    </row>
    <row r="930" spans="1:45">
      <c r="A930" s="9" t="s">
        <v>1</v>
      </c>
      <c r="B930" s="31">
        <v>0</v>
      </c>
      <c r="C930" s="8">
        <v>0</v>
      </c>
      <c r="D930" s="31">
        <v>0</v>
      </c>
      <c r="E930" s="8">
        <v>0</v>
      </c>
      <c r="F930" s="31">
        <v>267.14655600000003</v>
      </c>
      <c r="G930" s="8">
        <v>0.1788874744301199</v>
      </c>
      <c r="H930" s="31">
        <v>45.639620000000001</v>
      </c>
      <c r="I930" s="8">
        <v>3.0561338607525933E-2</v>
      </c>
      <c r="J930" s="31">
        <v>80.793729999999996</v>
      </c>
      <c r="K930" s="8">
        <v>5.4101338702973983E-2</v>
      </c>
      <c r="L930" s="31">
        <v>108.78646000000001</v>
      </c>
      <c r="M930" s="8">
        <v>7.284591414157425E-2</v>
      </c>
      <c r="N930" s="31">
        <v>554.13906999999995</v>
      </c>
      <c r="O930" s="8">
        <v>0.37106425850893393</v>
      </c>
      <c r="P930" s="31">
        <v>93.316082999999992</v>
      </c>
      <c r="Q930" s="8">
        <v>6.2486594105976206E-2</v>
      </c>
      <c r="R930" s="31">
        <v>86.582347999999996</v>
      </c>
      <c r="S930" s="8">
        <v>5.7977530370819153E-2</v>
      </c>
      <c r="T930" s="31">
        <v>80.793729999999996</v>
      </c>
      <c r="U930" s="8">
        <v>5.4101338702973983E-2</v>
      </c>
      <c r="V930" s="31">
        <v>35.766042999999996</v>
      </c>
      <c r="W930" s="8">
        <v>2.394976449791502E-2</v>
      </c>
      <c r="X930" s="31">
        <v>0</v>
      </c>
      <c r="Y930" s="8">
        <v>0</v>
      </c>
      <c r="Z930" s="31">
        <v>35.01444</v>
      </c>
      <c r="AA930" s="8">
        <v>2.344647385304479E-2</v>
      </c>
      <c r="AB930" s="31">
        <v>75.369996</v>
      </c>
      <c r="AC930" s="8">
        <v>5.0469481748618303E-2</v>
      </c>
      <c r="AD930" s="31">
        <v>0</v>
      </c>
      <c r="AE930" s="8">
        <v>0</v>
      </c>
      <c r="AF930" s="31">
        <v>17.50722</v>
      </c>
      <c r="AG930" s="8">
        <v>1.1723236926522395E-2</v>
      </c>
      <c r="AH930" s="31">
        <v>0</v>
      </c>
      <c r="AI930" s="8">
        <v>0</v>
      </c>
      <c r="AJ930" s="31">
        <v>0</v>
      </c>
      <c r="AK930" s="8">
        <v>0</v>
      </c>
      <c r="AL930" s="31">
        <v>12.522353000000001</v>
      </c>
      <c r="AM930" s="8">
        <v>8.3852554030022196E-3</v>
      </c>
      <c r="AN930" s="31">
        <v>0</v>
      </c>
      <c r="AO930" s="8">
        <v>0</v>
      </c>
      <c r="AP930" s="31">
        <v>0</v>
      </c>
      <c r="AQ930" s="8">
        <v>0</v>
      </c>
      <c r="AR930" s="31">
        <v>1493.3776489999998</v>
      </c>
      <c r="AS930" s="6">
        <v>0.21409885501860387</v>
      </c>
    </row>
    <row r="931" spans="1:45" ht="15.75" thickBot="1">
      <c r="A931" s="9" t="s">
        <v>0</v>
      </c>
      <c r="B931" s="31">
        <v>47.206898000000002</v>
      </c>
      <c r="C931" s="8">
        <v>9.0497296187344138E-3</v>
      </c>
      <c r="D931" s="31">
        <v>68.266670000000005</v>
      </c>
      <c r="E931" s="8">
        <v>1.3086962533978997E-2</v>
      </c>
      <c r="F931" s="31">
        <v>536.09724499999993</v>
      </c>
      <c r="G931" s="8">
        <v>0.10277174146452957</v>
      </c>
      <c r="H931" s="31">
        <v>0</v>
      </c>
      <c r="I931" s="8">
        <v>0</v>
      </c>
      <c r="J931" s="31">
        <v>0</v>
      </c>
      <c r="K931" s="8">
        <v>0</v>
      </c>
      <c r="L931" s="31">
        <v>332.19492000000002</v>
      </c>
      <c r="M931" s="8">
        <v>6.3682943257934652E-2</v>
      </c>
      <c r="N931" s="31">
        <v>1290.5872120000001</v>
      </c>
      <c r="O931" s="8">
        <v>0.247410141585585</v>
      </c>
      <c r="P931" s="31">
        <v>163.62242499999999</v>
      </c>
      <c r="Q931" s="8">
        <v>3.1366998649469617E-2</v>
      </c>
      <c r="R931" s="31">
        <v>293.06482</v>
      </c>
      <c r="S931" s="8">
        <v>5.6181564434991456E-2</v>
      </c>
      <c r="T931" s="31">
        <v>436.70403200000004</v>
      </c>
      <c r="U931" s="8">
        <v>8.3717710344177687E-2</v>
      </c>
      <c r="V931" s="31">
        <v>148.73301499999999</v>
      </c>
      <c r="W931" s="8">
        <v>2.851264599358275E-2</v>
      </c>
      <c r="X931" s="31">
        <v>0</v>
      </c>
      <c r="Y931" s="8">
        <v>0</v>
      </c>
      <c r="Z931" s="31">
        <v>988.19830499999978</v>
      </c>
      <c r="AA931" s="8">
        <v>0.18944111663387925</v>
      </c>
      <c r="AB931" s="31">
        <v>153.11707999999999</v>
      </c>
      <c r="AC931" s="8">
        <v>2.9353086788505497E-2</v>
      </c>
      <c r="AD931" s="31">
        <v>108.526314</v>
      </c>
      <c r="AE931" s="8">
        <v>2.0804878944129544E-2</v>
      </c>
      <c r="AF931" s="31">
        <v>241.83642499999999</v>
      </c>
      <c r="AG931" s="8">
        <v>4.6360899591651697E-2</v>
      </c>
      <c r="AH931" s="31">
        <v>141.52446699999999</v>
      </c>
      <c r="AI931" s="8">
        <v>2.7130741799334088E-2</v>
      </c>
      <c r="AJ931" s="31">
        <v>204.42549</v>
      </c>
      <c r="AK931" s="8">
        <v>3.9189090790869067E-2</v>
      </c>
      <c r="AL931" s="31">
        <v>62.282352000000003</v>
      </c>
      <c r="AM931" s="8">
        <v>1.1939747568646485E-2</v>
      </c>
      <c r="AN931" s="31">
        <v>0</v>
      </c>
      <c r="AO931" s="8">
        <v>0</v>
      </c>
      <c r="AP931" s="31">
        <v>0</v>
      </c>
      <c r="AQ931" s="8">
        <v>0</v>
      </c>
      <c r="AR931" s="31">
        <v>5216.387670000001</v>
      </c>
      <c r="AS931" s="6">
        <v>0.74785010223503301</v>
      </c>
    </row>
    <row r="932" spans="1:45" ht="15" customHeight="1">
      <c r="A932" s="13" t="s">
        <v>4</v>
      </c>
      <c r="B932" s="11">
        <v>340.78862761831266</v>
      </c>
      <c r="C932" s="12">
        <v>4.8266912206966016E-2</v>
      </c>
      <c r="D932" s="11">
        <v>0</v>
      </c>
      <c r="E932" s="12">
        <v>0</v>
      </c>
      <c r="F932" s="11">
        <v>1347.5636929595225</v>
      </c>
      <c r="G932" s="12">
        <v>0.19085947473053833</v>
      </c>
      <c r="H932" s="11">
        <v>94.082050253272484</v>
      </c>
      <c r="I932" s="12">
        <v>1.3325122060446505E-2</v>
      </c>
      <c r="J932" s="11">
        <v>0</v>
      </c>
      <c r="K932" s="12">
        <v>0</v>
      </c>
      <c r="L932" s="11">
        <v>513.49832576420556</v>
      </c>
      <c r="M932" s="12">
        <v>7.2728303116512502E-2</v>
      </c>
      <c r="N932" s="11">
        <v>1360.1640530156301</v>
      </c>
      <c r="O932" s="12">
        <v>0.19264410139738086</v>
      </c>
      <c r="P932" s="11">
        <v>20.320754716981131</v>
      </c>
      <c r="Q932" s="12">
        <v>2.8780892448158485E-3</v>
      </c>
      <c r="R932" s="11">
        <v>187.44310579064199</v>
      </c>
      <c r="S932" s="12">
        <v>2.6548127483676024E-2</v>
      </c>
      <c r="T932" s="11">
        <v>693.90022707850142</v>
      </c>
      <c r="U932" s="12">
        <v>9.8279163758667798E-2</v>
      </c>
      <c r="V932" s="11">
        <v>168.80745137845952</v>
      </c>
      <c r="W932" s="12">
        <v>2.3908704033080114E-2</v>
      </c>
      <c r="X932" s="11">
        <v>122.29134589134588</v>
      </c>
      <c r="Y932" s="12">
        <v>1.7320488940788005E-2</v>
      </c>
      <c r="Z932" s="11">
        <v>1162.5954543877403</v>
      </c>
      <c r="AA932" s="12">
        <v>0.164661870090337</v>
      </c>
      <c r="AB932" s="11">
        <v>316.13830104381054</v>
      </c>
      <c r="AC932" s="12">
        <v>4.4775612755573756E-2</v>
      </c>
      <c r="AD932" s="11">
        <v>132.12102229848063</v>
      </c>
      <c r="AE932" s="12">
        <v>1.8712695398737784E-2</v>
      </c>
      <c r="AF932" s="11">
        <v>300.3969208216995</v>
      </c>
      <c r="AG932" s="12">
        <v>4.254611401171287E-2</v>
      </c>
      <c r="AH932" s="11">
        <v>0</v>
      </c>
      <c r="AI932" s="12">
        <v>0</v>
      </c>
      <c r="AJ932" s="11">
        <v>154.86394506161247</v>
      </c>
      <c r="AK932" s="12">
        <v>2.1933843545639462E-2</v>
      </c>
      <c r="AL932" s="11">
        <v>88.414169030656751</v>
      </c>
      <c r="AM932" s="12">
        <v>1.25223630972633E-2</v>
      </c>
      <c r="AN932" s="11">
        <v>0</v>
      </c>
      <c r="AO932" s="12">
        <v>0</v>
      </c>
      <c r="AP932" s="11">
        <v>57.112499999999997</v>
      </c>
      <c r="AQ932" s="12">
        <v>8.0890141278652655E-3</v>
      </c>
      <c r="AR932" s="11">
        <v>7060.5019471108635</v>
      </c>
      <c r="AS932" s="10">
        <v>1</v>
      </c>
    </row>
    <row r="933" spans="1:45">
      <c r="A933" s="9" t="s">
        <v>2</v>
      </c>
      <c r="B933" s="31">
        <v>18.007674199623352</v>
      </c>
      <c r="C933" s="8">
        <v>7.6945570042475167E-2</v>
      </c>
      <c r="D933" s="31">
        <v>0</v>
      </c>
      <c r="E933" s="8">
        <v>0</v>
      </c>
      <c r="F933" s="31">
        <v>46.872831266018153</v>
      </c>
      <c r="G933" s="8">
        <v>0.20028442769938365</v>
      </c>
      <c r="H933" s="31">
        <v>0</v>
      </c>
      <c r="I933" s="8">
        <v>0</v>
      </c>
      <c r="J933" s="31">
        <v>0</v>
      </c>
      <c r="K933" s="8">
        <v>0</v>
      </c>
      <c r="L933" s="31">
        <v>5.3796992481203008</v>
      </c>
      <c r="M933" s="8">
        <v>2.2987089877067501E-2</v>
      </c>
      <c r="N933" s="31">
        <v>38.279237288135597</v>
      </c>
      <c r="O933" s="8">
        <v>0.16356458370333971</v>
      </c>
      <c r="P933" s="31">
        <v>0</v>
      </c>
      <c r="Q933" s="8">
        <v>0</v>
      </c>
      <c r="R933" s="31">
        <v>5.3796992481203008</v>
      </c>
      <c r="S933" s="8">
        <v>2.2987089877067501E-2</v>
      </c>
      <c r="T933" s="31">
        <v>15.939954051796157</v>
      </c>
      <c r="U933" s="8">
        <v>6.8110342144682437E-2</v>
      </c>
      <c r="V933" s="31">
        <v>0</v>
      </c>
      <c r="W933" s="8">
        <v>0</v>
      </c>
      <c r="X933" s="31">
        <v>0</v>
      </c>
      <c r="Y933" s="8">
        <v>0</v>
      </c>
      <c r="Z933" s="31">
        <v>66.600285317814311</v>
      </c>
      <c r="AA933" s="8">
        <v>0.28457850036391136</v>
      </c>
      <c r="AB933" s="31">
        <v>6.4135593220338984</v>
      </c>
      <c r="AC933" s="8">
        <v>2.7404703825963862E-2</v>
      </c>
      <c r="AD933" s="31">
        <v>0</v>
      </c>
      <c r="AE933" s="8">
        <v>0</v>
      </c>
      <c r="AF933" s="31">
        <v>0</v>
      </c>
      <c r="AG933" s="8">
        <v>0</v>
      </c>
      <c r="AH933" s="31">
        <v>0</v>
      </c>
      <c r="AI933" s="8">
        <v>0</v>
      </c>
      <c r="AJ933" s="31">
        <v>5.3796992481203008</v>
      </c>
      <c r="AK933" s="8">
        <v>2.2987089877067501E-2</v>
      </c>
      <c r="AL933" s="31">
        <v>25.778692174490239</v>
      </c>
      <c r="AM933" s="8">
        <v>0.11015060258904134</v>
      </c>
      <c r="AN933" s="31">
        <v>0</v>
      </c>
      <c r="AO933" s="8">
        <v>0</v>
      </c>
      <c r="AP933" s="31">
        <v>0</v>
      </c>
      <c r="AQ933" s="8">
        <v>0</v>
      </c>
      <c r="AR933" s="31">
        <v>234.0313313642726</v>
      </c>
      <c r="AS933" s="6">
        <v>3.3146557159443535E-2</v>
      </c>
    </row>
    <row r="934" spans="1:45">
      <c r="A934" s="9" t="s">
        <v>1</v>
      </c>
      <c r="B934" s="31">
        <v>0</v>
      </c>
      <c r="C934" s="8">
        <v>0</v>
      </c>
      <c r="D934" s="31">
        <v>0</v>
      </c>
      <c r="E934" s="8">
        <v>0</v>
      </c>
      <c r="F934" s="31">
        <v>606.15049971655742</v>
      </c>
      <c r="G934" s="8">
        <v>0.32515507371697394</v>
      </c>
      <c r="H934" s="31">
        <v>40.996062992125985</v>
      </c>
      <c r="I934" s="8">
        <v>2.1991366649938792E-2</v>
      </c>
      <c r="J934" s="31">
        <v>0</v>
      </c>
      <c r="K934" s="8">
        <v>0</v>
      </c>
      <c r="L934" s="31">
        <v>58.834310036395038</v>
      </c>
      <c r="M934" s="8">
        <v>3.1560271625473965E-2</v>
      </c>
      <c r="N934" s="31">
        <v>512.12054371717568</v>
      </c>
      <c r="O934" s="8">
        <v>0.27471493172438355</v>
      </c>
      <c r="P934" s="31">
        <v>20.320754716981131</v>
      </c>
      <c r="Q934" s="8">
        <v>1.090058739714681E-2</v>
      </c>
      <c r="R934" s="31">
        <v>30.344827586206897</v>
      </c>
      <c r="S934" s="8">
        <v>1.6277763781991073E-2</v>
      </c>
      <c r="T934" s="31">
        <v>55.292179085282527</v>
      </c>
      <c r="U934" s="8">
        <v>2.9660179402399445E-2</v>
      </c>
      <c r="V934" s="31">
        <v>15.172413793103448</v>
      </c>
      <c r="W934" s="8">
        <v>8.1388818909955366E-3</v>
      </c>
      <c r="X934" s="31">
        <v>0</v>
      </c>
      <c r="Y934" s="8">
        <v>0</v>
      </c>
      <c r="Z934" s="31">
        <v>149.87044722857917</v>
      </c>
      <c r="AA934" s="8">
        <v>8.0394450453132899E-2</v>
      </c>
      <c r="AB934" s="31">
        <v>84.657959235417579</v>
      </c>
      <c r="AC934" s="8">
        <v>4.5412756384417226E-2</v>
      </c>
      <c r="AD934" s="31">
        <v>84.657959235417579</v>
      </c>
      <c r="AE934" s="8">
        <v>4.5412756384417226E-2</v>
      </c>
      <c r="AF934" s="31">
        <v>146.93669571238962</v>
      </c>
      <c r="AG934" s="8">
        <v>7.8820708963255437E-2</v>
      </c>
      <c r="AH934" s="31">
        <v>0</v>
      </c>
      <c r="AI934" s="8">
        <v>0</v>
      </c>
      <c r="AJ934" s="31">
        <v>43.661896243291594</v>
      </c>
      <c r="AK934" s="8">
        <v>2.342138973447843E-2</v>
      </c>
      <c r="AL934" s="31">
        <v>15.172413793103448</v>
      </c>
      <c r="AM934" s="8">
        <v>8.1388818909955366E-3</v>
      </c>
      <c r="AN934" s="31">
        <v>0</v>
      </c>
      <c r="AO934" s="8">
        <v>0</v>
      </c>
      <c r="AP934" s="31">
        <v>0</v>
      </c>
      <c r="AQ934" s="8">
        <v>0</v>
      </c>
      <c r="AR934" s="31">
        <v>1864.1889630920273</v>
      </c>
      <c r="AS934" s="6">
        <v>0.26403065632675704</v>
      </c>
    </row>
    <row r="935" spans="1:45" ht="15.75" thickBot="1">
      <c r="A935" s="9" t="s">
        <v>0</v>
      </c>
      <c r="B935" s="31">
        <v>322.78095341868925</v>
      </c>
      <c r="C935" s="8">
        <v>6.5046882868089059E-2</v>
      </c>
      <c r="D935" s="31">
        <v>0</v>
      </c>
      <c r="E935" s="8">
        <v>0</v>
      </c>
      <c r="F935" s="31">
        <v>694.54036197694666</v>
      </c>
      <c r="G935" s="8">
        <v>0.13996391389944635</v>
      </c>
      <c r="H935" s="31">
        <v>53.085987261146499</v>
      </c>
      <c r="I935" s="8">
        <v>1.0697898865282702E-2</v>
      </c>
      <c r="J935" s="31">
        <v>0</v>
      </c>
      <c r="K935" s="8">
        <v>0</v>
      </c>
      <c r="L935" s="31">
        <v>449.28431647969029</v>
      </c>
      <c r="M935" s="8">
        <v>9.0539866119720522E-2</v>
      </c>
      <c r="N935" s="31">
        <v>809.76427201031788</v>
      </c>
      <c r="O935" s="8">
        <v>0.16318385950082756</v>
      </c>
      <c r="P935" s="31">
        <v>0</v>
      </c>
      <c r="Q935" s="8">
        <v>0</v>
      </c>
      <c r="R935" s="31">
        <v>151.71857895631479</v>
      </c>
      <c r="S935" s="8">
        <v>3.0574358647126165E-2</v>
      </c>
      <c r="T935" s="31">
        <v>622.66809394142263</v>
      </c>
      <c r="U935" s="8">
        <v>0.12548019994155846</v>
      </c>
      <c r="V935" s="31">
        <v>153.63503758535606</v>
      </c>
      <c r="W935" s="8">
        <v>3.0960563776779793E-2</v>
      </c>
      <c r="X935" s="31">
        <v>122.29134589134588</v>
      </c>
      <c r="Y935" s="8">
        <v>2.4644176701644128E-2</v>
      </c>
      <c r="Z935" s="31">
        <v>946.1247218413472</v>
      </c>
      <c r="AA935" s="8">
        <v>0.1906632448674529</v>
      </c>
      <c r="AB935" s="31">
        <v>225.06678248635902</v>
      </c>
      <c r="AC935" s="8">
        <v>4.5355503423704223E-2</v>
      </c>
      <c r="AD935" s="31">
        <v>47.463063063063061</v>
      </c>
      <c r="AE935" s="8">
        <v>9.5647660462143888E-3</v>
      </c>
      <c r="AF935" s="31">
        <v>153.46022510930985</v>
      </c>
      <c r="AG935" s="8">
        <v>3.0925335531330908E-2</v>
      </c>
      <c r="AH935" s="31">
        <v>0</v>
      </c>
      <c r="AI935" s="8">
        <v>0</v>
      </c>
      <c r="AJ935" s="31">
        <v>105.82234957020057</v>
      </c>
      <c r="AK935" s="8">
        <v>2.1325341239667638E-2</v>
      </c>
      <c r="AL935" s="31">
        <v>47.463063063063061</v>
      </c>
      <c r="AM935" s="8">
        <v>9.5647660462143888E-3</v>
      </c>
      <c r="AN935" s="31">
        <v>0</v>
      </c>
      <c r="AO935" s="8">
        <v>0</v>
      </c>
      <c r="AP935" s="31">
        <v>57.112499999999997</v>
      </c>
      <c r="AQ935" s="8">
        <v>1.1509322524941261E-2</v>
      </c>
      <c r="AR935" s="31">
        <v>4962.2816526545703</v>
      </c>
      <c r="AS935" s="6">
        <v>0.70282278651380037</v>
      </c>
    </row>
    <row r="936" spans="1:45" ht="15.75" customHeight="1">
      <c r="A936" s="13" t="s">
        <v>3</v>
      </c>
      <c r="B936" s="11">
        <v>123.47449129852744</v>
      </c>
      <c r="C936" s="12">
        <v>2.0319798328649684E-2</v>
      </c>
      <c r="D936" s="11">
        <v>46.79545290797742</v>
      </c>
      <c r="E936" s="12">
        <v>7.7009765805713818E-3</v>
      </c>
      <c r="F936" s="11">
        <v>794.06324643127232</v>
      </c>
      <c r="G936" s="12">
        <v>0.13067642440142405</v>
      </c>
      <c r="H936" s="11">
        <v>0</v>
      </c>
      <c r="I936" s="12">
        <v>0</v>
      </c>
      <c r="J936" s="11">
        <v>38.210526315789473</v>
      </c>
      <c r="K936" s="12">
        <v>6.2881829323856745E-3</v>
      </c>
      <c r="L936" s="11">
        <v>424.39096985765059</v>
      </c>
      <c r="M936" s="12">
        <v>6.9840651533102135E-2</v>
      </c>
      <c r="N936" s="11">
        <v>987.71839606044387</v>
      </c>
      <c r="O936" s="12">
        <v>0.16254562705523706</v>
      </c>
      <c r="P936" s="11">
        <v>174.3020478455864</v>
      </c>
      <c r="Q936" s="12">
        <v>2.8684325185271718E-2</v>
      </c>
      <c r="R936" s="11">
        <v>82.071911889984179</v>
      </c>
      <c r="S936" s="12">
        <v>1.3506309526063815E-2</v>
      </c>
      <c r="T936" s="11">
        <v>509.26776801678886</v>
      </c>
      <c r="U936" s="12">
        <v>8.3808552135384393E-2</v>
      </c>
      <c r="V936" s="11">
        <v>45.485436893203882</v>
      </c>
      <c r="W936" s="12">
        <v>7.4853914751171584E-3</v>
      </c>
      <c r="X936" s="11">
        <v>47.152884231536923</v>
      </c>
      <c r="Y936" s="12">
        <v>7.759797899328724E-3</v>
      </c>
      <c r="Z936" s="11">
        <v>1642.7671955367043</v>
      </c>
      <c r="AA936" s="12">
        <v>0.27034489280479712</v>
      </c>
      <c r="AB936" s="11">
        <v>172.07023856225698</v>
      </c>
      <c r="AC936" s="12">
        <v>2.8317043538120656E-2</v>
      </c>
      <c r="AD936" s="11">
        <v>22.659383753501402</v>
      </c>
      <c r="AE936" s="12">
        <v>3.7289816162062676E-3</v>
      </c>
      <c r="AF936" s="11">
        <v>391.0561012457166</v>
      </c>
      <c r="AG936" s="12">
        <v>6.4354839845335243E-2</v>
      </c>
      <c r="AH936" s="11">
        <v>138.59258941742374</v>
      </c>
      <c r="AI936" s="12">
        <v>2.2807734919098911E-2</v>
      </c>
      <c r="AJ936" s="11">
        <v>354.56256813269698</v>
      </c>
      <c r="AK936" s="12">
        <v>5.8349216940085817E-2</v>
      </c>
      <c r="AL936" s="11">
        <v>81.919656108962599</v>
      </c>
      <c r="AM936" s="12">
        <v>1.3481253283821442E-2</v>
      </c>
      <c r="AN936" s="11">
        <v>0</v>
      </c>
      <c r="AO936" s="12">
        <v>0</v>
      </c>
      <c r="AP936" s="11">
        <v>0</v>
      </c>
      <c r="AQ936" s="12">
        <v>0</v>
      </c>
      <c r="AR936" s="11">
        <v>6076.5608645060165</v>
      </c>
      <c r="AS936" s="10">
        <v>1</v>
      </c>
    </row>
    <row r="937" spans="1:45">
      <c r="A937" s="9" t="s">
        <v>2</v>
      </c>
      <c r="B937" s="31">
        <v>0</v>
      </c>
      <c r="C937" s="8">
        <v>0</v>
      </c>
      <c r="D937" s="31">
        <v>0</v>
      </c>
      <c r="E937" s="8">
        <v>0</v>
      </c>
      <c r="F937" s="31">
        <v>23.041959662520306</v>
      </c>
      <c r="G937" s="8">
        <v>8.7449733221754936E-2</v>
      </c>
      <c r="H937" s="31">
        <v>0</v>
      </c>
      <c r="I937" s="8">
        <v>0</v>
      </c>
      <c r="J937" s="31">
        <v>0</v>
      </c>
      <c r="K937" s="8">
        <v>0</v>
      </c>
      <c r="L937" s="31">
        <v>0</v>
      </c>
      <c r="M937" s="8">
        <v>0</v>
      </c>
      <c r="N937" s="31">
        <v>71.335592159892713</v>
      </c>
      <c r="O937" s="8">
        <v>0.27073558824710636</v>
      </c>
      <c r="P937" s="31">
        <v>13.038758188917933</v>
      </c>
      <c r="Q937" s="8">
        <v>4.9485197520701157E-2</v>
      </c>
      <c r="R937" s="31">
        <v>7.5707070707070709</v>
      </c>
      <c r="S937" s="8">
        <v>2.8732639208212733E-2</v>
      </c>
      <c r="T937" s="31">
        <v>31.916603004838301</v>
      </c>
      <c r="U937" s="8">
        <v>0.12113112161452694</v>
      </c>
      <c r="V937" s="31">
        <v>0</v>
      </c>
      <c r="W937" s="8">
        <v>0</v>
      </c>
      <c r="X937" s="31">
        <v>0</v>
      </c>
      <c r="Y937" s="8">
        <v>0</v>
      </c>
      <c r="Z937" s="31">
        <v>82.30305140369039</v>
      </c>
      <c r="AA937" s="8">
        <v>0.31235971219480324</v>
      </c>
      <c r="AB937" s="31">
        <v>5.4680511182108624</v>
      </c>
      <c r="AC937" s="8">
        <v>2.0752558312488421E-2</v>
      </c>
      <c r="AD937" s="31">
        <v>4.6022408963585431</v>
      </c>
      <c r="AE937" s="8">
        <v>1.7466601994944372E-2</v>
      </c>
      <c r="AF937" s="31">
        <v>7.4358974358974361</v>
      </c>
      <c r="AG937" s="8">
        <v>2.8221004487360379E-2</v>
      </c>
      <c r="AH937" s="31">
        <v>0</v>
      </c>
      <c r="AI937" s="8">
        <v>0</v>
      </c>
      <c r="AJ937" s="31">
        <v>12.172947967065614</v>
      </c>
      <c r="AK937" s="8">
        <v>4.6199241203157104E-2</v>
      </c>
      <c r="AL937" s="31">
        <v>4.6022408963585431</v>
      </c>
      <c r="AM937" s="8">
        <v>1.7466601994944372E-2</v>
      </c>
      <c r="AN937" s="31">
        <v>0</v>
      </c>
      <c r="AO937" s="8">
        <v>0</v>
      </c>
      <c r="AP937" s="31">
        <v>0</v>
      </c>
      <c r="AQ937" s="8">
        <v>0</v>
      </c>
      <c r="AR937" s="31">
        <v>263.48804980445772</v>
      </c>
      <c r="AS937" s="6">
        <v>4.3361377542274891E-2</v>
      </c>
    </row>
    <row r="938" spans="1:45">
      <c r="A938" s="9" t="s">
        <v>1</v>
      </c>
      <c r="B938" s="31">
        <v>0</v>
      </c>
      <c r="C938" s="8">
        <v>0</v>
      </c>
      <c r="D938" s="31">
        <v>9.5448504983388709</v>
      </c>
      <c r="E938" s="8">
        <v>1.1631275073253435E-2</v>
      </c>
      <c r="F938" s="31">
        <v>185.85916417494107</v>
      </c>
      <c r="G938" s="8">
        <v>0.2264864246726476</v>
      </c>
      <c r="H938" s="31">
        <v>0</v>
      </c>
      <c r="I938" s="8">
        <v>0</v>
      </c>
      <c r="J938" s="31">
        <v>0</v>
      </c>
      <c r="K938" s="8">
        <v>0</v>
      </c>
      <c r="L938" s="31">
        <v>74.505901454002938</v>
      </c>
      <c r="M938" s="8">
        <v>9.0792269040048237E-2</v>
      </c>
      <c r="N938" s="31">
        <v>219.1328047052271</v>
      </c>
      <c r="O938" s="8">
        <v>0.26703340503275541</v>
      </c>
      <c r="P938" s="31">
        <v>20.086455660108356</v>
      </c>
      <c r="Q938" s="8">
        <v>2.4477187051812753E-2</v>
      </c>
      <c r="R938" s="31">
        <v>0</v>
      </c>
      <c r="S938" s="8">
        <v>0</v>
      </c>
      <c r="T938" s="31">
        <v>96.677734729875809</v>
      </c>
      <c r="U938" s="8">
        <v>0.11781067983180156</v>
      </c>
      <c r="V938" s="31">
        <v>0</v>
      </c>
      <c r="W938" s="8">
        <v>0</v>
      </c>
      <c r="X938" s="31">
        <v>11.057884231536926</v>
      </c>
      <c r="Y938" s="8">
        <v>1.3475045339639573E-2</v>
      </c>
      <c r="Z938" s="31">
        <v>113.32207706813064</v>
      </c>
      <c r="AA938" s="8">
        <v>0.13809333634730511</v>
      </c>
      <c r="AB938" s="31">
        <v>21.250732851280048</v>
      </c>
      <c r="AC938" s="8">
        <v>2.5895965509829418E-2</v>
      </c>
      <c r="AD938" s="31">
        <v>18.057142857142857</v>
      </c>
      <c r="AE938" s="8">
        <v>2.2004283424346349E-2</v>
      </c>
      <c r="AF938" s="31">
        <v>0</v>
      </c>
      <c r="AG938" s="8">
        <v>0</v>
      </c>
      <c r="AH938" s="31">
        <v>11.057884231536926</v>
      </c>
      <c r="AI938" s="8">
        <v>1.3475045339639573E-2</v>
      </c>
      <c r="AJ938" s="31">
        <v>0</v>
      </c>
      <c r="AK938" s="8">
        <v>0</v>
      </c>
      <c r="AL938" s="31">
        <v>40.066812802965501</v>
      </c>
      <c r="AM938" s="8">
        <v>4.8825083336920677E-2</v>
      </c>
      <c r="AN938" s="31">
        <v>0</v>
      </c>
      <c r="AO938" s="8">
        <v>0</v>
      </c>
      <c r="AP938" s="31">
        <v>0</v>
      </c>
      <c r="AQ938" s="8">
        <v>0</v>
      </c>
      <c r="AR938" s="31">
        <v>820.61944526508728</v>
      </c>
      <c r="AS938" s="6">
        <v>0.13504669229241698</v>
      </c>
    </row>
    <row r="939" spans="1:45" ht="15.75" thickBot="1">
      <c r="A939" s="5" t="s">
        <v>0</v>
      </c>
      <c r="B939" s="30">
        <v>123.47449129852744</v>
      </c>
      <c r="C939" s="4">
        <v>2.4732227256128479E-2</v>
      </c>
      <c r="D939" s="30">
        <v>37.250602409638553</v>
      </c>
      <c r="E939" s="4">
        <v>7.4613821408297245E-3</v>
      </c>
      <c r="F939" s="30">
        <v>585.16212259381109</v>
      </c>
      <c r="G939" s="4">
        <v>0.11720933162363428</v>
      </c>
      <c r="H939" s="30">
        <v>0</v>
      </c>
      <c r="I939" s="4">
        <v>0</v>
      </c>
      <c r="J939" s="30">
        <v>38.210526315789473</v>
      </c>
      <c r="K939" s="4">
        <v>7.6536571277184386E-3</v>
      </c>
      <c r="L939" s="30">
        <v>349.88506840364778</v>
      </c>
      <c r="M939" s="4">
        <v>7.0082791467943273E-2</v>
      </c>
      <c r="N939" s="30">
        <v>697.24999919532388</v>
      </c>
      <c r="O939" s="4">
        <v>0.1396607935216479</v>
      </c>
      <c r="P939" s="30">
        <v>141.17683399656011</v>
      </c>
      <c r="Q939" s="4">
        <v>2.8278047594963371E-2</v>
      </c>
      <c r="R939" s="30">
        <v>74.501204819277106</v>
      </c>
      <c r="S939" s="4">
        <v>1.4922764281659449E-2</v>
      </c>
      <c r="T939" s="30">
        <v>380.67343028207483</v>
      </c>
      <c r="U939" s="4">
        <v>7.6249771828122828E-2</v>
      </c>
      <c r="V939" s="30">
        <v>45.485436893203882</v>
      </c>
      <c r="W939" s="4">
        <v>9.1108386052563169E-3</v>
      </c>
      <c r="X939" s="30">
        <v>36.094999999999999</v>
      </c>
      <c r="Y939" s="4">
        <v>7.2299122954200337E-3</v>
      </c>
      <c r="Z939" s="30">
        <v>1447.1420670648822</v>
      </c>
      <c r="AA939" s="4">
        <v>0.28986591560858715</v>
      </c>
      <c r="AB939" s="30">
        <v>145.35145459276606</v>
      </c>
      <c r="AC939" s="4">
        <v>2.9114233791866631E-2</v>
      </c>
      <c r="AD939" s="30">
        <v>0</v>
      </c>
      <c r="AE939" s="4">
        <v>0</v>
      </c>
      <c r="AF939" s="30">
        <v>383.6202038098192</v>
      </c>
      <c r="AG939" s="4">
        <v>7.6840017406736419E-2</v>
      </c>
      <c r="AH939" s="30">
        <v>127.53470518588681</v>
      </c>
      <c r="AI939" s="4">
        <v>2.554549752365181E-2</v>
      </c>
      <c r="AJ939" s="30">
        <v>342.38962016563141</v>
      </c>
      <c r="AK939" s="4">
        <v>6.8581435785003281E-2</v>
      </c>
      <c r="AL939" s="30">
        <v>37.250602409638553</v>
      </c>
      <c r="AM939" s="4">
        <v>7.4613821408297245E-3</v>
      </c>
      <c r="AN939" s="30">
        <v>0</v>
      </c>
      <c r="AO939" s="4">
        <v>0</v>
      </c>
      <c r="AP939" s="30">
        <v>0</v>
      </c>
      <c r="AQ939" s="4">
        <v>0</v>
      </c>
      <c r="AR939" s="30">
        <v>4992.4533694364827</v>
      </c>
      <c r="AS939" s="2">
        <v>0.82159193016530996</v>
      </c>
    </row>
    <row r="942" spans="1:45" ht="15.75" thickBot="1"/>
    <row r="943" spans="1:45" ht="51" customHeight="1">
      <c r="A943" s="627" t="s">
        <v>96</v>
      </c>
      <c r="B943" s="624" t="s">
        <v>356</v>
      </c>
      <c r="C943" s="625"/>
      <c r="D943" s="625"/>
      <c r="E943" s="626"/>
      <c r="H943" s="64"/>
      <c r="I943" s="44"/>
      <c r="J943" s="44"/>
      <c r="K943" s="44"/>
      <c r="L943" s="63"/>
      <c r="M943" s="44"/>
      <c r="N943" s="44"/>
      <c r="O943" s="44"/>
      <c r="P943" s="1"/>
    </row>
    <row r="944" spans="1:45" ht="36.75" thickBot="1">
      <c r="A944" s="628"/>
      <c r="B944" s="62" t="s">
        <v>95</v>
      </c>
      <c r="C944" s="61" t="s">
        <v>94</v>
      </c>
      <c r="D944" s="61" t="s">
        <v>93</v>
      </c>
      <c r="E944" s="60" t="s">
        <v>92</v>
      </c>
      <c r="H944" s="44"/>
      <c r="I944" s="44"/>
      <c r="J944" s="44"/>
      <c r="K944" s="44"/>
      <c r="L944" s="59"/>
      <c r="M944" s="59"/>
      <c r="N944" s="59"/>
      <c r="O944" s="59"/>
      <c r="P944" s="1"/>
    </row>
    <row r="945" spans="1:16" ht="15" customHeight="1">
      <c r="A945" s="14" t="s">
        <v>5</v>
      </c>
      <c r="B945" s="17">
        <v>2162914.6531160302</v>
      </c>
      <c r="C945" s="58">
        <v>26348.663344066899</v>
      </c>
      <c r="D945" s="58">
        <v>2200575.3290152214</v>
      </c>
      <c r="E945" s="57">
        <v>6975.1781198000072</v>
      </c>
      <c r="H945" s="51"/>
      <c r="I945" s="51"/>
      <c r="J945" s="51"/>
      <c r="K945" s="43"/>
      <c r="L945" s="42"/>
      <c r="M945" s="42"/>
      <c r="N945" s="42"/>
      <c r="O945" s="42"/>
      <c r="P945" s="1"/>
    </row>
    <row r="946" spans="1:16">
      <c r="A946" s="9" t="s">
        <v>2</v>
      </c>
      <c r="B946" s="7">
        <v>1510083.7229748601</v>
      </c>
      <c r="C946" s="56">
        <v>134840.97327606275</v>
      </c>
      <c r="D946" s="56">
        <v>2196761.0066008852</v>
      </c>
      <c r="E946" s="55">
        <v>265.41280079999984</v>
      </c>
      <c r="H946" s="44"/>
      <c r="I946" s="44"/>
      <c r="J946" s="44"/>
      <c r="K946" s="43"/>
      <c r="L946" s="42"/>
      <c r="M946" s="42"/>
      <c r="N946" s="42"/>
      <c r="O946" s="42"/>
      <c r="P946" s="1"/>
    </row>
    <row r="947" spans="1:16">
      <c r="A947" s="9" t="s">
        <v>1</v>
      </c>
      <c r="B947" s="7">
        <v>2033240.32147745</v>
      </c>
      <c r="C947" s="56">
        <v>41051.219977369801</v>
      </c>
      <c r="D947" s="56">
        <v>1586393.3903399114</v>
      </c>
      <c r="E947" s="55">
        <v>1493.3776489999998</v>
      </c>
      <c r="H947" s="44"/>
      <c r="I947" s="44"/>
      <c r="J947" s="44"/>
      <c r="K947" s="43"/>
      <c r="L947" s="42"/>
      <c r="M947" s="42"/>
      <c r="N947" s="42"/>
      <c r="O947" s="42"/>
      <c r="P947" s="1"/>
    </row>
    <row r="948" spans="1:16" ht="15.75" thickBot="1">
      <c r="A948" s="9" t="s">
        <v>0</v>
      </c>
      <c r="B948" s="7">
        <v>2233254.9838866699</v>
      </c>
      <c r="C948" s="56">
        <v>32410.0032700712</v>
      </c>
      <c r="D948" s="56">
        <v>2340798.3610309297</v>
      </c>
      <c r="E948" s="55">
        <v>5216.387670000001</v>
      </c>
      <c r="H948" s="44"/>
      <c r="I948" s="44"/>
      <c r="J948" s="44"/>
      <c r="K948" s="43"/>
      <c r="L948" s="42"/>
      <c r="M948" s="42"/>
      <c r="N948" s="42"/>
      <c r="O948" s="42"/>
      <c r="P948" s="1"/>
    </row>
    <row r="949" spans="1:16" ht="15" customHeight="1">
      <c r="A949" s="13" t="s">
        <v>4</v>
      </c>
      <c r="B949" s="54">
        <v>3453309.5443799617</v>
      </c>
      <c r="C949" s="53">
        <v>54924.84681477306</v>
      </c>
      <c r="D949" s="53">
        <v>4615158.7355761966</v>
      </c>
      <c r="E949" s="52">
        <v>7060.5019471108635</v>
      </c>
      <c r="H949" s="44"/>
      <c r="I949" s="51"/>
      <c r="J949" s="51"/>
      <c r="K949" s="43"/>
      <c r="L949" s="42"/>
      <c r="M949" s="42"/>
      <c r="N949" s="42"/>
      <c r="O949" s="42"/>
      <c r="P949" s="1"/>
    </row>
    <row r="950" spans="1:16">
      <c r="A950" s="9" t="s">
        <v>2</v>
      </c>
      <c r="B950" s="50">
        <v>2137224.1810511975</v>
      </c>
      <c r="C950" s="49">
        <v>78437.244916498312</v>
      </c>
      <c r="D950" s="49">
        <v>1199939.451976781</v>
      </c>
      <c r="E950" s="48">
        <v>234.0313313642726</v>
      </c>
      <c r="H950" s="44"/>
      <c r="I950" s="44"/>
      <c r="J950" s="44"/>
      <c r="K950" s="43"/>
      <c r="L950" s="42"/>
      <c r="M950" s="42"/>
      <c r="N950" s="42"/>
      <c r="O950" s="42"/>
      <c r="P950" s="1"/>
    </row>
    <row r="951" spans="1:16">
      <c r="A951" s="9" t="s">
        <v>1</v>
      </c>
      <c r="B951" s="50">
        <v>3041832.0727736759</v>
      </c>
      <c r="C951" s="49">
        <v>61410.572237225482</v>
      </c>
      <c r="D951" s="49">
        <v>2651478.5033319234</v>
      </c>
      <c r="E951" s="48">
        <v>1864.1889630920273</v>
      </c>
      <c r="H951" s="44"/>
      <c r="I951" s="44"/>
      <c r="J951" s="44"/>
      <c r="K951" s="43"/>
      <c r="L951" s="42"/>
      <c r="M951" s="42"/>
      <c r="N951" s="42"/>
      <c r="O951" s="42"/>
      <c r="P951" s="1"/>
    </row>
    <row r="952" spans="1:16" ht="15.75" thickBot="1">
      <c r="A952" s="9" t="s">
        <v>0</v>
      </c>
      <c r="B952" s="50">
        <v>3669959.2724991208</v>
      </c>
      <c r="C952" s="49">
        <v>74318.159466288547</v>
      </c>
      <c r="D952" s="49">
        <v>5235228.6079666838</v>
      </c>
      <c r="E952" s="48">
        <v>4962.2816526545703</v>
      </c>
      <c r="H952" s="44"/>
      <c r="I952" s="44"/>
      <c r="J952" s="44"/>
      <c r="K952" s="43"/>
      <c r="L952" s="42"/>
      <c r="M952" s="42"/>
      <c r="N952" s="42"/>
      <c r="O952" s="42"/>
      <c r="P952" s="1"/>
    </row>
    <row r="953" spans="1:16" ht="15" customHeight="1">
      <c r="A953" s="13" t="s">
        <v>3</v>
      </c>
      <c r="B953" s="54">
        <v>4016830.8903104849</v>
      </c>
      <c r="C953" s="53">
        <v>54990.67675716833</v>
      </c>
      <c r="D953" s="53">
        <v>4286649.657430077</v>
      </c>
      <c r="E953" s="52">
        <v>6076.5608645060165</v>
      </c>
      <c r="H953" s="44"/>
      <c r="I953" s="51"/>
      <c r="J953" s="51"/>
      <c r="K953" s="43"/>
      <c r="L953" s="42"/>
      <c r="M953" s="42"/>
      <c r="N953" s="42"/>
      <c r="O953" s="42"/>
      <c r="P953" s="1"/>
    </row>
    <row r="954" spans="1:16">
      <c r="A954" s="9" t="s">
        <v>2</v>
      </c>
      <c r="B954" s="50">
        <v>2601141.7399054258</v>
      </c>
      <c r="C954" s="49">
        <v>128887.01565624666</v>
      </c>
      <c r="D954" s="49">
        <v>2092134.6357366673</v>
      </c>
      <c r="E954" s="48">
        <v>263.48804980445772</v>
      </c>
      <c r="H954" s="44"/>
      <c r="I954" s="44"/>
      <c r="J954" s="44"/>
      <c r="K954" s="43"/>
      <c r="L954" s="42"/>
      <c r="M954" s="42"/>
      <c r="N954" s="42"/>
      <c r="O954" s="42"/>
      <c r="P954" s="1"/>
    </row>
    <row r="955" spans="1:16">
      <c r="A955" s="9" t="s">
        <v>1</v>
      </c>
      <c r="B955" s="50">
        <v>3086805.6122468999</v>
      </c>
      <c r="C955" s="49">
        <v>113605.6116159509</v>
      </c>
      <c r="D955" s="49">
        <v>3254398.162252916</v>
      </c>
      <c r="E955" s="48">
        <v>820.61944526508728</v>
      </c>
      <c r="H955" s="44"/>
      <c r="I955" s="44"/>
      <c r="J955" s="44"/>
      <c r="K955" s="43"/>
      <c r="L955" s="42"/>
      <c r="M955" s="42"/>
      <c r="N955" s="42"/>
      <c r="O955" s="42"/>
      <c r="P955" s="1"/>
    </row>
    <row r="956" spans="1:16" ht="15.75" thickBot="1">
      <c r="A956" s="5" t="s">
        <v>0</v>
      </c>
      <c r="B956" s="47">
        <v>4244417.1924865777</v>
      </c>
      <c r="C956" s="46">
        <v>63447.067616724169</v>
      </c>
      <c r="D956" s="46">
        <v>4482998.1881701257</v>
      </c>
      <c r="E956" s="45">
        <v>4992.4533694364827</v>
      </c>
      <c r="H956" s="44"/>
      <c r="I956" s="44"/>
      <c r="J956" s="44"/>
      <c r="K956" s="43"/>
      <c r="L956" s="42"/>
      <c r="M956" s="42"/>
      <c r="N956" s="42"/>
      <c r="O956" s="42"/>
      <c r="P956" s="1"/>
    </row>
    <row r="960" spans="1:16" ht="15.75" thickBot="1"/>
    <row r="961" spans="1:7" ht="30.75" customHeight="1">
      <c r="A961" s="602" t="s">
        <v>13</v>
      </c>
      <c r="B961" s="594" t="s">
        <v>357</v>
      </c>
      <c r="C961" s="595"/>
      <c r="D961" s="595"/>
      <c r="E961" s="595"/>
      <c r="F961" s="595"/>
      <c r="G961" s="596"/>
    </row>
    <row r="962" spans="1:7">
      <c r="A962" s="603"/>
      <c r="B962" s="597" t="s">
        <v>27</v>
      </c>
      <c r="C962" s="598"/>
      <c r="D962" s="599" t="s">
        <v>26</v>
      </c>
      <c r="E962" s="598"/>
      <c r="F962" s="600" t="s">
        <v>9</v>
      </c>
      <c r="G962" s="601"/>
    </row>
    <row r="963" spans="1:7" ht="15.75" thickBot="1">
      <c r="A963" s="604"/>
      <c r="B963" s="16" t="s">
        <v>7</v>
      </c>
      <c r="C963" s="16" t="s">
        <v>8</v>
      </c>
      <c r="D963" s="16" t="s">
        <v>7</v>
      </c>
      <c r="E963" s="16" t="s">
        <v>8</v>
      </c>
      <c r="F963" s="16" t="s">
        <v>7</v>
      </c>
      <c r="G963" s="15" t="s">
        <v>6</v>
      </c>
    </row>
    <row r="964" spans="1:7" ht="15.75" customHeight="1">
      <c r="A964" s="14" t="s">
        <v>5</v>
      </c>
      <c r="B964" s="35">
        <v>58885.168554099822</v>
      </c>
      <c r="C964" s="12">
        <v>0.29424461319533085</v>
      </c>
      <c r="D964" s="35">
        <v>141238.0143807999</v>
      </c>
      <c r="E964" s="12">
        <v>0.70575538680463823</v>
      </c>
      <c r="F964" s="35">
        <v>200123.1829349059</v>
      </c>
      <c r="G964" s="10">
        <v>1</v>
      </c>
    </row>
    <row r="965" spans="1:7">
      <c r="A965" s="9" t="s">
        <v>2</v>
      </c>
      <c r="B965" s="41">
        <v>3793.7585711000061</v>
      </c>
      <c r="C965" s="8">
        <v>0.45098925295877379</v>
      </c>
      <c r="D965" s="40">
        <v>4618.323415800015</v>
      </c>
      <c r="E965" s="8">
        <v>0.5490107470412241</v>
      </c>
      <c r="F965" s="40">
        <v>8412.0819869000388</v>
      </c>
      <c r="G965" s="6">
        <v>4.2034520256637321E-2</v>
      </c>
    </row>
    <row r="966" spans="1:7">
      <c r="A966" s="9" t="s">
        <v>1</v>
      </c>
      <c r="B966" s="41">
        <v>28435.345178000181</v>
      </c>
      <c r="C966" s="8">
        <v>0.43884193866462473</v>
      </c>
      <c r="D966" s="40">
        <v>36360.980498000055</v>
      </c>
      <c r="E966" s="8">
        <v>0.56115806133538104</v>
      </c>
      <c r="F966" s="40">
        <v>64796.325675999862</v>
      </c>
      <c r="G966" s="6">
        <v>0.32378220616786896</v>
      </c>
    </row>
    <row r="967" spans="1:7" ht="15.75" thickBot="1">
      <c r="A967" s="9" t="s">
        <v>0</v>
      </c>
      <c r="B967" s="41">
        <v>26656.064805000038</v>
      </c>
      <c r="C967" s="8">
        <v>0.21003121778273406</v>
      </c>
      <c r="D967" s="40">
        <v>100258.71046699958</v>
      </c>
      <c r="E967" s="8">
        <v>0.78996878221726841</v>
      </c>
      <c r="F967" s="40">
        <v>126914.7752719993</v>
      </c>
      <c r="G967" s="6">
        <v>0.63418327357546023</v>
      </c>
    </row>
    <row r="968" spans="1:7" ht="15" customHeight="1">
      <c r="A968" s="13" t="s">
        <v>4</v>
      </c>
      <c r="B968" s="35">
        <v>45768.928696817529</v>
      </c>
      <c r="C968" s="12">
        <v>0.24474972964632605</v>
      </c>
      <c r="D968" s="35">
        <v>141234.05088953604</v>
      </c>
      <c r="E968" s="12">
        <v>0.75525027035367254</v>
      </c>
      <c r="F968" s="35">
        <v>187002.97958635382</v>
      </c>
      <c r="G968" s="10">
        <v>1</v>
      </c>
    </row>
    <row r="969" spans="1:7">
      <c r="A969" s="9" t="s">
        <v>2</v>
      </c>
      <c r="B969" s="41">
        <v>2234.6368864995143</v>
      </c>
      <c r="C969" s="8">
        <v>0.26790554699985408</v>
      </c>
      <c r="D969" s="40">
        <v>6106.5001729012756</v>
      </c>
      <c r="E969" s="8">
        <v>0.73209445300014986</v>
      </c>
      <c r="F969" s="40">
        <v>8341.1370594007567</v>
      </c>
      <c r="G969" s="6">
        <v>4.4604300305006665E-2</v>
      </c>
    </row>
    <row r="970" spans="1:7">
      <c r="A970" s="9" t="s">
        <v>1</v>
      </c>
      <c r="B970" s="41">
        <v>16877.251598413168</v>
      </c>
      <c r="C970" s="8">
        <v>0.27268901847043348</v>
      </c>
      <c r="D970" s="40">
        <v>45014.685572658542</v>
      </c>
      <c r="E970" s="8">
        <v>0.7273109815295733</v>
      </c>
      <c r="F970" s="40">
        <v>61891.937171071288</v>
      </c>
      <c r="G970" s="6">
        <v>0.33096765253673921</v>
      </c>
    </row>
    <row r="971" spans="1:7" ht="15.75" thickBot="1">
      <c r="A971" s="9" t="s">
        <v>0</v>
      </c>
      <c r="B971" s="41">
        <v>26657.040211904779</v>
      </c>
      <c r="C971" s="8">
        <v>0.22828690432403864</v>
      </c>
      <c r="D971" s="40">
        <v>90112.865143975738</v>
      </c>
      <c r="E971" s="8">
        <v>0.77171309567596746</v>
      </c>
      <c r="F971" s="40">
        <v>116769.9053558798</v>
      </c>
      <c r="G971" s="6">
        <v>0.62442804715824363</v>
      </c>
    </row>
    <row r="972" spans="1:7" ht="15" customHeight="1">
      <c r="A972" s="13" t="s">
        <v>3</v>
      </c>
      <c r="B972" s="35">
        <v>27841.484239351172</v>
      </c>
      <c r="C972" s="12">
        <v>0.21281447119122476</v>
      </c>
      <c r="D972" s="35">
        <v>102983.6616424547</v>
      </c>
      <c r="E972" s="12">
        <v>0.78718552880878179</v>
      </c>
      <c r="F972" s="35">
        <v>130825.14588180502</v>
      </c>
      <c r="G972" s="10">
        <v>1</v>
      </c>
    </row>
    <row r="973" spans="1:7">
      <c r="A973" s="9" t="s">
        <v>2</v>
      </c>
      <c r="B973" s="41">
        <v>1668.5733766158212</v>
      </c>
      <c r="C973" s="8">
        <v>0.22939731286430973</v>
      </c>
      <c r="D973" s="40">
        <v>5605.1533980426721</v>
      </c>
      <c r="E973" s="8">
        <v>0.77060268713570212</v>
      </c>
      <c r="F973" s="40">
        <v>7273.7267746584075</v>
      </c>
      <c r="G973" s="6">
        <v>5.5598843216501451E-2</v>
      </c>
    </row>
    <row r="974" spans="1:7">
      <c r="A974" s="9" t="s">
        <v>1</v>
      </c>
      <c r="B974" s="41">
        <v>4992.5787664129748</v>
      </c>
      <c r="C974" s="8">
        <v>0.25102706650799522</v>
      </c>
      <c r="D974" s="40">
        <v>14896.028609134462</v>
      </c>
      <c r="E974" s="8">
        <v>0.748972933492</v>
      </c>
      <c r="F974" s="40">
        <v>19888.607375547534</v>
      </c>
      <c r="G974" s="6">
        <v>0.15202434701289039</v>
      </c>
    </row>
    <row r="975" spans="1:7" ht="15.75" thickBot="1">
      <c r="A975" s="5" t="s">
        <v>0</v>
      </c>
      <c r="B975" s="39">
        <v>21180.33209632229</v>
      </c>
      <c r="C975" s="4">
        <v>0.20431948297101446</v>
      </c>
      <c r="D975" s="38">
        <v>82482.479635278782</v>
      </c>
      <c r="E975" s="4">
        <v>0.79568051702898801</v>
      </c>
      <c r="F975" s="38">
        <v>103662.81173160081</v>
      </c>
      <c r="G975" s="2">
        <v>0.79237680977062142</v>
      </c>
    </row>
    <row r="978" spans="1:21" ht="15.75" thickBot="1"/>
    <row r="979" spans="1:21" ht="15" customHeight="1">
      <c r="A979" s="602" t="s">
        <v>13</v>
      </c>
      <c r="B979" s="594" t="s">
        <v>358</v>
      </c>
      <c r="C979" s="595"/>
      <c r="D979" s="595"/>
      <c r="E979" s="595"/>
      <c r="F979" s="595"/>
      <c r="G979" s="595"/>
      <c r="H979" s="595"/>
      <c r="I979" s="595"/>
      <c r="J979" s="595"/>
      <c r="K979" s="595"/>
      <c r="L979" s="595"/>
      <c r="M979" s="595"/>
      <c r="N979" s="595"/>
      <c r="O979" s="595"/>
      <c r="P979" s="595"/>
      <c r="Q979" s="595"/>
      <c r="R979" s="595"/>
      <c r="S979" s="595"/>
      <c r="T979" s="595"/>
      <c r="U979" s="596"/>
    </row>
    <row r="980" spans="1:21" ht="15.75">
      <c r="A980" s="603"/>
      <c r="B980" s="597" t="s">
        <v>91</v>
      </c>
      <c r="C980" s="598"/>
      <c r="D980" s="599" t="s">
        <v>90</v>
      </c>
      <c r="E980" s="598"/>
      <c r="F980" s="599" t="s">
        <v>89</v>
      </c>
      <c r="G980" s="598"/>
      <c r="H980" s="599" t="s">
        <v>88</v>
      </c>
      <c r="I980" s="598"/>
      <c r="J980" s="599" t="s">
        <v>76</v>
      </c>
      <c r="K980" s="598"/>
      <c r="L980" s="599" t="s">
        <v>0</v>
      </c>
      <c r="M980" s="598"/>
      <c r="N980" s="599" t="s">
        <v>75</v>
      </c>
      <c r="O980" s="598"/>
      <c r="P980" s="599" t="s">
        <v>74</v>
      </c>
      <c r="Q980" s="598"/>
      <c r="R980" s="599" t="s">
        <v>73</v>
      </c>
      <c r="S980" s="598"/>
      <c r="T980" s="600" t="s">
        <v>9</v>
      </c>
      <c r="U980" s="601"/>
    </row>
    <row r="981" spans="1:21" ht="15.75" thickBot="1">
      <c r="A981" s="604"/>
      <c r="B981" s="16" t="s">
        <v>7</v>
      </c>
      <c r="C981" s="16" t="s">
        <v>8</v>
      </c>
      <c r="D981" s="16" t="s">
        <v>7</v>
      </c>
      <c r="E981" s="16" t="s">
        <v>8</v>
      </c>
      <c r="F981" s="16" t="s">
        <v>7</v>
      </c>
      <c r="G981" s="16" t="s">
        <v>8</v>
      </c>
      <c r="H981" s="16" t="s">
        <v>7</v>
      </c>
      <c r="I981" s="16" t="s">
        <v>8</v>
      </c>
      <c r="J981" s="16" t="s">
        <v>7</v>
      </c>
      <c r="K981" s="16" t="s">
        <v>8</v>
      </c>
      <c r="L981" s="16" t="s">
        <v>7</v>
      </c>
      <c r="M981" s="16" t="s">
        <v>8</v>
      </c>
      <c r="N981" s="16" t="s">
        <v>7</v>
      </c>
      <c r="O981" s="16" t="s">
        <v>8</v>
      </c>
      <c r="P981" s="16" t="s">
        <v>7</v>
      </c>
      <c r="Q981" s="16" t="s">
        <v>8</v>
      </c>
      <c r="R981" s="16" t="s">
        <v>7</v>
      </c>
      <c r="S981" s="16" t="s">
        <v>8</v>
      </c>
      <c r="T981" s="16" t="s">
        <v>7</v>
      </c>
      <c r="U981" s="15" t="s">
        <v>6</v>
      </c>
    </row>
    <row r="982" spans="1:21" ht="15.75" customHeight="1">
      <c r="A982" s="14" t="s">
        <v>5</v>
      </c>
      <c r="B982" s="33">
        <v>4911.1781165000029</v>
      </c>
      <c r="C982" s="37">
        <v>8.3402633245210717E-2</v>
      </c>
      <c r="D982" s="33">
        <v>3617.783825</v>
      </c>
      <c r="E982" s="37">
        <v>6.1437946325588216E-2</v>
      </c>
      <c r="F982" s="33">
        <v>849.04223649999994</v>
      </c>
      <c r="G982" s="37">
        <v>1.4418609258457938E-2</v>
      </c>
      <c r="H982" s="33">
        <v>1436.3111958</v>
      </c>
      <c r="I982" s="37">
        <v>2.4391731077077781E-2</v>
      </c>
      <c r="J982" s="33">
        <v>1848.3499859999995</v>
      </c>
      <c r="K982" s="37">
        <v>3.1389058253299504E-2</v>
      </c>
      <c r="L982" s="33">
        <v>27663.256240300085</v>
      </c>
      <c r="M982" s="37">
        <v>0.46978308663385931</v>
      </c>
      <c r="N982" s="33">
        <v>12939.38908399998</v>
      </c>
      <c r="O982" s="37">
        <v>0.21973935715429124</v>
      </c>
      <c r="P982" s="33">
        <v>5413.3635300000024</v>
      </c>
      <c r="Q982" s="37">
        <v>9.1930848852484134E-2</v>
      </c>
      <c r="R982" s="33">
        <v>206.49433999999999</v>
      </c>
      <c r="S982" s="37">
        <v>3.5067291997353555E-3</v>
      </c>
      <c r="T982" s="33">
        <v>58885.168554099822</v>
      </c>
      <c r="U982" s="36">
        <v>1</v>
      </c>
    </row>
    <row r="983" spans="1:21">
      <c r="A983" s="9" t="s">
        <v>2</v>
      </c>
      <c r="B983" s="22">
        <v>202.49532449999995</v>
      </c>
      <c r="C983" s="27">
        <v>5.3375912226614391E-2</v>
      </c>
      <c r="D983" s="22">
        <v>163.11698899999999</v>
      </c>
      <c r="E983" s="27">
        <v>4.2996143782735217E-2</v>
      </c>
      <c r="F983" s="22">
        <v>48.298339500000004</v>
      </c>
      <c r="G983" s="27">
        <v>1.2730999771025446E-2</v>
      </c>
      <c r="H983" s="22">
        <v>110.3555528</v>
      </c>
      <c r="I983" s="27">
        <v>2.9088712613571044E-2</v>
      </c>
      <c r="J983" s="22">
        <v>461.53788300000036</v>
      </c>
      <c r="K983" s="27">
        <v>0.12165715723606965</v>
      </c>
      <c r="L983" s="22">
        <v>2694.3868233000021</v>
      </c>
      <c r="M983" s="27">
        <v>0.71021567999219326</v>
      </c>
      <c r="N983" s="22">
        <v>98.00713300000001</v>
      </c>
      <c r="O983" s="27">
        <v>2.5833782293527098E-2</v>
      </c>
      <c r="P983" s="22">
        <v>15.560525999999999</v>
      </c>
      <c r="Q983" s="27">
        <v>4.1016120842629691E-3</v>
      </c>
      <c r="R983" s="22">
        <v>0</v>
      </c>
      <c r="S983" s="27">
        <v>0</v>
      </c>
      <c r="T983" s="22">
        <v>3793.7585711000061</v>
      </c>
      <c r="U983" s="26">
        <v>6.44263855271901E-2</v>
      </c>
    </row>
    <row r="984" spans="1:21">
      <c r="A984" s="9" t="s">
        <v>1</v>
      </c>
      <c r="B984" s="22">
        <v>1152.296556</v>
      </c>
      <c r="C984" s="27">
        <v>4.0523389070427296E-2</v>
      </c>
      <c r="D984" s="22">
        <v>444.46301699999998</v>
      </c>
      <c r="E984" s="27">
        <v>1.5630653126161857E-2</v>
      </c>
      <c r="F984" s="22">
        <v>302.75784699999997</v>
      </c>
      <c r="G984" s="27">
        <v>1.0647236567897803E-2</v>
      </c>
      <c r="H984" s="22">
        <v>942.29718299999956</v>
      </c>
      <c r="I984" s="27">
        <v>3.3138236131876983E-2</v>
      </c>
      <c r="J984" s="22">
        <v>1207.3655709999998</v>
      </c>
      <c r="K984" s="27">
        <v>4.2460028652443187E-2</v>
      </c>
      <c r="L984" s="22">
        <v>23154.751207000114</v>
      </c>
      <c r="M984" s="27">
        <v>0.81429471181220092</v>
      </c>
      <c r="N984" s="22">
        <v>1204.2399099999996</v>
      </c>
      <c r="O984" s="27">
        <v>4.2350106969395764E-2</v>
      </c>
      <c r="P984" s="22">
        <v>27.173887000000001</v>
      </c>
      <c r="Q984" s="27">
        <v>9.5563766959382143E-4</v>
      </c>
      <c r="R984" s="22">
        <v>0</v>
      </c>
      <c r="S984" s="27">
        <v>0</v>
      </c>
      <c r="T984" s="22">
        <v>28435.345178000181</v>
      </c>
      <c r="U984" s="26">
        <v>0.48289485920169617</v>
      </c>
    </row>
    <row r="985" spans="1:21" ht="15.75" thickBot="1">
      <c r="A985" s="9" t="s">
        <v>0</v>
      </c>
      <c r="B985" s="22">
        <v>3556.3862360000003</v>
      </c>
      <c r="C985" s="27">
        <v>0.13341752663104672</v>
      </c>
      <c r="D985" s="22">
        <v>3010.2038190000003</v>
      </c>
      <c r="E985" s="27">
        <v>0.11292753979332155</v>
      </c>
      <c r="F985" s="22">
        <v>497.98604999999998</v>
      </c>
      <c r="G985" s="27">
        <v>1.8681904236164285E-2</v>
      </c>
      <c r="H985" s="22">
        <v>383.65845999999999</v>
      </c>
      <c r="I985" s="27">
        <v>1.4392914438294539E-2</v>
      </c>
      <c r="J985" s="22">
        <v>179.44653199999999</v>
      </c>
      <c r="K985" s="27">
        <v>6.7319213587123386E-3</v>
      </c>
      <c r="L985" s="22">
        <v>1814.1182100000003</v>
      </c>
      <c r="M985" s="27">
        <v>6.8056490081000828E-2</v>
      </c>
      <c r="N985" s="22">
        <v>11637.142040999985</v>
      </c>
      <c r="O985" s="27">
        <v>0.4365663921561721</v>
      </c>
      <c r="P985" s="22">
        <v>5370.6291170000022</v>
      </c>
      <c r="Q985" s="27">
        <v>0.20147869373399035</v>
      </c>
      <c r="R985" s="22">
        <v>206.49433999999999</v>
      </c>
      <c r="S985" s="27">
        <v>7.7466175712953174E-3</v>
      </c>
      <c r="T985" s="22">
        <v>26656.064805000038</v>
      </c>
      <c r="U985" s="26">
        <v>0.45267875527112056</v>
      </c>
    </row>
    <row r="986" spans="1:21" ht="15" customHeight="1">
      <c r="A986" s="13" t="s">
        <v>4</v>
      </c>
      <c r="B986" s="35">
        <v>5276.6824871109802</v>
      </c>
      <c r="C986" s="12">
        <v>0.11528962196307395</v>
      </c>
      <c r="D986" s="35">
        <v>3811.9622749759665</v>
      </c>
      <c r="E986" s="12">
        <v>8.3287120400548614E-2</v>
      </c>
      <c r="F986" s="35">
        <v>817.47034277455418</v>
      </c>
      <c r="G986" s="10">
        <v>1.7860814444437621E-2</v>
      </c>
      <c r="H986" s="35">
        <v>633.16449723031121</v>
      </c>
      <c r="I986" s="12">
        <v>1.383393746059731E-2</v>
      </c>
      <c r="J986" s="35">
        <v>1645.3427251326893</v>
      </c>
      <c r="K986" s="12">
        <v>3.5948901841940988E-2</v>
      </c>
      <c r="L986" s="35">
        <v>12920.523839476618</v>
      </c>
      <c r="M986" s="10">
        <v>0.28229902266370999</v>
      </c>
      <c r="N986" s="35">
        <v>12723.996398897416</v>
      </c>
      <c r="O986" s="12">
        <v>0.27800511747136786</v>
      </c>
      <c r="P986" s="35">
        <v>7778.2851434416143</v>
      </c>
      <c r="Q986" s="12">
        <v>0.1699468474555417</v>
      </c>
      <c r="R986" s="35">
        <v>161.50098777722627</v>
      </c>
      <c r="S986" s="10">
        <v>3.5286162987786074E-3</v>
      </c>
      <c r="T986" s="35">
        <v>45768.928696817529</v>
      </c>
      <c r="U986" s="10">
        <v>1</v>
      </c>
    </row>
    <row r="987" spans="1:21">
      <c r="A987" s="9" t="s">
        <v>2</v>
      </c>
      <c r="B987" s="22">
        <v>169.72399147821955</v>
      </c>
      <c r="C987" s="27">
        <v>7.5951485676980235E-2</v>
      </c>
      <c r="D987" s="22">
        <v>170.89981305987106</v>
      </c>
      <c r="E987" s="27">
        <v>7.6477665831239383E-2</v>
      </c>
      <c r="F987" s="22">
        <v>54.346771943984258</v>
      </c>
      <c r="G987" s="27">
        <v>2.4320180281780231E-2</v>
      </c>
      <c r="H987" s="22">
        <v>57.49088682157371</v>
      </c>
      <c r="I987" s="27">
        <v>2.5727171680062666E-2</v>
      </c>
      <c r="J987" s="22">
        <v>265.8329959166395</v>
      </c>
      <c r="K987" s="27">
        <v>0.11896026487464736</v>
      </c>
      <c r="L987" s="22">
        <v>1221.0712328391824</v>
      </c>
      <c r="M987" s="27">
        <v>0.54642937302979488</v>
      </c>
      <c r="N987" s="22">
        <v>246.03044001159716</v>
      </c>
      <c r="O987" s="27">
        <v>0.11009862116658954</v>
      </c>
      <c r="P987" s="22">
        <v>49.240754428443992</v>
      </c>
      <c r="Q987" s="27">
        <v>2.2035237458904577E-2</v>
      </c>
      <c r="R987" s="22">
        <v>0</v>
      </c>
      <c r="S987" s="27">
        <v>0</v>
      </c>
      <c r="T987" s="22">
        <v>2234.6368864995143</v>
      </c>
      <c r="U987" s="26">
        <v>4.8824321436540342E-2</v>
      </c>
    </row>
    <row r="988" spans="1:21">
      <c r="A988" s="9" t="s">
        <v>1</v>
      </c>
      <c r="B988" s="22">
        <v>1442.3351757863668</v>
      </c>
      <c r="C988" s="27">
        <v>8.546031131763053E-2</v>
      </c>
      <c r="D988" s="22">
        <v>914.43411250141003</v>
      </c>
      <c r="E988" s="27">
        <v>5.41814588216121E-2</v>
      </c>
      <c r="F988" s="22">
        <v>321.28800195644266</v>
      </c>
      <c r="G988" s="27">
        <v>1.9036748968454718E-2</v>
      </c>
      <c r="H988" s="22">
        <v>455.21747005786034</v>
      </c>
      <c r="I988" s="27">
        <v>2.6972251222507154E-2</v>
      </c>
      <c r="J988" s="22">
        <v>769.03529927724969</v>
      </c>
      <c r="K988" s="27">
        <v>4.5566382345663195E-2</v>
      </c>
      <c r="L988" s="22">
        <v>10357.347166291596</v>
      </c>
      <c r="M988" s="27">
        <v>0.61368683792480849</v>
      </c>
      <c r="N988" s="22">
        <v>1959.408753376418</v>
      </c>
      <c r="O988" s="27">
        <v>0.11609762063158705</v>
      </c>
      <c r="P988" s="22">
        <v>617.18955617373558</v>
      </c>
      <c r="Q988" s="27">
        <v>3.6569316548659199E-2</v>
      </c>
      <c r="R988" s="22">
        <v>40.996062992125985</v>
      </c>
      <c r="S988" s="27">
        <v>2.4290722190798242E-3</v>
      </c>
      <c r="T988" s="22">
        <v>16877.251598413168</v>
      </c>
      <c r="U988" s="26">
        <v>0.36874910728654875</v>
      </c>
    </row>
    <row r="989" spans="1:21" ht="15.75" thickBot="1">
      <c r="A989" s="9" t="s">
        <v>0</v>
      </c>
      <c r="B989" s="22">
        <v>3664.6233198463992</v>
      </c>
      <c r="C989" s="27">
        <v>0.13747300115523753</v>
      </c>
      <c r="D989" s="22">
        <v>2726.6283494146855</v>
      </c>
      <c r="E989" s="27">
        <v>0.10228548735118009</v>
      </c>
      <c r="F989" s="22">
        <v>441.83556887412732</v>
      </c>
      <c r="G989" s="27">
        <v>1.6574817210082003E-2</v>
      </c>
      <c r="H989" s="22">
        <v>120.45614035087719</v>
      </c>
      <c r="I989" s="27">
        <v>4.5187364911233709E-3</v>
      </c>
      <c r="J989" s="22">
        <v>610.47442993879997</v>
      </c>
      <c r="K989" s="27">
        <v>2.2901058222741771E-2</v>
      </c>
      <c r="L989" s="22">
        <v>1342.1054403458566</v>
      </c>
      <c r="M989" s="27">
        <v>5.0347128926432172E-2</v>
      </c>
      <c r="N989" s="22">
        <v>10518.557205509405</v>
      </c>
      <c r="O989" s="27">
        <v>0.39458833846121893</v>
      </c>
      <c r="P989" s="22">
        <v>7111.8548328394409</v>
      </c>
      <c r="Q989" s="27">
        <v>0.26679086561393089</v>
      </c>
      <c r="R989" s="22">
        <v>120.50492478510029</v>
      </c>
      <c r="S989" s="27">
        <v>4.5205665680499649E-3</v>
      </c>
      <c r="T989" s="22">
        <v>26657.040211904779</v>
      </c>
      <c r="U989" s="26">
        <v>0.58242657127690944</v>
      </c>
    </row>
    <row r="990" spans="1:21" ht="15" customHeight="1">
      <c r="A990" s="13" t="s">
        <v>3</v>
      </c>
      <c r="B990" s="35">
        <v>2991.3879393409488</v>
      </c>
      <c r="C990" s="12">
        <v>0.1074435512713406</v>
      </c>
      <c r="D990" s="35">
        <v>3418.3150325566558</v>
      </c>
      <c r="E990" s="12">
        <v>0.12277775865574031</v>
      </c>
      <c r="F990" s="35">
        <v>382.54113549915854</v>
      </c>
      <c r="G990" s="10">
        <v>1.3739969184490339E-2</v>
      </c>
      <c r="H990" s="35">
        <v>361.42614548425951</v>
      </c>
      <c r="I990" s="12">
        <v>1.2981568883939728E-2</v>
      </c>
      <c r="J990" s="35">
        <v>710.74451273214959</v>
      </c>
      <c r="K990" s="12">
        <v>2.5528255125406813E-2</v>
      </c>
      <c r="L990" s="35">
        <v>4564.6276046042412</v>
      </c>
      <c r="M990" s="10">
        <v>0.16395058414854888</v>
      </c>
      <c r="N990" s="35">
        <v>7157.5465186588153</v>
      </c>
      <c r="O990" s="12">
        <v>0.25708207425746127</v>
      </c>
      <c r="P990" s="35">
        <v>7616.8919058513738</v>
      </c>
      <c r="Q990" s="12">
        <v>0.27358066977929485</v>
      </c>
      <c r="R990" s="35">
        <v>638.00344462349506</v>
      </c>
      <c r="S990" s="10">
        <v>2.2915568693774615E-2</v>
      </c>
      <c r="T990" s="35">
        <v>27841.484239351172</v>
      </c>
      <c r="U990" s="10">
        <v>1</v>
      </c>
    </row>
    <row r="991" spans="1:21">
      <c r="A991" s="9" t="s">
        <v>2</v>
      </c>
      <c r="B991" s="22">
        <v>209.31175963468888</v>
      </c>
      <c r="C991" s="27">
        <v>0.12544354510750511</v>
      </c>
      <c r="D991" s="22">
        <v>122.24074886814044</v>
      </c>
      <c r="E991" s="27">
        <v>7.3260637249329449E-2</v>
      </c>
      <c r="F991" s="22">
        <v>30.210876043708218</v>
      </c>
      <c r="G991" s="27">
        <v>1.8105812106975795E-2</v>
      </c>
      <c r="H991" s="22">
        <v>14.255005390365584</v>
      </c>
      <c r="I991" s="27">
        <v>8.5432295577419562E-3</v>
      </c>
      <c r="J991" s="22">
        <v>191.60871720722469</v>
      </c>
      <c r="K991" s="27">
        <v>0.11483385740928156</v>
      </c>
      <c r="L991" s="22">
        <v>807.82441696201022</v>
      </c>
      <c r="M991" s="27">
        <v>0.48414078055136495</v>
      </c>
      <c r="N991" s="22">
        <v>228.00218956299713</v>
      </c>
      <c r="O991" s="27">
        <v>0.13664498832255625</v>
      </c>
      <c r="P991" s="22">
        <v>65.119662946678858</v>
      </c>
      <c r="Q991" s="27">
        <v>3.9027149695240682E-2</v>
      </c>
      <c r="R991" s="22">
        <v>0</v>
      </c>
      <c r="S991" s="27">
        <v>0</v>
      </c>
      <c r="T991" s="22">
        <v>1668.5733766158212</v>
      </c>
      <c r="U991" s="26">
        <v>5.9931193404461479E-2</v>
      </c>
    </row>
    <row r="992" spans="1:21">
      <c r="A992" s="9" t="s">
        <v>1</v>
      </c>
      <c r="B992" s="22">
        <v>472.80251719077677</v>
      </c>
      <c r="C992" s="27">
        <v>9.4701063180315515E-2</v>
      </c>
      <c r="D992" s="22">
        <v>425.45624687416506</v>
      </c>
      <c r="E992" s="27">
        <v>8.5217733516068941E-2</v>
      </c>
      <c r="F992" s="22">
        <v>92.879879568106318</v>
      </c>
      <c r="G992" s="27">
        <v>1.8603588228381193E-2</v>
      </c>
      <c r="H992" s="22">
        <v>49.176156656786105</v>
      </c>
      <c r="I992" s="27">
        <v>9.8498509402822638E-3</v>
      </c>
      <c r="J992" s="22">
        <v>256.88639922846306</v>
      </c>
      <c r="K992" s="27">
        <v>5.1453649756442121E-2</v>
      </c>
      <c r="L992" s="22">
        <v>2460.4849332740632</v>
      </c>
      <c r="M992" s="27">
        <v>0.49282846568725269</v>
      </c>
      <c r="N992" s="22">
        <v>807.61920813636846</v>
      </c>
      <c r="O992" s="27">
        <v>0.16176393922306001</v>
      </c>
      <c r="P992" s="22">
        <v>412.76896119855286</v>
      </c>
      <c r="Q992" s="27">
        <v>8.2676504570225462E-2</v>
      </c>
      <c r="R992" s="22">
        <v>14.504464285714286</v>
      </c>
      <c r="S992" s="27">
        <v>2.9052048979760674E-3</v>
      </c>
      <c r="T992" s="22">
        <v>4992.5787664129748</v>
      </c>
      <c r="U992" s="26">
        <v>0.17932157364500204</v>
      </c>
    </row>
    <row r="993" spans="1:23" ht="15.75" thickBot="1">
      <c r="A993" s="5" t="s">
        <v>0</v>
      </c>
      <c r="B993" s="19">
        <v>2309.2736625154826</v>
      </c>
      <c r="C993" s="25">
        <v>0.10902915270702768</v>
      </c>
      <c r="D993" s="19">
        <v>2870.6180368143491</v>
      </c>
      <c r="E993" s="25">
        <v>0.13553224868050098</v>
      </c>
      <c r="F993" s="19">
        <v>259.45037988734407</v>
      </c>
      <c r="G993" s="25">
        <v>1.2249589794316515E-2</v>
      </c>
      <c r="H993" s="19">
        <v>297.99498343710786</v>
      </c>
      <c r="I993" s="25">
        <v>1.4069419784444792E-2</v>
      </c>
      <c r="J993" s="19">
        <v>262.24939629646218</v>
      </c>
      <c r="K993" s="25">
        <v>1.2381741471466288E-2</v>
      </c>
      <c r="L993" s="19">
        <v>1296.3182543681751</v>
      </c>
      <c r="M993" s="25">
        <v>6.1203868214760676E-2</v>
      </c>
      <c r="N993" s="19">
        <v>6121.9251209594604</v>
      </c>
      <c r="O993" s="25">
        <v>0.28903820266455876</v>
      </c>
      <c r="P993" s="19">
        <v>7139.0032817061428</v>
      </c>
      <c r="Q993" s="25">
        <v>0.33705813720200095</v>
      </c>
      <c r="R993" s="19">
        <v>623.49898033778072</v>
      </c>
      <c r="S993" s="25">
        <v>2.9437639480924087E-2</v>
      </c>
      <c r="T993" s="19">
        <v>21180.33209632229</v>
      </c>
      <c r="U993" s="24">
        <v>0.76074723295053348</v>
      </c>
    </row>
    <row r="998" spans="1:23" ht="15.75" thickBot="1"/>
    <row r="999" spans="1:23" ht="15" customHeight="1">
      <c r="A999" s="602" t="s">
        <v>13</v>
      </c>
      <c r="B999" s="594" t="s">
        <v>359</v>
      </c>
      <c r="C999" s="595"/>
      <c r="D999" s="595"/>
      <c r="E999" s="595"/>
      <c r="F999" s="595"/>
      <c r="G999" s="595"/>
      <c r="H999" s="595"/>
      <c r="I999" s="595"/>
      <c r="J999" s="595"/>
      <c r="K999" s="595"/>
      <c r="L999" s="595"/>
      <c r="M999" s="595"/>
      <c r="N999" s="595"/>
      <c r="O999" s="595"/>
      <c r="P999" s="595"/>
      <c r="Q999" s="595"/>
      <c r="R999" s="595"/>
      <c r="S999" s="595"/>
      <c r="T999" s="595"/>
      <c r="U999" s="595"/>
      <c r="V999" s="595"/>
      <c r="W999" s="596"/>
    </row>
    <row r="1000" spans="1:23" ht="25.5" customHeight="1">
      <c r="A1000" s="603"/>
      <c r="B1000" s="597" t="s">
        <v>69</v>
      </c>
      <c r="C1000" s="598"/>
      <c r="D1000" s="599" t="s">
        <v>68</v>
      </c>
      <c r="E1000" s="598"/>
      <c r="F1000" s="599" t="s">
        <v>67</v>
      </c>
      <c r="G1000" s="598"/>
      <c r="H1000" s="599" t="s">
        <v>66</v>
      </c>
      <c r="I1000" s="598"/>
      <c r="J1000" s="599" t="s">
        <v>65</v>
      </c>
      <c r="K1000" s="598"/>
      <c r="L1000" s="599" t="s">
        <v>64</v>
      </c>
      <c r="M1000" s="598"/>
      <c r="N1000" s="599" t="s">
        <v>63</v>
      </c>
      <c r="O1000" s="598"/>
      <c r="P1000" s="599" t="s">
        <v>62</v>
      </c>
      <c r="Q1000" s="598"/>
      <c r="R1000" s="599" t="s">
        <v>61</v>
      </c>
      <c r="S1000" s="598"/>
      <c r="T1000" s="599" t="s">
        <v>60</v>
      </c>
      <c r="U1000" s="598"/>
      <c r="V1000" s="600" t="s">
        <v>9</v>
      </c>
      <c r="W1000" s="601"/>
    </row>
    <row r="1001" spans="1:23" ht="15.75" thickBot="1">
      <c r="A1001" s="604"/>
      <c r="B1001" s="16" t="s">
        <v>7</v>
      </c>
      <c r="C1001" s="16" t="s">
        <v>8</v>
      </c>
      <c r="D1001" s="16" t="s">
        <v>7</v>
      </c>
      <c r="E1001" s="16" t="s">
        <v>8</v>
      </c>
      <c r="F1001" s="16" t="s">
        <v>7</v>
      </c>
      <c r="G1001" s="16" t="s">
        <v>8</v>
      </c>
      <c r="H1001" s="16" t="s">
        <v>7</v>
      </c>
      <c r="I1001" s="16" t="s">
        <v>8</v>
      </c>
      <c r="J1001" s="16" t="s">
        <v>7</v>
      </c>
      <c r="K1001" s="16" t="s">
        <v>8</v>
      </c>
      <c r="L1001" s="16" t="s">
        <v>7</v>
      </c>
      <c r="M1001" s="16" t="s">
        <v>8</v>
      </c>
      <c r="N1001" s="16" t="s">
        <v>7</v>
      </c>
      <c r="O1001" s="16" t="s">
        <v>8</v>
      </c>
      <c r="P1001" s="16" t="s">
        <v>7</v>
      </c>
      <c r="Q1001" s="16" t="s">
        <v>8</v>
      </c>
      <c r="R1001" s="16" t="s">
        <v>7</v>
      </c>
      <c r="S1001" s="16" t="s">
        <v>8</v>
      </c>
      <c r="T1001" s="16" t="s">
        <v>7</v>
      </c>
      <c r="U1001" s="16" t="s">
        <v>8</v>
      </c>
      <c r="V1001" s="16" t="s">
        <v>7</v>
      </c>
      <c r="W1001" s="15" t="s">
        <v>6</v>
      </c>
    </row>
    <row r="1002" spans="1:23" ht="15" customHeight="1">
      <c r="A1002" s="14" t="s">
        <v>5</v>
      </c>
      <c r="B1002" s="33">
        <v>348.07236399999999</v>
      </c>
      <c r="C1002" s="34">
        <v>1.7392905654174888E-3</v>
      </c>
      <c r="D1002" s="33">
        <v>5689.0607195000039</v>
      </c>
      <c r="E1002" s="34">
        <v>2.8427794501701912E-2</v>
      </c>
      <c r="F1002" s="33">
        <v>10650.640834999998</v>
      </c>
      <c r="G1002" s="34">
        <v>5.3220424934298266E-2</v>
      </c>
      <c r="H1002" s="33">
        <v>61211.449055199737</v>
      </c>
      <c r="I1002" s="34">
        <v>0.30586885615900877</v>
      </c>
      <c r="J1002" s="33">
        <v>115934.06080169875</v>
      </c>
      <c r="K1002" s="34">
        <v>0.57931349632495421</v>
      </c>
      <c r="L1002" s="33">
        <v>628.21895999999981</v>
      </c>
      <c r="M1002" s="34">
        <v>3.1391613444622293E-3</v>
      </c>
      <c r="N1002" s="33">
        <v>193.74715499999999</v>
      </c>
      <c r="O1002" s="34">
        <v>9.68139483685007E-4</v>
      </c>
      <c r="P1002" s="33">
        <v>87.261309999999995</v>
      </c>
      <c r="Q1002" s="34">
        <v>4.3603798780465878E-4</v>
      </c>
      <c r="R1002" s="33">
        <v>87.261306532663312</v>
      </c>
      <c r="S1002" s="34">
        <v>4.3603796816498049E-4</v>
      </c>
      <c r="T1002" s="33">
        <v>5293.4104564621421</v>
      </c>
      <c r="U1002" s="34">
        <v>2.6450760730187383E-2</v>
      </c>
      <c r="V1002" s="33">
        <v>200123.1829349059</v>
      </c>
      <c r="W1002" s="32">
        <v>1</v>
      </c>
    </row>
    <row r="1003" spans="1:23">
      <c r="A1003" s="9" t="s">
        <v>2</v>
      </c>
      <c r="B1003" s="22">
        <v>21.089680999999999</v>
      </c>
      <c r="C1003" s="8">
        <v>2.5070703106368341E-3</v>
      </c>
      <c r="D1003" s="22">
        <v>225.75705449999995</v>
      </c>
      <c r="E1003" s="8">
        <v>2.6837238967899593E-2</v>
      </c>
      <c r="F1003" s="22">
        <v>443.86269600000026</v>
      </c>
      <c r="G1003" s="8">
        <v>5.2764903705315572E-2</v>
      </c>
      <c r="H1003" s="22">
        <v>2612.4884141999996</v>
      </c>
      <c r="I1003" s="8">
        <v>0.31056383167310708</v>
      </c>
      <c r="J1003" s="22">
        <v>4840.7142937000135</v>
      </c>
      <c r="K1003" s="8">
        <v>0.57544782626207847</v>
      </c>
      <c r="L1003" s="22">
        <v>0</v>
      </c>
      <c r="M1003" s="8">
        <v>0</v>
      </c>
      <c r="N1003" s="22">
        <v>0</v>
      </c>
      <c r="O1003" s="8">
        <v>0</v>
      </c>
      <c r="P1003" s="22">
        <v>0</v>
      </c>
      <c r="Q1003" s="8">
        <v>0</v>
      </c>
      <c r="R1003" s="22">
        <v>0</v>
      </c>
      <c r="S1003" s="8">
        <v>0</v>
      </c>
      <c r="T1003" s="22">
        <v>268.16985834749642</v>
      </c>
      <c r="U1003" s="8">
        <v>3.1879129523149127E-2</v>
      </c>
      <c r="V1003" s="22">
        <v>8412.0819869000388</v>
      </c>
      <c r="W1003" s="6">
        <v>4.2034520256637321E-2</v>
      </c>
    </row>
    <row r="1004" spans="1:23">
      <c r="A1004" s="9" t="s">
        <v>1</v>
      </c>
      <c r="B1004" s="22">
        <v>237.25665299999997</v>
      </c>
      <c r="C1004" s="8">
        <v>3.6615757224622734E-3</v>
      </c>
      <c r="D1004" s="22">
        <v>1691.4915379999998</v>
      </c>
      <c r="E1004" s="8">
        <v>2.6104744680399635E-2</v>
      </c>
      <c r="F1004" s="22">
        <v>3513.7269599999968</v>
      </c>
      <c r="G1004" s="8">
        <v>5.422725630415582E-2</v>
      </c>
      <c r="H1004" s="22">
        <v>19174.061348000021</v>
      </c>
      <c r="I1004" s="8">
        <v>0.29591278746075517</v>
      </c>
      <c r="J1004" s="22">
        <v>37850.703424000123</v>
      </c>
      <c r="K1004" s="8">
        <v>0.584148916302206</v>
      </c>
      <c r="L1004" s="22">
        <v>197.11767600000002</v>
      </c>
      <c r="M1004" s="8">
        <v>3.0421119398906151E-3</v>
      </c>
      <c r="N1004" s="22">
        <v>126.43334999999999</v>
      </c>
      <c r="O1004" s="8">
        <v>1.9512425848373389E-3</v>
      </c>
      <c r="P1004" s="22">
        <v>0</v>
      </c>
      <c r="Q1004" s="8">
        <v>0</v>
      </c>
      <c r="R1004" s="22">
        <v>0</v>
      </c>
      <c r="S1004" s="8">
        <v>0</v>
      </c>
      <c r="T1004" s="22">
        <v>2005.5347898288876</v>
      </c>
      <c r="U1004" s="8">
        <v>3.0951364896990245E-2</v>
      </c>
      <c r="V1004" s="22">
        <v>64796.325675999862</v>
      </c>
      <c r="W1004" s="6">
        <v>0.32378220616786896</v>
      </c>
    </row>
    <row r="1005" spans="1:23" ht="15.75" thickBot="1">
      <c r="A1005" s="9" t="s">
        <v>0</v>
      </c>
      <c r="B1005" s="22">
        <v>89.726029999999994</v>
      </c>
      <c r="C1005" s="8">
        <v>7.0697859888813042E-4</v>
      </c>
      <c r="D1005" s="22">
        <v>3771.8121270000001</v>
      </c>
      <c r="E1005" s="8">
        <v>2.9719251512807587E-2</v>
      </c>
      <c r="F1005" s="22">
        <v>6693.0511790000019</v>
      </c>
      <c r="G1005" s="8">
        <v>5.2736579839941324E-2</v>
      </c>
      <c r="H1005" s="22">
        <v>39424.899293000111</v>
      </c>
      <c r="I1005" s="8">
        <v>0.31064073673460046</v>
      </c>
      <c r="J1005" s="22">
        <v>73242.643083999952</v>
      </c>
      <c r="K1005" s="8">
        <v>0.57710099495530676</v>
      </c>
      <c r="L1005" s="22">
        <v>431.10128399999996</v>
      </c>
      <c r="M1005" s="8">
        <v>3.3967777437739523E-3</v>
      </c>
      <c r="N1005" s="22">
        <v>67.313805000000002</v>
      </c>
      <c r="O1005" s="8">
        <v>5.3038588183082242E-4</v>
      </c>
      <c r="P1005" s="22">
        <v>87.261309999999995</v>
      </c>
      <c r="Q1005" s="8">
        <v>6.8755832260652559E-4</v>
      </c>
      <c r="R1005" s="22">
        <v>87.261306532663312</v>
      </c>
      <c r="S1005" s="8">
        <v>6.8755830297036473E-4</v>
      </c>
      <c r="T1005" s="22">
        <v>3019.705808285757</v>
      </c>
      <c r="U1005" s="8">
        <v>2.3793178024873421E-2</v>
      </c>
      <c r="V1005" s="22">
        <v>126914.7752719993</v>
      </c>
      <c r="W1005" s="6">
        <v>0.63418327357546023</v>
      </c>
    </row>
    <row r="1006" spans="1:23" ht="15" customHeight="1">
      <c r="A1006" s="13" t="s">
        <v>4</v>
      </c>
      <c r="B1006" s="33">
        <v>0</v>
      </c>
      <c r="C1006" s="34">
        <v>0</v>
      </c>
      <c r="D1006" s="33">
        <v>851.14321964482758</v>
      </c>
      <c r="E1006" s="34">
        <v>4.5514954977056319E-3</v>
      </c>
      <c r="F1006" s="33">
        <v>1975.4981908074164</v>
      </c>
      <c r="G1006" s="34">
        <v>1.0563993125548971E-2</v>
      </c>
      <c r="H1006" s="33">
        <v>6328.2584606230121</v>
      </c>
      <c r="I1006" s="34">
        <v>3.3840415134673098E-2</v>
      </c>
      <c r="J1006" s="33">
        <v>20518.999507509991</v>
      </c>
      <c r="K1006" s="34">
        <v>0.10972552176921209</v>
      </c>
      <c r="L1006" s="33">
        <v>79284.774795156525</v>
      </c>
      <c r="M1006" s="34">
        <v>0.42397599744417214</v>
      </c>
      <c r="N1006" s="33">
        <v>75073.866014267143</v>
      </c>
      <c r="O1006" s="34">
        <v>0.4014581274604756</v>
      </c>
      <c r="P1006" s="33">
        <v>0</v>
      </c>
      <c r="Q1006" s="34">
        <v>0</v>
      </c>
      <c r="R1006" s="33">
        <v>0</v>
      </c>
      <c r="S1006" s="34">
        <v>0</v>
      </c>
      <c r="T1006" s="33">
        <v>2970.4393983447167</v>
      </c>
      <c r="U1006" s="34">
        <v>1.5884449568211473E-2</v>
      </c>
      <c r="V1006" s="33">
        <v>187002.97958635382</v>
      </c>
      <c r="W1006" s="32">
        <v>1</v>
      </c>
    </row>
    <row r="1007" spans="1:23">
      <c r="A1007" s="9" t="s">
        <v>2</v>
      </c>
      <c r="B1007" s="22">
        <v>0</v>
      </c>
      <c r="C1007" s="8">
        <v>0</v>
      </c>
      <c r="D1007" s="22">
        <v>85.754353767701232</v>
      </c>
      <c r="E1007" s="8">
        <v>1.0280894937585643E-2</v>
      </c>
      <c r="F1007" s="22">
        <v>203.47022752374002</v>
      </c>
      <c r="G1007" s="8">
        <v>2.4393584001167069E-2</v>
      </c>
      <c r="H1007" s="22">
        <v>711.89700489879783</v>
      </c>
      <c r="I1007" s="8">
        <v>8.534771696341624E-2</v>
      </c>
      <c r="J1007" s="22">
        <v>1327.2483534831879</v>
      </c>
      <c r="K1007" s="8">
        <v>0.15912079420722766</v>
      </c>
      <c r="L1007" s="22">
        <v>3154.6613672253484</v>
      </c>
      <c r="M1007" s="8">
        <v>0.37820519489845011</v>
      </c>
      <c r="N1007" s="22">
        <v>2669.5766114974758</v>
      </c>
      <c r="O1007" s="8">
        <v>0.32004948395959615</v>
      </c>
      <c r="P1007" s="22">
        <v>0</v>
      </c>
      <c r="Q1007" s="8">
        <v>0</v>
      </c>
      <c r="R1007" s="22">
        <v>0</v>
      </c>
      <c r="S1007" s="8">
        <v>0</v>
      </c>
      <c r="T1007" s="22">
        <v>188.52914100457778</v>
      </c>
      <c r="U1007" s="8">
        <v>2.2602331032565731E-2</v>
      </c>
      <c r="V1007" s="22">
        <v>8341.1370594007567</v>
      </c>
      <c r="W1007" s="6">
        <v>4.4604300305006665E-2</v>
      </c>
    </row>
    <row r="1008" spans="1:23">
      <c r="A1008" s="9" t="s">
        <v>1</v>
      </c>
      <c r="B1008" s="22">
        <v>0</v>
      </c>
      <c r="C1008" s="8">
        <v>0</v>
      </c>
      <c r="D1008" s="22">
        <v>279.63424199430614</v>
      </c>
      <c r="E1008" s="8">
        <v>4.5181045347051944E-3</v>
      </c>
      <c r="F1008" s="22">
        <v>1070.5137031260736</v>
      </c>
      <c r="G1008" s="8">
        <v>1.7296496959969754E-2</v>
      </c>
      <c r="H1008" s="22">
        <v>3150.3597908700258</v>
      </c>
      <c r="I1008" s="8">
        <v>5.0900972483093082E-2</v>
      </c>
      <c r="J1008" s="22">
        <v>7490.5639536554363</v>
      </c>
      <c r="K1008" s="8">
        <v>0.12102649062270064</v>
      </c>
      <c r="L1008" s="22">
        <v>24390.893560261862</v>
      </c>
      <c r="M1008" s="8">
        <v>0.39408838493525666</v>
      </c>
      <c r="N1008" s="22">
        <v>23865.770509594462</v>
      </c>
      <c r="O1008" s="8">
        <v>0.38560387023642051</v>
      </c>
      <c r="P1008" s="22">
        <v>0</v>
      </c>
      <c r="Q1008" s="8">
        <v>0</v>
      </c>
      <c r="R1008" s="22">
        <v>0</v>
      </c>
      <c r="S1008" s="8">
        <v>0</v>
      </c>
      <c r="T1008" s="22">
        <v>1644.201411569737</v>
      </c>
      <c r="U1008" s="8">
        <v>2.6565680227864125E-2</v>
      </c>
      <c r="V1008" s="22">
        <v>61891.937171071288</v>
      </c>
      <c r="W1008" s="6">
        <v>0.33096765253673921</v>
      </c>
    </row>
    <row r="1009" spans="1:23" ht="15.75" thickBot="1">
      <c r="A1009" s="9" t="s">
        <v>0</v>
      </c>
      <c r="B1009" s="22">
        <v>0</v>
      </c>
      <c r="C1009" s="8">
        <v>0</v>
      </c>
      <c r="D1009" s="22">
        <v>485.75462388282028</v>
      </c>
      <c r="E1009" s="8">
        <v>4.1599299271707487E-3</v>
      </c>
      <c r="F1009" s="22">
        <v>701.51426015760296</v>
      </c>
      <c r="G1009" s="8">
        <v>6.0076631733116245E-3</v>
      </c>
      <c r="H1009" s="22">
        <v>2466.0016648541982</v>
      </c>
      <c r="I1009" s="8">
        <v>2.1118469329392379E-2</v>
      </c>
      <c r="J1009" s="22">
        <v>11701.187200371311</v>
      </c>
      <c r="K1009" s="8">
        <v>0.10020721661724043</v>
      </c>
      <c r="L1009" s="22">
        <v>51739.219867669512</v>
      </c>
      <c r="M1009" s="8">
        <v>0.44308693845373787</v>
      </c>
      <c r="N1009" s="22">
        <v>48538.518893175409</v>
      </c>
      <c r="O1009" s="8">
        <v>0.4156766141519469</v>
      </c>
      <c r="P1009" s="22">
        <v>0</v>
      </c>
      <c r="Q1009" s="8">
        <v>0</v>
      </c>
      <c r="R1009" s="22">
        <v>0</v>
      </c>
      <c r="S1009" s="8">
        <v>0</v>
      </c>
      <c r="T1009" s="22">
        <v>1137.7088457704001</v>
      </c>
      <c r="U1009" s="8">
        <v>9.7431683472124359E-3</v>
      </c>
      <c r="V1009" s="22">
        <v>116769.9053558798</v>
      </c>
      <c r="W1009" s="6">
        <v>0.62442804715824363</v>
      </c>
    </row>
    <row r="1010" spans="1:23" ht="15" customHeight="1">
      <c r="A1010" s="13" t="s">
        <v>3</v>
      </c>
      <c r="B1010" s="33">
        <v>36.998791905768655</v>
      </c>
      <c r="C1010" s="34">
        <v>2.8281101202971712E-4</v>
      </c>
      <c r="D1010" s="33">
        <v>117.34696374588999</v>
      </c>
      <c r="E1010" s="34">
        <v>8.9697560017940286E-4</v>
      </c>
      <c r="F1010" s="33">
        <v>342.3685742382691</v>
      </c>
      <c r="G1010" s="34">
        <v>2.6169936362813967E-3</v>
      </c>
      <c r="H1010" s="33">
        <v>990.16579664744518</v>
      </c>
      <c r="I1010" s="34">
        <v>7.5686198549475957E-3</v>
      </c>
      <c r="J1010" s="33">
        <v>3378.1218511179886</v>
      </c>
      <c r="K1010" s="34">
        <v>2.5821655526147694E-2</v>
      </c>
      <c r="L1010" s="33">
        <v>8933.09986570203</v>
      </c>
      <c r="M1010" s="34">
        <v>6.8282743393786913E-2</v>
      </c>
      <c r="N1010" s="33">
        <v>16000.556035785134</v>
      </c>
      <c r="O1010" s="34">
        <v>0.12230489733404128</v>
      </c>
      <c r="P1010" s="33">
        <v>52322.873216293621</v>
      </c>
      <c r="Q1010" s="34">
        <v>0.39994507832282578</v>
      </c>
      <c r="R1010" s="33">
        <v>47109.729878993305</v>
      </c>
      <c r="S1010" s="34">
        <v>0.36009690309502851</v>
      </c>
      <c r="T1010" s="33">
        <v>1593.8849073773247</v>
      </c>
      <c r="U1010" s="34">
        <v>1.2183322224745174E-2</v>
      </c>
      <c r="V1010" s="33">
        <v>130825.14588180502</v>
      </c>
      <c r="W1010" s="32">
        <v>1</v>
      </c>
    </row>
    <row r="1011" spans="1:23">
      <c r="A1011" s="9" t="s">
        <v>2</v>
      </c>
      <c r="B1011" s="22">
        <v>0</v>
      </c>
      <c r="C1011" s="8">
        <v>0</v>
      </c>
      <c r="D1011" s="22">
        <v>19.723056508576448</v>
      </c>
      <c r="E1011" s="8">
        <v>2.7115476178307084E-3</v>
      </c>
      <c r="F1011" s="22">
        <v>15.538343132780268</v>
      </c>
      <c r="G1011" s="8">
        <v>2.1362285956238692E-3</v>
      </c>
      <c r="H1011" s="22">
        <v>142.7431941300581</v>
      </c>
      <c r="I1011" s="8">
        <v>1.9624492169182651E-2</v>
      </c>
      <c r="J1011" s="22">
        <v>591.06600875147433</v>
      </c>
      <c r="K1011" s="8">
        <v>8.1260408462240086E-2</v>
      </c>
      <c r="L1011" s="22">
        <v>725.84823837977581</v>
      </c>
      <c r="M1011" s="8">
        <v>9.9790418428779032E-2</v>
      </c>
      <c r="N1011" s="22">
        <v>842.12380835321414</v>
      </c>
      <c r="O1011" s="8">
        <v>0.11577611236198275</v>
      </c>
      <c r="P1011" s="22">
        <v>1981.0854194646734</v>
      </c>
      <c r="Q1011" s="8">
        <v>0.27236181407951088</v>
      </c>
      <c r="R1011" s="22">
        <v>2790.6529406879808</v>
      </c>
      <c r="S1011" s="8">
        <v>0.38366205208732723</v>
      </c>
      <c r="T1011" s="22">
        <v>164.94576525002287</v>
      </c>
      <c r="U1011" s="8">
        <v>2.2676926197543232E-2</v>
      </c>
      <c r="V1011" s="22">
        <v>7273.7267746584075</v>
      </c>
      <c r="W1011" s="6">
        <v>5.5598843216501451E-2</v>
      </c>
    </row>
    <row r="1012" spans="1:23">
      <c r="A1012" s="9" t="s">
        <v>1</v>
      </c>
      <c r="B1012" s="22">
        <v>36.998791905768655</v>
      </c>
      <c r="C1012" s="8">
        <v>1.8603007846219339E-3</v>
      </c>
      <c r="D1012" s="22">
        <v>60.957240570646874</v>
      </c>
      <c r="E1012" s="8">
        <v>3.0649325726844019E-3</v>
      </c>
      <c r="F1012" s="22">
        <v>173.82410207323082</v>
      </c>
      <c r="G1012" s="8">
        <v>8.7398830290622825E-3</v>
      </c>
      <c r="H1012" s="22">
        <v>280.46185332431719</v>
      </c>
      <c r="I1012" s="8">
        <v>1.4101633564808409E-2</v>
      </c>
      <c r="J1012" s="22">
        <v>893.46062894095496</v>
      </c>
      <c r="K1012" s="8">
        <v>4.4923237312203108E-2</v>
      </c>
      <c r="L1012" s="22">
        <v>1688.2452708536293</v>
      </c>
      <c r="M1012" s="8">
        <v>8.4885041922506746E-2</v>
      </c>
      <c r="N1012" s="22">
        <v>2045.854926749111</v>
      </c>
      <c r="O1012" s="8">
        <v>0.10286567018585878</v>
      </c>
      <c r="P1012" s="22">
        <v>6628.1729118927833</v>
      </c>
      <c r="Q1012" s="8">
        <v>0.33326480767285543</v>
      </c>
      <c r="R1012" s="22">
        <v>7812.8395372324676</v>
      </c>
      <c r="S1012" s="8">
        <v>0.39282989450725075</v>
      </c>
      <c r="T1012" s="22">
        <v>267.79211200447179</v>
      </c>
      <c r="U1012" s="8">
        <v>1.3464598448140439E-2</v>
      </c>
      <c r="V1012" s="22">
        <v>19888.607375547534</v>
      </c>
      <c r="W1012" s="6">
        <v>0.15202434701289039</v>
      </c>
    </row>
    <row r="1013" spans="1:23" ht="15.75" thickBot="1">
      <c r="A1013" s="5" t="s">
        <v>0</v>
      </c>
      <c r="B1013" s="19">
        <v>0</v>
      </c>
      <c r="C1013" s="4">
        <v>0</v>
      </c>
      <c r="D1013" s="19">
        <v>36.666666666666664</v>
      </c>
      <c r="E1013" s="4">
        <v>3.5371090224334631E-4</v>
      </c>
      <c r="F1013" s="19">
        <v>153.00612903225806</v>
      </c>
      <c r="G1013" s="4">
        <v>1.4759982531480505E-3</v>
      </c>
      <c r="H1013" s="19">
        <v>566.96074919307</v>
      </c>
      <c r="I1013" s="4">
        <v>5.4692781309175729E-3</v>
      </c>
      <c r="J1013" s="19">
        <v>1893.5952134255567</v>
      </c>
      <c r="K1013" s="4">
        <v>1.8266871038848241E-2</v>
      </c>
      <c r="L1013" s="19">
        <v>6519.0063564686589</v>
      </c>
      <c r="M1013" s="4">
        <v>6.2886644183908325E-2</v>
      </c>
      <c r="N1013" s="19">
        <v>13112.577300682851</v>
      </c>
      <c r="O1013" s="4">
        <v>0.12649258766618601</v>
      </c>
      <c r="P1013" s="19">
        <v>43713.614884936163</v>
      </c>
      <c r="Q1013" s="4">
        <v>0.42169042258006206</v>
      </c>
      <c r="R1013" s="19">
        <v>36506.237401072947</v>
      </c>
      <c r="S1013" s="4">
        <v>0.35216329550845382</v>
      </c>
      <c r="T1013" s="19">
        <v>1161.1470301228289</v>
      </c>
      <c r="U1013" s="4">
        <v>1.1201191736234396E-2</v>
      </c>
      <c r="V1013" s="19">
        <v>103662.81173160081</v>
      </c>
      <c r="W1013" s="2">
        <v>0.79237680977062142</v>
      </c>
    </row>
    <row r="1018" spans="1:23" ht="15.75" thickBot="1"/>
    <row r="1019" spans="1:23" ht="25.5" customHeight="1">
      <c r="A1019" s="602" t="s">
        <v>13</v>
      </c>
      <c r="B1019" s="594" t="s">
        <v>360</v>
      </c>
      <c r="C1019" s="595"/>
      <c r="D1019" s="595"/>
      <c r="E1019" s="595"/>
      <c r="F1019" s="595"/>
      <c r="G1019" s="595"/>
      <c r="H1019" s="595"/>
      <c r="I1019" s="595"/>
      <c r="J1019" s="595"/>
      <c r="K1019" s="596"/>
    </row>
    <row r="1020" spans="1:23" ht="29.25" customHeight="1">
      <c r="A1020" s="603"/>
      <c r="B1020" s="605" t="s">
        <v>87</v>
      </c>
      <c r="C1020" s="598"/>
      <c r="D1020" s="606" t="s">
        <v>86</v>
      </c>
      <c r="E1020" s="598"/>
      <c r="F1020" s="606" t="s">
        <v>85</v>
      </c>
      <c r="G1020" s="598"/>
      <c r="H1020" s="606" t="s">
        <v>84</v>
      </c>
      <c r="I1020" s="598"/>
      <c r="J1020" s="607" t="s">
        <v>9</v>
      </c>
      <c r="K1020" s="601"/>
    </row>
    <row r="1021" spans="1:23" ht="15.75" thickBot="1">
      <c r="A1021" s="604"/>
      <c r="B1021" s="16" t="s">
        <v>7</v>
      </c>
      <c r="C1021" s="16" t="s">
        <v>8</v>
      </c>
      <c r="D1021" s="16" t="s">
        <v>7</v>
      </c>
      <c r="E1021" s="16" t="s">
        <v>8</v>
      </c>
      <c r="F1021" s="16" t="s">
        <v>7</v>
      </c>
      <c r="G1021" s="16" t="s">
        <v>8</v>
      </c>
      <c r="H1021" s="16" t="s">
        <v>7</v>
      </c>
      <c r="I1021" s="16" t="s">
        <v>8</v>
      </c>
      <c r="J1021" s="16" t="s">
        <v>7</v>
      </c>
      <c r="K1021" s="15" t="s">
        <v>6</v>
      </c>
    </row>
    <row r="1022" spans="1:23" ht="15" customHeight="1">
      <c r="A1022" s="14" t="s">
        <v>5</v>
      </c>
      <c r="B1022" s="33">
        <v>67615.598491099416</v>
      </c>
      <c r="C1022" s="34">
        <v>0.3378698934300518</v>
      </c>
      <c r="D1022" s="33">
        <v>81496.953338499356</v>
      </c>
      <c r="E1022" s="34">
        <v>0.40723394532960172</v>
      </c>
      <c r="F1022" s="33">
        <v>33268.396270500081</v>
      </c>
      <c r="G1022" s="34">
        <v>0.16623959194833163</v>
      </c>
      <c r="H1022" s="33">
        <v>17742.234834800023</v>
      </c>
      <c r="I1022" s="34">
        <v>8.865656929197975E-2</v>
      </c>
      <c r="J1022" s="33">
        <v>200123.1829349059</v>
      </c>
      <c r="K1022" s="32">
        <v>1</v>
      </c>
    </row>
    <row r="1023" spans="1:23">
      <c r="A1023" s="9" t="s">
        <v>2</v>
      </c>
      <c r="B1023" s="22">
        <v>3543.0159681000077</v>
      </c>
      <c r="C1023" s="23">
        <v>0.42118181606140703</v>
      </c>
      <c r="D1023" s="22">
        <v>3011.3789675000007</v>
      </c>
      <c r="E1023" s="23">
        <v>0.35798259838522251</v>
      </c>
      <c r="F1023" s="22">
        <v>851.77260650000017</v>
      </c>
      <c r="G1023" s="23">
        <v>0.1012558612512869</v>
      </c>
      <c r="H1023" s="22">
        <v>1005.9144447999998</v>
      </c>
      <c r="I1023" s="23">
        <v>0.11957972430207998</v>
      </c>
      <c r="J1023" s="22">
        <v>8412.0819869000388</v>
      </c>
      <c r="K1023" s="21">
        <v>4.2034520256637321E-2</v>
      </c>
    </row>
    <row r="1024" spans="1:23">
      <c r="A1024" s="9" t="s">
        <v>1</v>
      </c>
      <c r="B1024" s="22">
        <v>24476.070635000087</v>
      </c>
      <c r="C1024" s="23">
        <v>0.37773855816126728</v>
      </c>
      <c r="D1024" s="22">
        <v>25553.382647000086</v>
      </c>
      <c r="E1024" s="23">
        <v>0.39436468627518018</v>
      </c>
      <c r="F1024" s="22">
        <v>8249.1454800000174</v>
      </c>
      <c r="G1024" s="23">
        <v>0.12730884651157692</v>
      </c>
      <c r="H1024" s="22">
        <v>6517.726914000008</v>
      </c>
      <c r="I1024" s="23">
        <v>0.10058790905198089</v>
      </c>
      <c r="J1024" s="22">
        <v>64796.325675999862</v>
      </c>
      <c r="K1024" s="21">
        <v>0.32378220616786896</v>
      </c>
    </row>
    <row r="1025" spans="1:11" ht="15.75" thickBot="1">
      <c r="A1025" s="9" t="s">
        <v>0</v>
      </c>
      <c r="B1025" s="22">
        <v>39596.511888000095</v>
      </c>
      <c r="C1025" s="23">
        <v>0.31199292441040249</v>
      </c>
      <c r="D1025" s="22">
        <v>52932.191724000113</v>
      </c>
      <c r="E1025" s="23">
        <v>0.41706878974932343</v>
      </c>
      <c r="F1025" s="22">
        <v>24167.478184000007</v>
      </c>
      <c r="G1025" s="23">
        <v>0.19042288915695682</v>
      </c>
      <c r="H1025" s="22">
        <v>10218.593475999989</v>
      </c>
      <c r="I1025" s="23">
        <v>8.0515396683324358E-2</v>
      </c>
      <c r="J1025" s="22">
        <v>126914.7752719993</v>
      </c>
      <c r="K1025" s="21">
        <v>0.63418327357546023</v>
      </c>
    </row>
    <row r="1026" spans="1:11" ht="15" customHeight="1">
      <c r="A1026" s="13" t="s">
        <v>4</v>
      </c>
      <c r="B1026" s="33">
        <v>67533.93892486635</v>
      </c>
      <c r="C1026" s="34">
        <v>0.36113830418237092</v>
      </c>
      <c r="D1026" s="33">
        <v>76428.29703541084</v>
      </c>
      <c r="E1026" s="34">
        <v>0.40870095869310979</v>
      </c>
      <c r="F1026" s="33">
        <v>28449.661656017444</v>
      </c>
      <c r="G1026" s="34">
        <v>0.15213480404936555</v>
      </c>
      <c r="H1026" s="33">
        <v>14591.081970058965</v>
      </c>
      <c r="I1026" s="34">
        <v>7.802593307515257E-2</v>
      </c>
      <c r="J1026" s="33">
        <v>187002.97958635382</v>
      </c>
      <c r="K1026" s="32">
        <v>1</v>
      </c>
    </row>
    <row r="1027" spans="1:11">
      <c r="A1027" s="9" t="s">
        <v>2</v>
      </c>
      <c r="B1027" s="22">
        <v>3217.1781631172671</v>
      </c>
      <c r="C1027" s="23">
        <v>0.3857001917372157</v>
      </c>
      <c r="D1027" s="22">
        <v>3197.7362643262177</v>
      </c>
      <c r="E1027" s="23">
        <v>0.38336934659552868</v>
      </c>
      <c r="F1027" s="22">
        <v>1129.7937167951661</v>
      </c>
      <c r="G1027" s="23">
        <v>0.1354484057448557</v>
      </c>
      <c r="H1027" s="22">
        <v>796.42891516218367</v>
      </c>
      <c r="I1027" s="23">
        <v>9.5482055922409298E-2</v>
      </c>
      <c r="J1027" s="22">
        <v>8341.1370594007567</v>
      </c>
      <c r="K1027" s="21">
        <v>4.4604300305006665E-2</v>
      </c>
    </row>
    <row r="1028" spans="1:11">
      <c r="A1028" s="9" t="s">
        <v>1</v>
      </c>
      <c r="B1028" s="22">
        <v>24522.658817004958</v>
      </c>
      <c r="C1028" s="23">
        <v>0.39621734167446637</v>
      </c>
      <c r="D1028" s="22">
        <v>24173.141581053518</v>
      </c>
      <c r="E1028" s="23">
        <v>0.39057012408964004</v>
      </c>
      <c r="F1028" s="22">
        <v>7588.7310391747542</v>
      </c>
      <c r="G1028" s="23">
        <v>0.12261259521089572</v>
      </c>
      <c r="H1028" s="22">
        <v>5607.4057338386774</v>
      </c>
      <c r="I1028" s="23">
        <v>9.0599939025007875E-2</v>
      </c>
      <c r="J1028" s="22">
        <v>61891.937171071288</v>
      </c>
      <c r="K1028" s="21">
        <v>0.33096765253673921</v>
      </c>
    </row>
    <row r="1029" spans="1:11" ht="15.75" thickBot="1">
      <c r="A1029" s="9" t="s">
        <v>0</v>
      </c>
      <c r="B1029" s="22">
        <v>39794.101944744296</v>
      </c>
      <c r="C1029" s="23">
        <v>0.34079073562202311</v>
      </c>
      <c r="D1029" s="22">
        <v>49057.41919003136</v>
      </c>
      <c r="E1029" s="23">
        <v>0.42012039866367101</v>
      </c>
      <c r="F1029" s="22">
        <v>19731.136900047444</v>
      </c>
      <c r="G1029" s="23">
        <v>0.1689745045173483</v>
      </c>
      <c r="H1029" s="22">
        <v>8187.2473210581111</v>
      </c>
      <c r="I1029" s="23">
        <v>7.0114361196969593E-2</v>
      </c>
      <c r="J1029" s="22">
        <v>116769.9053558798</v>
      </c>
      <c r="K1029" s="21">
        <v>0.62442804715824363</v>
      </c>
    </row>
    <row r="1030" spans="1:11" ht="15" customHeight="1">
      <c r="A1030" s="13" t="s">
        <v>3</v>
      </c>
      <c r="B1030" s="33">
        <v>47107.336685751892</v>
      </c>
      <c r="C1030" s="34">
        <v>0.36007861002739783</v>
      </c>
      <c r="D1030" s="33">
        <v>54430.917525402663</v>
      </c>
      <c r="E1030" s="34">
        <v>0.41605852726951048</v>
      </c>
      <c r="F1030" s="33">
        <v>18212.152554946359</v>
      </c>
      <c r="G1030" s="34">
        <v>0.13920987767443629</v>
      </c>
      <c r="H1030" s="33">
        <v>11074.739115705825</v>
      </c>
      <c r="I1030" s="34">
        <v>8.4652985028668595E-2</v>
      </c>
      <c r="J1030" s="33">
        <v>130825.14588180502</v>
      </c>
      <c r="K1030" s="32">
        <v>1</v>
      </c>
    </row>
    <row r="1031" spans="1:11">
      <c r="A1031" s="9" t="s">
        <v>2</v>
      </c>
      <c r="B1031" s="22">
        <v>2797.6402916093425</v>
      </c>
      <c r="C1031" s="23">
        <v>0.3846226808183521</v>
      </c>
      <c r="D1031" s="22">
        <v>2682.7533869511599</v>
      </c>
      <c r="E1031" s="23">
        <v>0.36882790212822486</v>
      </c>
      <c r="F1031" s="22">
        <v>958.55120145284855</v>
      </c>
      <c r="G1031" s="23">
        <v>0.13178267910645633</v>
      </c>
      <c r="H1031" s="22">
        <v>834.7818946452104</v>
      </c>
      <c r="I1031" s="23">
        <v>0.11476673794698783</v>
      </c>
      <c r="J1031" s="22">
        <v>7273.7267746584075</v>
      </c>
      <c r="K1031" s="21">
        <v>5.5598843216501451E-2</v>
      </c>
    </row>
    <row r="1032" spans="1:11">
      <c r="A1032" s="9" t="s">
        <v>1</v>
      </c>
      <c r="B1032" s="22">
        <v>7715.8369293822152</v>
      </c>
      <c r="C1032" s="23">
        <v>0.38795259937951276</v>
      </c>
      <c r="D1032" s="22">
        <v>7916.7826326780269</v>
      </c>
      <c r="E1032" s="23">
        <v>0.39805615763783853</v>
      </c>
      <c r="F1032" s="22">
        <v>2337.3736284882666</v>
      </c>
      <c r="G1032" s="23">
        <v>0.11752324254547857</v>
      </c>
      <c r="H1032" s="22">
        <v>1918.6141849988617</v>
      </c>
      <c r="I1032" s="23">
        <v>9.6468000437161944E-2</v>
      </c>
      <c r="J1032" s="22">
        <v>19888.607375547534</v>
      </c>
      <c r="K1032" s="21">
        <v>0.15202434701289039</v>
      </c>
    </row>
    <row r="1033" spans="1:11" ht="15.75" thickBot="1">
      <c r="A1033" s="5" t="s">
        <v>0</v>
      </c>
      <c r="B1033" s="19">
        <v>36593.859464760404</v>
      </c>
      <c r="C1033" s="20">
        <v>0.35300855585036239</v>
      </c>
      <c r="D1033" s="19">
        <v>43831.381505773526</v>
      </c>
      <c r="E1033" s="20">
        <v>0.42282647724489481</v>
      </c>
      <c r="F1033" s="19">
        <v>14916.227725005263</v>
      </c>
      <c r="G1033" s="20">
        <v>0.1438917918185135</v>
      </c>
      <c r="H1033" s="19">
        <v>8321.3430360617986</v>
      </c>
      <c r="I1033" s="20">
        <v>8.0273175086231052E-2</v>
      </c>
      <c r="J1033" s="19">
        <v>103662.81173160081</v>
      </c>
      <c r="K1033" s="18">
        <v>0.79237680977062142</v>
      </c>
    </row>
    <row r="1038" spans="1:11" ht="15.75" thickBot="1"/>
    <row r="1039" spans="1:11" ht="27" customHeight="1">
      <c r="A1039" s="602" t="s">
        <v>13</v>
      </c>
      <c r="B1039" s="594" t="s">
        <v>361</v>
      </c>
      <c r="C1039" s="595"/>
      <c r="D1039" s="595"/>
      <c r="E1039" s="595"/>
      <c r="F1039" s="595"/>
      <c r="G1039" s="595"/>
      <c r="H1039" s="595"/>
      <c r="I1039" s="595"/>
      <c r="J1039" s="595"/>
      <c r="K1039" s="596"/>
    </row>
    <row r="1040" spans="1:11" ht="15.75">
      <c r="A1040" s="603"/>
      <c r="B1040" s="597" t="s">
        <v>83</v>
      </c>
      <c r="C1040" s="598"/>
      <c r="D1040" s="599" t="s">
        <v>82</v>
      </c>
      <c r="E1040" s="598"/>
      <c r="F1040" s="599" t="s">
        <v>81</v>
      </c>
      <c r="G1040" s="598"/>
      <c r="H1040" s="599" t="s">
        <v>80</v>
      </c>
      <c r="I1040" s="598"/>
      <c r="J1040" s="600" t="s">
        <v>9</v>
      </c>
      <c r="K1040" s="601"/>
    </row>
    <row r="1041" spans="1:11" ht="15.75" thickBot="1">
      <c r="A1041" s="604"/>
      <c r="B1041" s="16" t="s">
        <v>7</v>
      </c>
      <c r="C1041" s="16" t="s">
        <v>8</v>
      </c>
      <c r="D1041" s="16" t="s">
        <v>7</v>
      </c>
      <c r="E1041" s="16" t="s">
        <v>8</v>
      </c>
      <c r="F1041" s="16" t="s">
        <v>7</v>
      </c>
      <c r="G1041" s="16" t="s">
        <v>8</v>
      </c>
      <c r="H1041" s="16" t="s">
        <v>7</v>
      </c>
      <c r="I1041" s="16" t="s">
        <v>8</v>
      </c>
      <c r="J1041" s="16" t="s">
        <v>7</v>
      </c>
      <c r="K1041" s="15" t="s">
        <v>6</v>
      </c>
    </row>
    <row r="1042" spans="1:11" ht="15.75" customHeight="1">
      <c r="A1042" s="14" t="s">
        <v>5</v>
      </c>
      <c r="B1042" s="11">
        <v>116871.75279119895</v>
      </c>
      <c r="C1042" s="12">
        <v>0.58399907035864929</v>
      </c>
      <c r="D1042" s="11">
        <v>69592.633606199597</v>
      </c>
      <c r="E1042" s="12">
        <v>0.34774898432849732</v>
      </c>
      <c r="F1042" s="11">
        <v>11448.364890999999</v>
      </c>
      <c r="G1042" s="12">
        <v>5.7206590076691974E-2</v>
      </c>
      <c r="H1042" s="11">
        <v>2210.4316465000002</v>
      </c>
      <c r="I1042" s="12">
        <v>1.104535523612468E-2</v>
      </c>
      <c r="J1042" s="11">
        <v>200123.1829349059</v>
      </c>
      <c r="K1042" s="10">
        <v>1</v>
      </c>
    </row>
    <row r="1043" spans="1:11">
      <c r="A1043" s="9" t="s">
        <v>2</v>
      </c>
      <c r="B1043" s="31">
        <v>4530.721524200012</v>
      </c>
      <c r="C1043" s="8">
        <v>0.5385969289476269</v>
      </c>
      <c r="D1043" s="31">
        <v>3173.0162902000043</v>
      </c>
      <c r="E1043" s="8">
        <v>0.37719749939923042</v>
      </c>
      <c r="F1043" s="31">
        <v>573.44564900000023</v>
      </c>
      <c r="G1043" s="8">
        <v>6.816928911213839E-2</v>
      </c>
      <c r="H1043" s="31">
        <v>134.89852349999998</v>
      </c>
      <c r="I1043" s="8">
        <v>1.6036282541001701E-2</v>
      </c>
      <c r="J1043" s="31">
        <v>8412.0819869000388</v>
      </c>
      <c r="K1043" s="6">
        <v>4.2034520256637321E-2</v>
      </c>
    </row>
    <row r="1044" spans="1:11">
      <c r="A1044" s="9" t="s">
        <v>1</v>
      </c>
      <c r="B1044" s="31">
        <v>36058.349599000139</v>
      </c>
      <c r="C1044" s="8">
        <v>0.55648756658366993</v>
      </c>
      <c r="D1044" s="31">
        <v>23308.95339900006</v>
      </c>
      <c r="E1044" s="8">
        <v>0.3597264683733995</v>
      </c>
      <c r="F1044" s="31">
        <v>4093.4423039999951</v>
      </c>
      <c r="G1044" s="8">
        <v>6.3173988050933258E-2</v>
      </c>
      <c r="H1044" s="31">
        <v>1335.5803739999997</v>
      </c>
      <c r="I1044" s="8">
        <v>2.0611976992002342E-2</v>
      </c>
      <c r="J1044" s="31">
        <v>64796.325675999862</v>
      </c>
      <c r="K1044" s="6">
        <v>0.32378220616786896</v>
      </c>
    </row>
    <row r="1045" spans="1:11" ht="15.75" thickBot="1">
      <c r="A1045" s="9" t="s">
        <v>0</v>
      </c>
      <c r="B1045" s="31">
        <v>76282.681667999874</v>
      </c>
      <c r="C1045" s="8">
        <v>0.60105438081983364</v>
      </c>
      <c r="D1045" s="31">
        <v>43110.663917000122</v>
      </c>
      <c r="E1045" s="8">
        <v>0.33968199387822934</v>
      </c>
      <c r="F1045" s="31">
        <v>6781.4769380000007</v>
      </c>
      <c r="G1045" s="8">
        <v>5.3433313209326316E-2</v>
      </c>
      <c r="H1045" s="31">
        <v>739.95274900000004</v>
      </c>
      <c r="I1045" s="8">
        <v>5.8303120926161611E-3</v>
      </c>
      <c r="J1045" s="31">
        <v>126914.7752719993</v>
      </c>
      <c r="K1045" s="6">
        <v>0.63418327357546023</v>
      </c>
    </row>
    <row r="1046" spans="1:11" ht="15" customHeight="1">
      <c r="A1046" s="13" t="s">
        <v>4</v>
      </c>
      <c r="B1046" s="11">
        <v>107738.39664652053</v>
      </c>
      <c r="C1046" s="12">
        <v>0.57613197867133092</v>
      </c>
      <c r="D1046" s="11">
        <v>67386.097984374515</v>
      </c>
      <c r="E1046" s="12">
        <v>0.36034772351451821</v>
      </c>
      <c r="F1046" s="11">
        <v>9459.8541743413152</v>
      </c>
      <c r="G1046" s="12">
        <v>5.0586649449470215E-2</v>
      </c>
      <c r="H1046" s="11">
        <v>2418.6307811175311</v>
      </c>
      <c r="I1046" s="12">
        <v>1.2933648364681062E-2</v>
      </c>
      <c r="J1046" s="11">
        <v>187002.97958635382</v>
      </c>
      <c r="K1046" s="10">
        <v>1</v>
      </c>
    </row>
    <row r="1047" spans="1:11">
      <c r="A1047" s="9" t="s">
        <v>2</v>
      </c>
      <c r="B1047" s="31">
        <v>4275.1612467302057</v>
      </c>
      <c r="C1047" s="8">
        <v>0.51253938357384354</v>
      </c>
      <c r="D1047" s="31">
        <v>3243.246673672661</v>
      </c>
      <c r="E1047" s="8">
        <v>0.38882548633071645</v>
      </c>
      <c r="F1047" s="31">
        <v>630.68187963637695</v>
      </c>
      <c r="G1047" s="8">
        <v>7.5611019833989671E-2</v>
      </c>
      <c r="H1047" s="31">
        <v>192.04725936158994</v>
      </c>
      <c r="I1047" s="8">
        <v>2.3024110261459604E-2</v>
      </c>
      <c r="J1047" s="31">
        <v>8341.1370594007567</v>
      </c>
      <c r="K1047" s="6">
        <v>4.4604300305006665E-2</v>
      </c>
    </row>
    <row r="1048" spans="1:11">
      <c r="A1048" s="9" t="s">
        <v>1</v>
      </c>
      <c r="B1048" s="31">
        <v>34275.891345913835</v>
      </c>
      <c r="C1048" s="8">
        <v>0.55380220611247277</v>
      </c>
      <c r="D1048" s="31">
        <v>22811.268276536288</v>
      </c>
      <c r="E1048" s="8">
        <v>0.36856607369527333</v>
      </c>
      <c r="F1048" s="31">
        <v>3690.0144830742324</v>
      </c>
      <c r="G1048" s="8">
        <v>5.9620277724946866E-2</v>
      </c>
      <c r="H1048" s="31">
        <v>1114.7630655476009</v>
      </c>
      <c r="I1048" s="8">
        <v>1.801144246731784E-2</v>
      </c>
      <c r="J1048" s="31">
        <v>61891.937171071288</v>
      </c>
      <c r="K1048" s="6">
        <v>0.33096765253673921</v>
      </c>
    </row>
    <row r="1049" spans="1:11" ht="15.75" thickBot="1">
      <c r="A1049" s="9" t="s">
        <v>0</v>
      </c>
      <c r="B1049" s="31">
        <v>69187.344053876383</v>
      </c>
      <c r="C1049" s="8">
        <v>0.59251006364194625</v>
      </c>
      <c r="D1049" s="31">
        <v>41331.583034165677</v>
      </c>
      <c r="E1049" s="8">
        <v>0.35395749365557294</v>
      </c>
      <c r="F1049" s="31">
        <v>5139.1578116307146</v>
      </c>
      <c r="G1049" s="8">
        <v>4.4010978650433054E-2</v>
      </c>
      <c r="H1049" s="31">
        <v>1111.8204562083392</v>
      </c>
      <c r="I1049" s="8">
        <v>9.5214640520589824E-3</v>
      </c>
      <c r="J1049" s="31">
        <v>116769.9053558798</v>
      </c>
      <c r="K1049" s="6">
        <v>0.62442804715824363</v>
      </c>
    </row>
    <row r="1050" spans="1:11" ht="15" customHeight="1">
      <c r="A1050" s="13" t="s">
        <v>3</v>
      </c>
      <c r="B1050" s="11">
        <v>74486.08810436049</v>
      </c>
      <c r="C1050" s="12">
        <v>0.5693560485050444</v>
      </c>
      <c r="D1050" s="11">
        <v>47599.785183446082</v>
      </c>
      <c r="E1050" s="12">
        <v>0.36384278314851237</v>
      </c>
      <c r="F1050" s="11">
        <v>7794.4265045872162</v>
      </c>
      <c r="G1050" s="12">
        <v>5.9578962836618204E-2</v>
      </c>
      <c r="H1050" s="11">
        <v>944.84608941292061</v>
      </c>
      <c r="I1050" s="12">
        <v>7.2222055098379104E-3</v>
      </c>
      <c r="J1050" s="11">
        <v>130825.14588180502</v>
      </c>
      <c r="K1050" s="10">
        <v>1</v>
      </c>
    </row>
    <row r="1051" spans="1:11">
      <c r="A1051" s="9" t="s">
        <v>2</v>
      </c>
      <c r="B1051" s="31">
        <v>3540.881193433368</v>
      </c>
      <c r="C1051" s="8">
        <v>0.48680426184961512</v>
      </c>
      <c r="D1051" s="31">
        <v>3007.5356009626962</v>
      </c>
      <c r="E1051" s="8">
        <v>0.41347932004277654</v>
      </c>
      <c r="F1051" s="31">
        <v>523.90522385177576</v>
      </c>
      <c r="G1051" s="8">
        <v>7.2027069490299855E-2</v>
      </c>
      <c r="H1051" s="31">
        <v>201.4047564107328</v>
      </c>
      <c r="I1051" s="8">
        <v>2.7689348617331216E-2</v>
      </c>
      <c r="J1051" s="31">
        <v>7273.7267746584075</v>
      </c>
      <c r="K1051" s="6">
        <v>5.5598843216501451E-2</v>
      </c>
    </row>
    <row r="1052" spans="1:11">
      <c r="A1052" s="9" t="s">
        <v>1</v>
      </c>
      <c r="B1052" s="31">
        <v>10882.889345606931</v>
      </c>
      <c r="C1052" s="8">
        <v>0.547192125628018</v>
      </c>
      <c r="D1052" s="31">
        <v>7364.9936333000624</v>
      </c>
      <c r="E1052" s="8">
        <v>0.37031218396694321</v>
      </c>
      <c r="F1052" s="31">
        <v>1429.429308599782</v>
      </c>
      <c r="G1052" s="8">
        <v>7.187176465443347E-2</v>
      </c>
      <c r="H1052" s="31">
        <v>211.29508804062047</v>
      </c>
      <c r="I1052" s="8">
        <v>1.0623925750598388E-2</v>
      </c>
      <c r="J1052" s="31">
        <v>19888.607375547534</v>
      </c>
      <c r="K1052" s="6">
        <v>0.15202434701289039</v>
      </c>
    </row>
    <row r="1053" spans="1:11" ht="15.75" thickBot="1">
      <c r="A1053" s="5" t="s">
        <v>0</v>
      </c>
      <c r="B1053" s="30">
        <v>60062.317565320664</v>
      </c>
      <c r="C1053" s="4">
        <v>0.57940081464152615</v>
      </c>
      <c r="D1053" s="30">
        <v>37227.255949183338</v>
      </c>
      <c r="E1053" s="4">
        <v>0.35911871699535325</v>
      </c>
      <c r="F1053" s="30">
        <v>5841.0919721356677</v>
      </c>
      <c r="G1053" s="4">
        <v>5.6347033951376559E-2</v>
      </c>
      <c r="H1053" s="30">
        <v>532.14624496156785</v>
      </c>
      <c r="I1053" s="4">
        <v>5.1334344117481348E-3</v>
      </c>
      <c r="J1053" s="30">
        <v>103662.81173160081</v>
      </c>
      <c r="K1053" s="2">
        <v>0.79237680977062142</v>
      </c>
    </row>
    <row r="1058" spans="1:11" ht="15.75" thickBot="1"/>
    <row r="1059" spans="1:11" ht="27.75" customHeight="1">
      <c r="A1059" s="602" t="s">
        <v>13</v>
      </c>
      <c r="B1059" s="594" t="s">
        <v>362</v>
      </c>
      <c r="C1059" s="595"/>
      <c r="D1059" s="595"/>
      <c r="E1059" s="595"/>
      <c r="F1059" s="595"/>
      <c r="G1059" s="595"/>
      <c r="H1059" s="595"/>
      <c r="I1059" s="595"/>
      <c r="J1059" s="595"/>
      <c r="K1059" s="596"/>
    </row>
    <row r="1060" spans="1:11" ht="15.75">
      <c r="A1060" s="603"/>
      <c r="B1060" s="597" t="s">
        <v>83</v>
      </c>
      <c r="C1060" s="598"/>
      <c r="D1060" s="599" t="s">
        <v>82</v>
      </c>
      <c r="E1060" s="598"/>
      <c r="F1060" s="599" t="s">
        <v>81</v>
      </c>
      <c r="G1060" s="598"/>
      <c r="H1060" s="599" t="s">
        <v>80</v>
      </c>
      <c r="I1060" s="598"/>
      <c r="J1060" s="600" t="s">
        <v>9</v>
      </c>
      <c r="K1060" s="601"/>
    </row>
    <row r="1061" spans="1:11" ht="15.75" thickBot="1">
      <c r="A1061" s="604"/>
      <c r="B1061" s="16" t="s">
        <v>7</v>
      </c>
      <c r="C1061" s="16" t="s">
        <v>8</v>
      </c>
      <c r="D1061" s="16" t="s">
        <v>7</v>
      </c>
      <c r="E1061" s="16" t="s">
        <v>8</v>
      </c>
      <c r="F1061" s="16" t="s">
        <v>7</v>
      </c>
      <c r="G1061" s="16" t="s">
        <v>8</v>
      </c>
      <c r="H1061" s="16" t="s">
        <v>7</v>
      </c>
      <c r="I1061" s="16" t="s">
        <v>8</v>
      </c>
      <c r="J1061" s="16" t="s">
        <v>7</v>
      </c>
      <c r="K1061" s="15" t="s">
        <v>6</v>
      </c>
    </row>
    <row r="1062" spans="1:11" ht="15.75" customHeight="1">
      <c r="A1062" s="14" t="s">
        <v>5</v>
      </c>
      <c r="B1062" s="11">
        <v>115225.41995469894</v>
      </c>
      <c r="C1062" s="12">
        <v>0.57577247305814805</v>
      </c>
      <c r="D1062" s="11">
        <v>75551.609290699547</v>
      </c>
      <c r="E1062" s="12">
        <v>0.37752552294390718</v>
      </c>
      <c r="F1062" s="11">
        <v>8674.8484660000086</v>
      </c>
      <c r="G1062" s="12">
        <v>4.3347543941581614E-2</v>
      </c>
      <c r="H1062" s="11">
        <v>671.3052234999999</v>
      </c>
      <c r="I1062" s="12">
        <v>3.3544600563261851E-3</v>
      </c>
      <c r="J1062" s="11">
        <v>200123.1829349059</v>
      </c>
      <c r="K1062" s="10">
        <v>1</v>
      </c>
    </row>
    <row r="1063" spans="1:11">
      <c r="A1063" s="9" t="s">
        <v>2</v>
      </c>
      <c r="B1063" s="31">
        <v>4366.3814947000101</v>
      </c>
      <c r="C1063" s="8">
        <v>0.51906073924382634</v>
      </c>
      <c r="D1063" s="31">
        <v>3582.6681227000081</v>
      </c>
      <c r="E1063" s="8">
        <v>0.42589553077100567</v>
      </c>
      <c r="F1063" s="31">
        <v>416.70190800000017</v>
      </c>
      <c r="G1063" s="8">
        <v>4.9536120623755384E-2</v>
      </c>
      <c r="H1063" s="31">
        <v>46.330461499999998</v>
      </c>
      <c r="I1063" s="8">
        <v>5.5076093614101086E-3</v>
      </c>
      <c r="J1063" s="31">
        <v>8412.0819869000388</v>
      </c>
      <c r="K1063" s="6">
        <v>4.2034520256637321E-2</v>
      </c>
    </row>
    <row r="1064" spans="1:11">
      <c r="A1064" s="9" t="s">
        <v>1</v>
      </c>
      <c r="B1064" s="31">
        <v>37883.960961000121</v>
      </c>
      <c r="C1064" s="8">
        <v>0.58466217900117901</v>
      </c>
      <c r="D1064" s="31">
        <v>23694.525032000067</v>
      </c>
      <c r="E1064" s="8">
        <v>0.36567698530437454</v>
      </c>
      <c r="F1064" s="31">
        <v>3104.6253299999967</v>
      </c>
      <c r="G1064" s="8">
        <v>4.791360154469268E-2</v>
      </c>
      <c r="H1064" s="31">
        <v>113.21435299999999</v>
      </c>
      <c r="I1064" s="8">
        <v>1.7472341497588009E-3</v>
      </c>
      <c r="J1064" s="31">
        <v>64796.325675999862</v>
      </c>
      <c r="K1064" s="6">
        <v>0.32378220616786896</v>
      </c>
    </row>
    <row r="1065" spans="1:11" ht="15.75" thickBot="1">
      <c r="A1065" s="9" t="s">
        <v>0</v>
      </c>
      <c r="B1065" s="31">
        <v>72975.077498999904</v>
      </c>
      <c r="C1065" s="8">
        <v>0.57499276457451287</v>
      </c>
      <c r="D1065" s="31">
        <v>48274.416136000131</v>
      </c>
      <c r="E1065" s="8">
        <v>0.38036876346776877</v>
      </c>
      <c r="F1065" s="31">
        <v>5153.5212280000014</v>
      </c>
      <c r="G1065" s="8">
        <v>4.0606156509005002E-2</v>
      </c>
      <c r="H1065" s="31">
        <v>511.76040899999998</v>
      </c>
      <c r="I1065" s="8">
        <v>4.0323154487191346E-3</v>
      </c>
      <c r="J1065" s="31">
        <v>126914.7752719993</v>
      </c>
      <c r="K1065" s="6">
        <v>0.63418327357546023</v>
      </c>
    </row>
    <row r="1066" spans="1:11" ht="15" customHeight="1">
      <c r="A1066" s="13" t="s">
        <v>4</v>
      </c>
      <c r="B1066" s="11">
        <v>101369.20994137517</v>
      </c>
      <c r="C1066" s="12">
        <v>0.54207269940618852</v>
      </c>
      <c r="D1066" s="11">
        <v>76649.424167172663</v>
      </c>
      <c r="E1066" s="12">
        <v>0.40988343788275133</v>
      </c>
      <c r="F1066" s="11">
        <v>8104.8388875727342</v>
      </c>
      <c r="G1066" s="12">
        <v>4.3340693851512138E-2</v>
      </c>
      <c r="H1066" s="11">
        <v>879.5065902331188</v>
      </c>
      <c r="I1066" s="12">
        <v>4.7031688595474078E-3</v>
      </c>
      <c r="J1066" s="11">
        <v>187002.97958635382</v>
      </c>
      <c r="K1066" s="10">
        <v>1</v>
      </c>
    </row>
    <row r="1067" spans="1:11">
      <c r="A1067" s="9" t="s">
        <v>2</v>
      </c>
      <c r="B1067" s="31">
        <v>4136.7700762642417</v>
      </c>
      <c r="C1067" s="8">
        <v>0.49594798009007124</v>
      </c>
      <c r="D1067" s="31">
        <v>3620.0502278772697</v>
      </c>
      <c r="E1067" s="8">
        <v>0.43399960965721635</v>
      </c>
      <c r="F1067" s="31">
        <v>512.23868632286371</v>
      </c>
      <c r="G1067" s="8">
        <v>6.1411134078602936E-2</v>
      </c>
      <c r="H1067" s="31">
        <v>72.078068936465456</v>
      </c>
      <c r="I1067" s="8">
        <v>8.6412761741195606E-3</v>
      </c>
      <c r="J1067" s="31">
        <v>8341.1370594007567</v>
      </c>
      <c r="K1067" s="6">
        <v>4.4604300305006665E-2</v>
      </c>
    </row>
    <row r="1068" spans="1:11">
      <c r="A1068" s="9" t="s">
        <v>1</v>
      </c>
      <c r="B1068" s="31">
        <v>31257.020306797549</v>
      </c>
      <c r="C1068" s="8">
        <v>0.50502572282399472</v>
      </c>
      <c r="D1068" s="31">
        <v>27513.750858504151</v>
      </c>
      <c r="E1068" s="8">
        <v>0.44454499432543637</v>
      </c>
      <c r="F1068" s="31">
        <v>2810.0446038427776</v>
      </c>
      <c r="G1068" s="8">
        <v>4.5402434182593515E-2</v>
      </c>
      <c r="H1068" s="31">
        <v>311.12140192755402</v>
      </c>
      <c r="I1068" s="8">
        <v>5.02684866798731E-3</v>
      </c>
      <c r="J1068" s="31">
        <v>61891.937171071288</v>
      </c>
      <c r="K1068" s="6">
        <v>0.33096765253673921</v>
      </c>
    </row>
    <row r="1069" spans="1:11" ht="15.75" thickBot="1">
      <c r="A1069" s="9" t="s">
        <v>0</v>
      </c>
      <c r="B1069" s="31">
        <v>65975.419558313486</v>
      </c>
      <c r="C1069" s="8">
        <v>0.56500362278482719</v>
      </c>
      <c r="D1069" s="31">
        <v>45515.623080791542</v>
      </c>
      <c r="E1069" s="8">
        <v>0.38978898665776529</v>
      </c>
      <c r="F1069" s="31">
        <v>4782.5555974071067</v>
      </c>
      <c r="G1069" s="8">
        <v>4.0957090637620243E-2</v>
      </c>
      <c r="H1069" s="31">
        <v>496.30711936909915</v>
      </c>
      <c r="I1069" s="8">
        <v>4.2502999197995689E-3</v>
      </c>
      <c r="J1069" s="31">
        <v>116769.9053558798</v>
      </c>
      <c r="K1069" s="6">
        <v>0.62442804715824363</v>
      </c>
    </row>
    <row r="1070" spans="1:11" ht="15" customHeight="1">
      <c r="A1070" s="13" t="s">
        <v>3</v>
      </c>
      <c r="B1070" s="11">
        <v>67500.227265589958</v>
      </c>
      <c r="C1070" s="12">
        <v>0.51595759217859816</v>
      </c>
      <c r="D1070" s="11">
        <v>55808.643943474533</v>
      </c>
      <c r="E1070" s="12">
        <v>0.42658957929919133</v>
      </c>
      <c r="F1070" s="11">
        <v>6882.6828204094509</v>
      </c>
      <c r="G1070" s="12">
        <v>5.2609785175608853E-2</v>
      </c>
      <c r="H1070" s="11">
        <v>633.59185233300798</v>
      </c>
      <c r="I1070" s="12">
        <v>4.8430433466164942E-3</v>
      </c>
      <c r="J1070" s="11">
        <v>130825.14588180502</v>
      </c>
      <c r="K1070" s="10">
        <v>1</v>
      </c>
    </row>
    <row r="1071" spans="1:11">
      <c r="A1071" s="9" t="s">
        <v>2</v>
      </c>
      <c r="B1071" s="31">
        <v>3314.7709948141755</v>
      </c>
      <c r="C1071" s="8">
        <v>0.45571838171909412</v>
      </c>
      <c r="D1071" s="31">
        <v>3392.1182024942395</v>
      </c>
      <c r="E1071" s="8">
        <v>0.46635216135865121</v>
      </c>
      <c r="F1071" s="31">
        <v>490.42045331721118</v>
      </c>
      <c r="G1071" s="8">
        <v>6.7423546210978291E-2</v>
      </c>
      <c r="H1071" s="31">
        <v>76.417124032948138</v>
      </c>
      <c r="I1071" s="8">
        <v>1.0505910711299282E-2</v>
      </c>
      <c r="J1071" s="31">
        <v>7273.7267746584075</v>
      </c>
      <c r="K1071" s="6">
        <v>5.5598843216501451E-2</v>
      </c>
    </row>
    <row r="1072" spans="1:11">
      <c r="A1072" s="9" t="s">
        <v>1</v>
      </c>
      <c r="B1072" s="31">
        <v>9576.7877898193801</v>
      </c>
      <c r="C1072" s="8">
        <v>0.48152128547691897</v>
      </c>
      <c r="D1072" s="31">
        <v>8974.5847510905514</v>
      </c>
      <c r="E1072" s="8">
        <v>0.45124249182597587</v>
      </c>
      <c r="F1072" s="31">
        <v>1197.493217481071</v>
      </c>
      <c r="G1072" s="8">
        <v>6.0210008416846435E-2</v>
      </c>
      <c r="H1072" s="31">
        <v>139.7416171563946</v>
      </c>
      <c r="I1072" s="8">
        <v>7.0262142802518628E-3</v>
      </c>
      <c r="J1072" s="31">
        <v>19888.607375547534</v>
      </c>
      <c r="K1072" s="6">
        <v>0.15202434701289039</v>
      </c>
    </row>
    <row r="1073" spans="1:11" ht="15.75" thickBot="1">
      <c r="A1073" s="5" t="s">
        <v>0</v>
      </c>
      <c r="B1073" s="30">
        <v>54608.668480956512</v>
      </c>
      <c r="C1073" s="4">
        <v>0.52679131087382491</v>
      </c>
      <c r="D1073" s="30">
        <v>43441.940989889874</v>
      </c>
      <c r="E1073" s="4">
        <v>0.41906967662007694</v>
      </c>
      <c r="F1073" s="30">
        <v>5194.7691496111784</v>
      </c>
      <c r="G1073" s="4">
        <v>5.011217680513283E-2</v>
      </c>
      <c r="H1073" s="30">
        <v>417.43311114366537</v>
      </c>
      <c r="I1073" s="4">
        <v>4.0268357009692621E-3</v>
      </c>
      <c r="J1073" s="30">
        <v>103662.81173160081</v>
      </c>
      <c r="K1073" s="2">
        <v>0.79237680977062142</v>
      </c>
    </row>
    <row r="1076" spans="1:11" ht="15.75" thickBot="1"/>
    <row r="1077" spans="1:11" ht="27" customHeight="1">
      <c r="A1077" s="602" t="s">
        <v>13</v>
      </c>
      <c r="B1077" s="594" t="s">
        <v>363</v>
      </c>
      <c r="C1077" s="595"/>
      <c r="D1077" s="595"/>
      <c r="E1077" s="595"/>
      <c r="F1077" s="595"/>
      <c r="G1077" s="596"/>
    </row>
    <row r="1078" spans="1:11">
      <c r="A1078" s="603"/>
      <c r="B1078" s="597" t="s">
        <v>27</v>
      </c>
      <c r="C1078" s="598"/>
      <c r="D1078" s="599" t="s">
        <v>26</v>
      </c>
      <c r="E1078" s="598"/>
      <c r="F1078" s="600" t="s">
        <v>9</v>
      </c>
      <c r="G1078" s="601"/>
    </row>
    <row r="1079" spans="1:11" ht="15.75" thickBot="1">
      <c r="A1079" s="604"/>
      <c r="B1079" s="16" t="s">
        <v>7</v>
      </c>
      <c r="C1079" s="16" t="s">
        <v>8</v>
      </c>
      <c r="D1079" s="16" t="s">
        <v>7</v>
      </c>
      <c r="E1079" s="16" t="s">
        <v>8</v>
      </c>
      <c r="F1079" s="16" t="s">
        <v>7</v>
      </c>
      <c r="G1079" s="15" t="s">
        <v>6</v>
      </c>
    </row>
    <row r="1080" spans="1:11" ht="15" customHeight="1">
      <c r="A1080" s="14" t="s">
        <v>5</v>
      </c>
      <c r="B1080" s="11">
        <v>191782.07194940539</v>
      </c>
      <c r="C1080" s="12">
        <v>0.95832011632448588</v>
      </c>
      <c r="D1080" s="11">
        <v>8341.1109855000086</v>
      </c>
      <c r="E1080" s="12">
        <v>4.1679883675511613E-2</v>
      </c>
      <c r="F1080" s="11">
        <v>200123.1829349059</v>
      </c>
      <c r="G1080" s="10">
        <v>1</v>
      </c>
    </row>
    <row r="1081" spans="1:11">
      <c r="A1081" s="9" t="s">
        <v>2</v>
      </c>
      <c r="B1081" s="31">
        <v>8062.507496400036</v>
      </c>
      <c r="C1081" s="8">
        <v>0.95844376088530903</v>
      </c>
      <c r="D1081" s="31">
        <v>349.57449049999997</v>
      </c>
      <c r="E1081" s="8">
        <v>4.1556239114690641E-2</v>
      </c>
      <c r="F1081" s="31">
        <v>8412.0819869000388</v>
      </c>
      <c r="G1081" s="6">
        <v>4.2034520256637321E-2</v>
      </c>
    </row>
    <row r="1082" spans="1:11">
      <c r="A1082" s="9" t="s">
        <v>1</v>
      </c>
      <c r="B1082" s="31">
        <v>61377.09528599988</v>
      </c>
      <c r="C1082" s="8">
        <v>0.94723110678995737</v>
      </c>
      <c r="D1082" s="31">
        <v>3419.2303899999974</v>
      </c>
      <c r="E1082" s="8">
        <v>5.2768893210042897E-2</v>
      </c>
      <c r="F1082" s="31">
        <v>64796.325675999862</v>
      </c>
      <c r="G1082" s="6">
        <v>0.32378220616786896</v>
      </c>
    </row>
    <row r="1083" spans="1:11" ht="15.75" thickBot="1">
      <c r="A1083" s="9" t="s">
        <v>0</v>
      </c>
      <c r="B1083" s="31">
        <v>122342.46916699935</v>
      </c>
      <c r="C1083" s="8">
        <v>0.96397341369276546</v>
      </c>
      <c r="D1083" s="31">
        <v>4572.3061050000015</v>
      </c>
      <c r="E1083" s="8">
        <v>3.6026586307234876E-2</v>
      </c>
      <c r="F1083" s="31">
        <v>126914.7752719993</v>
      </c>
      <c r="G1083" s="6">
        <v>0.63418327357546023</v>
      </c>
    </row>
    <row r="1084" spans="1:11" ht="15" customHeight="1">
      <c r="A1084" s="13" t="s">
        <v>4</v>
      </c>
      <c r="B1084" s="11">
        <v>180315.56162654073</v>
      </c>
      <c r="C1084" s="12">
        <v>0.96423897643446377</v>
      </c>
      <c r="D1084" s="11">
        <v>6687.417959813034</v>
      </c>
      <c r="E1084" s="12">
        <v>3.5761023565535933E-2</v>
      </c>
      <c r="F1084" s="11">
        <v>187002.97958635382</v>
      </c>
      <c r="G1084" s="10">
        <v>1</v>
      </c>
    </row>
    <row r="1085" spans="1:11">
      <c r="A1085" s="9" t="s">
        <v>2</v>
      </c>
      <c r="B1085" s="31">
        <v>7944.7595319045786</v>
      </c>
      <c r="C1085" s="8">
        <v>0.95247919741955966</v>
      </c>
      <c r="D1085" s="31">
        <v>396.37752749617732</v>
      </c>
      <c r="E1085" s="8">
        <v>4.7520802580440252E-2</v>
      </c>
      <c r="F1085" s="31">
        <v>8341.1370594007567</v>
      </c>
      <c r="G1085" s="6">
        <v>4.4604300305006665E-2</v>
      </c>
    </row>
    <row r="1086" spans="1:11">
      <c r="A1086" s="9" t="s">
        <v>1</v>
      </c>
      <c r="B1086" s="31">
        <v>59514.103653868209</v>
      </c>
      <c r="C1086" s="8">
        <v>0.96158088394243224</v>
      </c>
      <c r="D1086" s="31">
        <v>2377.8335172031652</v>
      </c>
      <c r="E1086" s="8">
        <v>3.841911605756914E-2</v>
      </c>
      <c r="F1086" s="31">
        <v>61891.937171071288</v>
      </c>
      <c r="G1086" s="6">
        <v>0.33096765253673921</v>
      </c>
    </row>
    <row r="1087" spans="1:11" ht="15.75" thickBot="1">
      <c r="A1087" s="9" t="s">
        <v>0</v>
      </c>
      <c r="B1087" s="31">
        <v>112856.69844076622</v>
      </c>
      <c r="C1087" s="8">
        <v>0.96648788141784225</v>
      </c>
      <c r="D1087" s="31">
        <v>3913.2069151137025</v>
      </c>
      <c r="E1087" s="8">
        <v>3.3512118582158787E-2</v>
      </c>
      <c r="F1087" s="31">
        <v>116769.9053558798</v>
      </c>
      <c r="G1087" s="6">
        <v>0.62442804715824363</v>
      </c>
    </row>
    <row r="1088" spans="1:11" ht="15" customHeight="1">
      <c r="A1088" s="13" t="s">
        <v>3</v>
      </c>
      <c r="B1088" s="11">
        <v>125014.74075368266</v>
      </c>
      <c r="C1088" s="12">
        <v>0.95558648080261421</v>
      </c>
      <c r="D1088" s="11">
        <v>5810.4051281225829</v>
      </c>
      <c r="E1088" s="12">
        <v>4.4413519197387619E-2</v>
      </c>
      <c r="F1088" s="11">
        <v>130825.14588180502</v>
      </c>
      <c r="G1088" s="10">
        <v>1</v>
      </c>
    </row>
    <row r="1089" spans="1:19">
      <c r="A1089" s="9" t="s">
        <v>2</v>
      </c>
      <c r="B1089" s="31">
        <v>6851.2355826666553</v>
      </c>
      <c r="C1089" s="8">
        <v>0.94191544374972846</v>
      </c>
      <c r="D1089" s="31">
        <v>422.49119199177579</v>
      </c>
      <c r="E1089" s="8">
        <v>5.8084556250274748E-2</v>
      </c>
      <c r="F1089" s="31">
        <v>7273.7267746584075</v>
      </c>
      <c r="G1089" s="6">
        <v>5.5598843216501451E-2</v>
      </c>
    </row>
    <row r="1090" spans="1:19">
      <c r="A1090" s="9" t="s">
        <v>1</v>
      </c>
      <c r="B1090" s="31">
        <v>19114.800443422675</v>
      </c>
      <c r="C1090" s="8">
        <v>0.96109295550395191</v>
      </c>
      <c r="D1090" s="31">
        <v>773.80693212483629</v>
      </c>
      <c r="E1090" s="8">
        <v>3.890704449604699E-2</v>
      </c>
      <c r="F1090" s="31">
        <v>19888.607375547534</v>
      </c>
      <c r="G1090" s="6">
        <v>0.15202434701289039</v>
      </c>
    </row>
    <row r="1091" spans="1:19" ht="15.75" thickBot="1">
      <c r="A1091" s="5" t="s">
        <v>0</v>
      </c>
      <c r="B1091" s="30">
        <v>99048.704727594886</v>
      </c>
      <c r="C1091" s="4">
        <v>0.9554892740517924</v>
      </c>
      <c r="D1091" s="30">
        <v>4614.1070040059813</v>
      </c>
      <c r="E1091" s="4">
        <v>4.4510725948208159E-2</v>
      </c>
      <c r="F1091" s="30">
        <v>103662.81173160081</v>
      </c>
      <c r="G1091" s="2">
        <v>0.79237680977062142</v>
      </c>
    </row>
    <row r="1096" spans="1:19" ht="15.75" thickBot="1"/>
    <row r="1097" spans="1:19" ht="15" customHeight="1">
      <c r="A1097" s="602" t="s">
        <v>13</v>
      </c>
      <c r="B1097" s="594" t="s">
        <v>364</v>
      </c>
      <c r="C1097" s="595"/>
      <c r="D1097" s="595"/>
      <c r="E1097" s="595"/>
      <c r="F1097" s="595"/>
      <c r="G1097" s="595"/>
      <c r="H1097" s="595"/>
      <c r="I1097" s="595"/>
      <c r="J1097" s="595"/>
      <c r="K1097" s="595"/>
      <c r="L1097" s="595"/>
      <c r="M1097" s="595"/>
      <c r="N1097" s="595"/>
      <c r="O1097" s="595"/>
      <c r="P1097" s="595"/>
      <c r="Q1097" s="595"/>
      <c r="R1097" s="595"/>
      <c r="S1097" s="596"/>
    </row>
    <row r="1098" spans="1:19" ht="15.75">
      <c r="A1098" s="603"/>
      <c r="B1098" s="617" t="s">
        <v>79</v>
      </c>
      <c r="C1098" s="618"/>
      <c r="D1098" s="619" t="s">
        <v>78</v>
      </c>
      <c r="E1098" s="618"/>
      <c r="F1098" s="619" t="s">
        <v>77</v>
      </c>
      <c r="G1098" s="618"/>
      <c r="H1098" s="619" t="s">
        <v>76</v>
      </c>
      <c r="I1098" s="618"/>
      <c r="J1098" s="619" t="s">
        <v>0</v>
      </c>
      <c r="K1098" s="618"/>
      <c r="L1098" s="619" t="s">
        <v>75</v>
      </c>
      <c r="M1098" s="618"/>
      <c r="N1098" s="619" t="s">
        <v>74</v>
      </c>
      <c r="O1098" s="618"/>
      <c r="P1098" s="619" t="s">
        <v>73</v>
      </c>
      <c r="Q1098" s="618"/>
      <c r="R1098" s="620" t="s">
        <v>9</v>
      </c>
      <c r="S1098" s="621"/>
    </row>
    <row r="1099" spans="1:19" ht="15.75" thickBot="1">
      <c r="A1099" s="604"/>
      <c r="B1099" s="16" t="s">
        <v>7</v>
      </c>
      <c r="C1099" s="16" t="s">
        <v>8</v>
      </c>
      <c r="D1099" s="16" t="s">
        <v>7</v>
      </c>
      <c r="E1099" s="16" t="s">
        <v>8</v>
      </c>
      <c r="F1099" s="16" t="s">
        <v>7</v>
      </c>
      <c r="G1099" s="16" t="s">
        <v>8</v>
      </c>
      <c r="H1099" s="16" t="s">
        <v>7</v>
      </c>
      <c r="I1099" s="16" t="s">
        <v>8</v>
      </c>
      <c r="J1099" s="16" t="s">
        <v>7</v>
      </c>
      <c r="K1099" s="16" t="s">
        <v>8</v>
      </c>
      <c r="L1099" s="16" t="s">
        <v>7</v>
      </c>
      <c r="M1099" s="16" t="s">
        <v>8</v>
      </c>
      <c r="N1099" s="16" t="s">
        <v>7</v>
      </c>
      <c r="O1099" s="16" t="s">
        <v>8</v>
      </c>
      <c r="P1099" s="16" t="s">
        <v>7</v>
      </c>
      <c r="Q1099" s="16" t="s">
        <v>8</v>
      </c>
      <c r="R1099" s="16" t="s">
        <v>7</v>
      </c>
      <c r="S1099" s="15" t="s">
        <v>6</v>
      </c>
    </row>
    <row r="1100" spans="1:19" ht="15" customHeight="1">
      <c r="A1100" s="14" t="s">
        <v>5</v>
      </c>
      <c r="B1100" s="11">
        <v>4368.0226924999979</v>
      </c>
      <c r="C1100" s="12">
        <v>2.1826670096091693E-2</v>
      </c>
      <c r="D1100" s="11">
        <v>7372.1666993000126</v>
      </c>
      <c r="E1100" s="12">
        <v>3.6838144342816889E-2</v>
      </c>
      <c r="F1100" s="11">
        <v>26997.155208500073</v>
      </c>
      <c r="G1100" s="12">
        <v>0.13490268749763712</v>
      </c>
      <c r="H1100" s="11">
        <v>34900.19238530007</v>
      </c>
      <c r="I1100" s="12">
        <v>0.17439355037967821</v>
      </c>
      <c r="J1100" s="11">
        <v>105374.04210399897</v>
      </c>
      <c r="K1100" s="12">
        <v>0.52654590317141825</v>
      </c>
      <c r="L1100" s="11">
        <v>16743.823334499983</v>
      </c>
      <c r="M1100" s="12">
        <v>8.3667584579375037E-2</v>
      </c>
      <c r="N1100" s="11">
        <v>3399.3584227999986</v>
      </c>
      <c r="O1100" s="12">
        <v>1.6986329984096389E-2</v>
      </c>
      <c r="P1100" s="11">
        <v>968.42208800000003</v>
      </c>
      <c r="Q1100" s="12">
        <v>4.8391299488525471E-3</v>
      </c>
      <c r="R1100" s="11">
        <v>200123.1829349059</v>
      </c>
      <c r="S1100" s="10">
        <v>1</v>
      </c>
    </row>
    <row r="1101" spans="1:19">
      <c r="A1101" s="9" t="s">
        <v>2</v>
      </c>
      <c r="B1101" s="31">
        <v>303.01873949999998</v>
      </c>
      <c r="C1101" s="8">
        <v>3.6021848095618279E-2</v>
      </c>
      <c r="D1101" s="31">
        <v>781.6088993000003</v>
      </c>
      <c r="E1101" s="8">
        <v>9.2915035839781834E-2</v>
      </c>
      <c r="F1101" s="31">
        <v>3077.3524095000057</v>
      </c>
      <c r="G1101" s="8">
        <v>0.36582529916996803</v>
      </c>
      <c r="H1101" s="31">
        <v>1513.4387282999985</v>
      </c>
      <c r="I1101" s="8">
        <v>0.1799125033085561</v>
      </c>
      <c r="J1101" s="31">
        <v>2280.6471189999975</v>
      </c>
      <c r="K1101" s="8">
        <v>0.27111565514359015</v>
      </c>
      <c r="L1101" s="31">
        <v>384.07891550000011</v>
      </c>
      <c r="M1101" s="8">
        <v>4.5658009051518782E-2</v>
      </c>
      <c r="N1101" s="31">
        <v>60.2583938</v>
      </c>
      <c r="O1101" s="8">
        <v>7.1633150858300175E-3</v>
      </c>
      <c r="P1101" s="31">
        <v>11.678782</v>
      </c>
      <c r="Q1101" s="8">
        <v>1.3883343051324423E-3</v>
      </c>
      <c r="R1101" s="31">
        <v>8412.0819869000388</v>
      </c>
      <c r="S1101" s="6">
        <v>4.2034520256637321E-2</v>
      </c>
    </row>
    <row r="1102" spans="1:19">
      <c r="A1102" s="9" t="s">
        <v>1</v>
      </c>
      <c r="B1102" s="31">
        <v>2982.3737159999978</v>
      </c>
      <c r="C1102" s="8">
        <v>4.6026895582208134E-2</v>
      </c>
      <c r="D1102" s="31">
        <v>3759.3846079999953</v>
      </c>
      <c r="E1102" s="8">
        <v>5.8018484362801555E-2</v>
      </c>
      <c r="F1102" s="31">
        <v>13949.486660999992</v>
      </c>
      <c r="G1102" s="8">
        <v>0.21528206291744706</v>
      </c>
      <c r="H1102" s="31">
        <v>25047.101555000096</v>
      </c>
      <c r="I1102" s="8">
        <v>0.38655126341951485</v>
      </c>
      <c r="J1102" s="31">
        <v>16673.059197999995</v>
      </c>
      <c r="K1102" s="8">
        <v>0.25731488667073582</v>
      </c>
      <c r="L1102" s="31">
        <v>1748.1400959999996</v>
      </c>
      <c r="M1102" s="8">
        <v>2.6979000394886578E-2</v>
      </c>
      <c r="N1102" s="31">
        <v>434.677299</v>
      </c>
      <c r="O1102" s="8">
        <v>6.7083633904414684E-3</v>
      </c>
      <c r="P1102" s="31">
        <v>202.102543</v>
      </c>
      <c r="Q1102" s="8">
        <v>3.1190432619678226E-3</v>
      </c>
      <c r="R1102" s="31">
        <v>64796.325675999862</v>
      </c>
      <c r="S1102" s="6">
        <v>0.32378220616786896</v>
      </c>
    </row>
    <row r="1103" spans="1:19" ht="15.75" thickBot="1">
      <c r="A1103" s="9" t="s">
        <v>0</v>
      </c>
      <c r="B1103" s="31">
        <v>1082.6302370000001</v>
      </c>
      <c r="C1103" s="8">
        <v>8.5303719340773746E-3</v>
      </c>
      <c r="D1103" s="31">
        <v>2831.1731920000007</v>
      </c>
      <c r="E1103" s="8">
        <v>2.2307672104625559E-2</v>
      </c>
      <c r="F1103" s="31">
        <v>9970.316137999991</v>
      </c>
      <c r="G1103" s="8">
        <v>7.8559144249611274E-2</v>
      </c>
      <c r="H1103" s="31">
        <v>8339.6521019999964</v>
      </c>
      <c r="I1103" s="8">
        <v>6.5710647827463331E-2</v>
      </c>
      <c r="J1103" s="31">
        <v>86420.335786999582</v>
      </c>
      <c r="K1103" s="8">
        <v>0.68093203176530503</v>
      </c>
      <c r="L1103" s="31">
        <v>14611.604322999976</v>
      </c>
      <c r="M1103" s="8">
        <v>0.1151292612832895</v>
      </c>
      <c r="N1103" s="31">
        <v>2904.4227299999989</v>
      </c>
      <c r="O1103" s="8">
        <v>2.288482742671483E-2</v>
      </c>
      <c r="P1103" s="31">
        <v>754.64076299999999</v>
      </c>
      <c r="Q1103" s="8">
        <v>5.9460434089150006E-3</v>
      </c>
      <c r="R1103" s="31">
        <v>126914.7752719993</v>
      </c>
      <c r="S1103" s="6">
        <v>0.63418327357546023</v>
      </c>
    </row>
    <row r="1104" spans="1:19" ht="15" customHeight="1">
      <c r="A1104" s="13" t="s">
        <v>4</v>
      </c>
      <c r="B1104" s="11">
        <v>2671.7484287123839</v>
      </c>
      <c r="C1104" s="12">
        <v>1.4287197105747879E-2</v>
      </c>
      <c r="D1104" s="11">
        <v>4928.38423165123</v>
      </c>
      <c r="E1104" s="12">
        <v>2.6354575967466935E-2</v>
      </c>
      <c r="F1104" s="11">
        <v>18802.4877557894</v>
      </c>
      <c r="G1104" s="12">
        <v>0.10054646079640045</v>
      </c>
      <c r="H1104" s="11">
        <v>28949.839009746396</v>
      </c>
      <c r="I1104" s="12">
        <v>0.15480950663878595</v>
      </c>
      <c r="J1104" s="11">
        <v>97003.052683450718</v>
      </c>
      <c r="K1104" s="12">
        <v>0.51872463689091575</v>
      </c>
      <c r="L1104" s="11">
        <v>26948.211689649379</v>
      </c>
      <c r="M1104" s="12">
        <v>0.14410578777545785</v>
      </c>
      <c r="N1104" s="11">
        <v>6258.0940073967467</v>
      </c>
      <c r="O1104" s="12">
        <v>3.3465210133226238E-2</v>
      </c>
      <c r="P1104" s="11">
        <v>1441.1617799570736</v>
      </c>
      <c r="Q1104" s="12">
        <v>7.7066246919962958E-3</v>
      </c>
      <c r="R1104" s="11">
        <v>187002.97958635382</v>
      </c>
      <c r="S1104" s="10">
        <v>1</v>
      </c>
    </row>
    <row r="1105" spans="1:19">
      <c r="A1105" s="9" t="s">
        <v>2</v>
      </c>
      <c r="B1105" s="31">
        <v>276.31553703359396</v>
      </c>
      <c r="C1105" s="8">
        <v>3.3126842907128175E-2</v>
      </c>
      <c r="D1105" s="31">
        <v>502.8691444084771</v>
      </c>
      <c r="E1105" s="8">
        <v>6.0287840953497554E-2</v>
      </c>
      <c r="F1105" s="31">
        <v>2581.5446625323666</v>
      </c>
      <c r="G1105" s="8">
        <v>0.30949553330056773</v>
      </c>
      <c r="H1105" s="31">
        <v>1385.9686488537577</v>
      </c>
      <c r="I1105" s="8">
        <v>0.16616063721093302</v>
      </c>
      <c r="J1105" s="31">
        <v>3105.3524514384603</v>
      </c>
      <c r="K1105" s="8">
        <v>0.37229366084311233</v>
      </c>
      <c r="L1105" s="31">
        <v>358.62335871693779</v>
      </c>
      <c r="M1105" s="8">
        <v>4.2994540931653509E-2</v>
      </c>
      <c r="N1105" s="31">
        <v>98.381669360226482</v>
      </c>
      <c r="O1105" s="8">
        <v>1.1794755158632342E-2</v>
      </c>
      <c r="P1105" s="31">
        <v>32.081587057010786</v>
      </c>
      <c r="Q1105" s="8">
        <v>3.8461886944842496E-3</v>
      </c>
      <c r="R1105" s="31">
        <v>8341.1370594007567</v>
      </c>
      <c r="S1105" s="6">
        <v>4.4604300305006665E-2</v>
      </c>
    </row>
    <row r="1106" spans="1:19">
      <c r="A1106" s="9" t="s">
        <v>1</v>
      </c>
      <c r="B1106" s="31">
        <v>1429.8405358388668</v>
      </c>
      <c r="C1106" s="8">
        <v>2.3102210097039652E-2</v>
      </c>
      <c r="D1106" s="31">
        <v>2813.205327707205</v>
      </c>
      <c r="E1106" s="8">
        <v>4.5453502609417697E-2</v>
      </c>
      <c r="F1106" s="31">
        <v>10540.551919403119</v>
      </c>
      <c r="G1106" s="8">
        <v>0.17030573611339225</v>
      </c>
      <c r="H1106" s="31">
        <v>21386.459013891377</v>
      </c>
      <c r="I1106" s="8">
        <v>0.34554515485237636</v>
      </c>
      <c r="J1106" s="31">
        <v>21449.063874371506</v>
      </c>
      <c r="K1106" s="8">
        <v>0.34655667369217436</v>
      </c>
      <c r="L1106" s="31">
        <v>3477.042674182836</v>
      </c>
      <c r="M1106" s="8">
        <v>5.617925101572082E-2</v>
      </c>
      <c r="N1106" s="31">
        <v>607.91943787009666</v>
      </c>
      <c r="O1106" s="8">
        <v>9.8222719413320007E-3</v>
      </c>
      <c r="P1106" s="31">
        <v>187.85438780684615</v>
      </c>
      <c r="Q1106" s="8">
        <v>3.0351996785560392E-3</v>
      </c>
      <c r="R1106" s="31">
        <v>61891.937171071288</v>
      </c>
      <c r="S1106" s="6">
        <v>0.33096765253673921</v>
      </c>
    </row>
    <row r="1107" spans="1:19" ht="15.75" thickBot="1">
      <c r="A1107" s="9" t="s">
        <v>0</v>
      </c>
      <c r="B1107" s="31">
        <v>965.59235583992222</v>
      </c>
      <c r="C1107" s="8">
        <v>8.2691884770916355E-3</v>
      </c>
      <c r="D1107" s="31">
        <v>1612.3097595355475</v>
      </c>
      <c r="E1107" s="8">
        <v>1.3807579569596369E-2</v>
      </c>
      <c r="F1107" s="31">
        <v>5680.3911738538818</v>
      </c>
      <c r="G1107" s="8">
        <v>4.8646020192803494E-2</v>
      </c>
      <c r="H1107" s="31">
        <v>6177.4113470012235</v>
      </c>
      <c r="I1107" s="8">
        <v>5.290242659848287E-2</v>
      </c>
      <c r="J1107" s="31">
        <v>72448.636357641211</v>
      </c>
      <c r="K1107" s="8">
        <v>0.62043928302279083</v>
      </c>
      <c r="L1107" s="31">
        <v>23112.54565674956</v>
      </c>
      <c r="M1107" s="8">
        <v>0.19793238323101681</v>
      </c>
      <c r="N1107" s="31">
        <v>5551.7929001664279</v>
      </c>
      <c r="O1107" s="8">
        <v>4.7544723816005677E-2</v>
      </c>
      <c r="P1107" s="31">
        <v>1221.2258050932164</v>
      </c>
      <c r="Q1107" s="8">
        <v>1.0458395092222477E-2</v>
      </c>
      <c r="R1107" s="31">
        <v>116769.9053558798</v>
      </c>
      <c r="S1107" s="6">
        <v>0.62442804715824363</v>
      </c>
    </row>
    <row r="1108" spans="1:19" ht="15" customHeight="1">
      <c r="A1108" s="13" t="s">
        <v>3</v>
      </c>
      <c r="B1108" s="11">
        <v>1331.6099241273023</v>
      </c>
      <c r="C1108" s="12">
        <v>1.0178547213930536E-2</v>
      </c>
      <c r="D1108" s="11">
        <v>2051.7380531687304</v>
      </c>
      <c r="E1108" s="12">
        <v>1.5683055725558975E-2</v>
      </c>
      <c r="F1108" s="11">
        <v>7799.4096619887068</v>
      </c>
      <c r="G1108" s="12">
        <v>5.9617053047547476E-2</v>
      </c>
      <c r="H1108" s="11">
        <v>10261.049289837752</v>
      </c>
      <c r="I1108" s="12">
        <v>7.8433310512859483E-2</v>
      </c>
      <c r="J1108" s="11">
        <v>70081.036155699083</v>
      </c>
      <c r="K1108" s="12">
        <v>0.53568475451205944</v>
      </c>
      <c r="L1108" s="11">
        <v>29112.392160629119</v>
      </c>
      <c r="M1108" s="12">
        <v>0.22252902501580951</v>
      </c>
      <c r="N1108" s="11">
        <v>8766.253167287814</v>
      </c>
      <c r="O1108" s="12">
        <v>6.7007402194741314E-2</v>
      </c>
      <c r="P1108" s="11">
        <v>1421.6574690683819</v>
      </c>
      <c r="Q1108" s="12">
        <v>1.0866851777507585E-2</v>
      </c>
      <c r="R1108" s="11">
        <v>130825.14588180502</v>
      </c>
      <c r="S1108" s="10">
        <v>1</v>
      </c>
    </row>
    <row r="1109" spans="1:19">
      <c r="A1109" s="9" t="s">
        <v>2</v>
      </c>
      <c r="B1109" s="31">
        <v>196.38261482204535</v>
      </c>
      <c r="C1109" s="8">
        <v>2.6998899038418719E-2</v>
      </c>
      <c r="D1109" s="31">
        <v>292.65219123546541</v>
      </c>
      <c r="E1109" s="8">
        <v>4.0234146855098095E-2</v>
      </c>
      <c r="F1109" s="31">
        <v>1724.8008092385321</v>
      </c>
      <c r="G1109" s="8">
        <v>0.23712752247551022</v>
      </c>
      <c r="H1109" s="31">
        <v>1176.1365168065877</v>
      </c>
      <c r="I1109" s="8">
        <v>0.16169654885913995</v>
      </c>
      <c r="J1109" s="31">
        <v>3113.6782441976638</v>
      </c>
      <c r="K1109" s="8">
        <v>0.42807192800335697</v>
      </c>
      <c r="L1109" s="31">
        <v>650.18492877685924</v>
      </c>
      <c r="M1109" s="8">
        <v>8.9388142958860814E-2</v>
      </c>
      <c r="N1109" s="31">
        <v>102.13523258368174</v>
      </c>
      <c r="O1109" s="8">
        <v>1.4041664712994152E-2</v>
      </c>
      <c r="P1109" s="31">
        <v>17.756236997723065</v>
      </c>
      <c r="Q1109" s="8">
        <v>2.4411470966417955E-3</v>
      </c>
      <c r="R1109" s="31">
        <v>7273.7267746584075</v>
      </c>
      <c r="S1109" s="6">
        <v>5.5598843216501451E-2</v>
      </c>
    </row>
    <row r="1110" spans="1:19">
      <c r="A1110" s="9" t="s">
        <v>1</v>
      </c>
      <c r="B1110" s="31">
        <v>236.12632018904969</v>
      </c>
      <c r="C1110" s="8">
        <v>1.1872441128249138E-2</v>
      </c>
      <c r="D1110" s="31">
        <v>714.34827035233741</v>
      </c>
      <c r="E1110" s="8">
        <v>3.5917460527206541E-2</v>
      </c>
      <c r="F1110" s="31">
        <v>2454.1602485492031</v>
      </c>
      <c r="G1110" s="8">
        <v>0.12339527862400873</v>
      </c>
      <c r="H1110" s="31">
        <v>5437.2710973647409</v>
      </c>
      <c r="I1110" s="8">
        <v>0.27338621526863205</v>
      </c>
      <c r="J1110" s="31">
        <v>8694.2802066809945</v>
      </c>
      <c r="K1110" s="8">
        <v>0.43714876775989658</v>
      </c>
      <c r="L1110" s="31">
        <v>1886.2085503262738</v>
      </c>
      <c r="M1110" s="8">
        <v>9.4838643787865828E-2</v>
      </c>
      <c r="N1110" s="31">
        <v>367.95803325593783</v>
      </c>
      <c r="O1110" s="8">
        <v>1.8500945104297829E-2</v>
      </c>
      <c r="P1110" s="31">
        <v>98.254648828848715</v>
      </c>
      <c r="Q1110" s="8">
        <v>4.9402477998358981E-3</v>
      </c>
      <c r="R1110" s="31">
        <v>19888.607375547534</v>
      </c>
      <c r="S1110" s="6">
        <v>0.15202434701289039</v>
      </c>
    </row>
    <row r="1111" spans="1:19" ht="15.75" thickBot="1">
      <c r="A1111" s="5" t="s">
        <v>0</v>
      </c>
      <c r="B1111" s="30">
        <v>899.10098911620662</v>
      </c>
      <c r="C1111" s="4">
        <v>8.6733224200412316E-3</v>
      </c>
      <c r="D1111" s="30">
        <v>1044.7375915809237</v>
      </c>
      <c r="E1111" s="4">
        <v>1.0078229348880793E-2</v>
      </c>
      <c r="F1111" s="30">
        <v>3620.448604201023</v>
      </c>
      <c r="G1111" s="4">
        <v>3.4925240245025663E-2</v>
      </c>
      <c r="H1111" s="30">
        <v>3647.6416756664544</v>
      </c>
      <c r="I1111" s="4">
        <v>3.5187562586193086E-2</v>
      </c>
      <c r="J1111" s="30">
        <v>58273.077704820615</v>
      </c>
      <c r="K1111" s="4">
        <v>0.56214062431278344</v>
      </c>
      <c r="L1111" s="30">
        <v>26575.998681525958</v>
      </c>
      <c r="M1111" s="4">
        <v>0.25636964922710531</v>
      </c>
      <c r="N1111" s="30">
        <v>8296.1599014481963</v>
      </c>
      <c r="O1111" s="4">
        <v>8.0030241924444884E-2</v>
      </c>
      <c r="P1111" s="30">
        <v>1305.64658324181</v>
      </c>
      <c r="Q1111" s="4">
        <v>1.2595129935529172E-2</v>
      </c>
      <c r="R1111" s="30">
        <v>103662.81173160081</v>
      </c>
      <c r="S1111" s="2">
        <v>0.79237680977062142</v>
      </c>
    </row>
    <row r="1114" spans="1:19" ht="15.75" thickBot="1"/>
    <row r="1115" spans="1:19" ht="15" customHeight="1">
      <c r="A1115" s="602" t="s">
        <v>13</v>
      </c>
      <c r="B1115" s="609" t="s">
        <v>365</v>
      </c>
      <c r="C1115" s="610"/>
      <c r="D1115" s="610"/>
      <c r="E1115" s="610"/>
      <c r="F1115" s="610"/>
      <c r="G1115" s="610"/>
      <c r="H1115" s="610"/>
      <c r="I1115" s="611"/>
    </row>
    <row r="1116" spans="1:19">
      <c r="A1116" s="603"/>
      <c r="B1116" s="612" t="s">
        <v>72</v>
      </c>
      <c r="C1116" s="613"/>
      <c r="D1116" s="614" t="s">
        <v>71</v>
      </c>
      <c r="E1116" s="613"/>
      <c r="F1116" s="614" t="s">
        <v>70</v>
      </c>
      <c r="G1116" s="613"/>
      <c r="H1116" s="615" t="s">
        <v>9</v>
      </c>
      <c r="I1116" s="616"/>
    </row>
    <row r="1117" spans="1:19" ht="15.75" thickBot="1">
      <c r="A1117" s="604"/>
      <c r="B1117" s="16" t="s">
        <v>7</v>
      </c>
      <c r="C1117" s="16" t="s">
        <v>8</v>
      </c>
      <c r="D1117" s="16" t="s">
        <v>7</v>
      </c>
      <c r="E1117" s="16" t="s">
        <v>8</v>
      </c>
      <c r="F1117" s="16" t="s">
        <v>7</v>
      </c>
      <c r="G1117" s="16" t="s">
        <v>8</v>
      </c>
      <c r="H1117" s="16" t="s">
        <v>7</v>
      </c>
      <c r="I1117" s="16" t="s">
        <v>6</v>
      </c>
    </row>
    <row r="1118" spans="1:19" ht="15" customHeight="1">
      <c r="A1118" s="14" t="s">
        <v>5</v>
      </c>
      <c r="B1118" s="11">
        <v>52085.540292899794</v>
      </c>
      <c r="C1118" s="12">
        <v>0.26026739895418144</v>
      </c>
      <c r="D1118" s="11">
        <v>135034.68781349887</v>
      </c>
      <c r="E1118" s="12">
        <v>0.67475784580850695</v>
      </c>
      <c r="F1118" s="11">
        <v>13002.95482849998</v>
      </c>
      <c r="G1118" s="12">
        <v>6.4974755237275306E-2</v>
      </c>
      <c r="H1118" s="11">
        <v>200123.1829349059</v>
      </c>
      <c r="I1118" s="12">
        <v>1</v>
      </c>
    </row>
    <row r="1119" spans="1:19">
      <c r="A1119" s="9" t="s">
        <v>2</v>
      </c>
      <c r="B1119" s="22">
        <v>1968.8428628999957</v>
      </c>
      <c r="C1119" s="27">
        <v>0.23404941439777144</v>
      </c>
      <c r="D1119" s="22">
        <v>6035.4183125000254</v>
      </c>
      <c r="E1119" s="27">
        <v>0.71747021984555759</v>
      </c>
      <c r="F1119" s="22">
        <v>407.8208115000001</v>
      </c>
      <c r="G1119" s="27">
        <v>4.8480365756668926E-2</v>
      </c>
      <c r="H1119" s="22">
        <v>8412.0819869000388</v>
      </c>
      <c r="I1119" s="27">
        <v>4.2034520256637321E-2</v>
      </c>
    </row>
    <row r="1120" spans="1:19">
      <c r="A1120" s="9" t="s">
        <v>1</v>
      </c>
      <c r="B1120" s="22">
        <v>16736.213783999985</v>
      </c>
      <c r="C1120" s="27">
        <v>0.25828954974524071</v>
      </c>
      <c r="D1120" s="22">
        <v>43341.600348000051</v>
      </c>
      <c r="E1120" s="27">
        <v>0.66888978496590124</v>
      </c>
      <c r="F1120" s="22">
        <v>4718.5115440000009</v>
      </c>
      <c r="G1120" s="27">
        <v>7.2820665288860761E-2</v>
      </c>
      <c r="H1120" s="22">
        <v>64796.325675999862</v>
      </c>
      <c r="I1120" s="27">
        <v>0.32378220616786896</v>
      </c>
    </row>
    <row r="1121" spans="1:9" ht="15.75" thickBot="1">
      <c r="A1121" s="9" t="s">
        <v>0</v>
      </c>
      <c r="B1121" s="22">
        <v>33380.483646000044</v>
      </c>
      <c r="C1121" s="27">
        <v>0.26301495294350213</v>
      </c>
      <c r="D1121" s="22">
        <v>85657.669152999704</v>
      </c>
      <c r="E1121" s="27">
        <v>0.67492275008501723</v>
      </c>
      <c r="F1121" s="22">
        <v>7876.6224729999994</v>
      </c>
      <c r="G1121" s="27">
        <v>6.2062296971484195E-2</v>
      </c>
      <c r="H1121" s="22">
        <v>126914.7752719993</v>
      </c>
      <c r="I1121" s="27">
        <v>0.63418327357546023</v>
      </c>
    </row>
    <row r="1122" spans="1:9" ht="15" customHeight="1">
      <c r="A1122" s="13" t="s">
        <v>4</v>
      </c>
      <c r="B1122" s="11">
        <v>49889.807032995603</v>
      </c>
      <c r="C1122" s="12">
        <v>0.26678616107267744</v>
      </c>
      <c r="D1122" s="11">
        <v>126949.4778963947</v>
      </c>
      <c r="E1122" s="12">
        <v>0.67886339660043904</v>
      </c>
      <c r="F1122" s="11">
        <v>10163.694656963602</v>
      </c>
      <c r="G1122" s="12">
        <v>5.4350442326884067E-2</v>
      </c>
      <c r="H1122" s="11">
        <v>187002.97958635382</v>
      </c>
      <c r="I1122" s="12">
        <v>1</v>
      </c>
    </row>
    <row r="1123" spans="1:9">
      <c r="A1123" s="9" t="s">
        <v>2</v>
      </c>
      <c r="B1123" s="22">
        <v>1869.301313661203</v>
      </c>
      <c r="C1123" s="27">
        <v>0.22410629394399342</v>
      </c>
      <c r="D1123" s="22">
        <v>5985.4210489574061</v>
      </c>
      <c r="E1123" s="27">
        <v>0.7175785515011559</v>
      </c>
      <c r="F1123" s="22">
        <v>486.41469678218317</v>
      </c>
      <c r="G1123" s="27">
        <v>5.8315154554854913E-2</v>
      </c>
      <c r="H1123" s="22">
        <v>8341.1370594007567</v>
      </c>
      <c r="I1123" s="27">
        <v>4.4604300305006665E-2</v>
      </c>
    </row>
    <row r="1124" spans="1:9">
      <c r="A1124" s="9" t="s">
        <v>1</v>
      </c>
      <c r="B1124" s="22">
        <v>15758.288424259565</v>
      </c>
      <c r="C1124" s="27">
        <v>0.25460971403598426</v>
      </c>
      <c r="D1124" s="22">
        <v>42823.654998830745</v>
      </c>
      <c r="E1124" s="27">
        <v>0.69191007675951066</v>
      </c>
      <c r="F1124" s="22">
        <v>3309.9937479814262</v>
      </c>
      <c r="G1124" s="27">
        <v>5.3480209204512345E-2</v>
      </c>
      <c r="H1124" s="22">
        <v>61891.937171071288</v>
      </c>
      <c r="I1124" s="27">
        <v>0.33096765253673921</v>
      </c>
    </row>
    <row r="1125" spans="1:9" ht="15.75" thickBot="1">
      <c r="A1125" s="9" t="s">
        <v>0</v>
      </c>
      <c r="B1125" s="22">
        <v>32262.217295074799</v>
      </c>
      <c r="C1125" s="27">
        <v>0.27628880229669789</v>
      </c>
      <c r="D1125" s="22">
        <v>78140.401848606023</v>
      </c>
      <c r="E1125" s="27">
        <v>0.6691827111656673</v>
      </c>
      <c r="F1125" s="22">
        <v>6367.2862121999951</v>
      </c>
      <c r="G1125" s="27">
        <v>5.4528486537643479E-2</v>
      </c>
      <c r="H1125" s="22">
        <v>116769.9053558798</v>
      </c>
      <c r="I1125" s="27">
        <v>0.62442804715824363</v>
      </c>
    </row>
    <row r="1126" spans="1:9" ht="15" customHeight="1">
      <c r="A1126" s="13" t="s">
        <v>3</v>
      </c>
      <c r="B1126" s="11">
        <v>38104.184627110968</v>
      </c>
      <c r="C1126" s="12">
        <v>0.2912604023506038</v>
      </c>
      <c r="D1126" s="11">
        <v>86551.7604821977</v>
      </c>
      <c r="E1126" s="12">
        <v>0.66158351973399332</v>
      </c>
      <c r="F1126" s="11">
        <v>6169.2007724977029</v>
      </c>
      <c r="G1126" s="12">
        <v>4.715607791541325E-2</v>
      </c>
      <c r="H1126" s="11">
        <v>130825.14588180502</v>
      </c>
      <c r="I1126" s="12">
        <v>1</v>
      </c>
    </row>
    <row r="1127" spans="1:9">
      <c r="A1127" s="9" t="s">
        <v>2</v>
      </c>
      <c r="B1127" s="22">
        <v>1764.3343963243026</v>
      </c>
      <c r="C1127" s="27">
        <v>0.2425626437428508</v>
      </c>
      <c r="D1127" s="22">
        <v>5136.0903940692333</v>
      </c>
      <c r="E1127" s="27">
        <v>0.70611538667678886</v>
      </c>
      <c r="F1127" s="22">
        <v>373.30198426498259</v>
      </c>
      <c r="G1127" s="27">
        <v>5.1321969580375632E-2</v>
      </c>
      <c r="H1127" s="22">
        <v>7273.7267746584075</v>
      </c>
      <c r="I1127" s="27">
        <v>5.5598843216501451E-2</v>
      </c>
    </row>
    <row r="1128" spans="1:9">
      <c r="A1128" s="9" t="s">
        <v>1</v>
      </c>
      <c r="B1128" s="22">
        <v>5359.835252888849</v>
      </c>
      <c r="C1128" s="27">
        <v>0.26949273781122612</v>
      </c>
      <c r="D1128" s="22">
        <v>13585.679970131914</v>
      </c>
      <c r="E1128" s="27">
        <v>0.68308854982149791</v>
      </c>
      <c r="F1128" s="22">
        <v>943.09215252664876</v>
      </c>
      <c r="G1128" s="27">
        <v>4.7418712367269779E-2</v>
      </c>
      <c r="H1128" s="22">
        <v>19888.607375547534</v>
      </c>
      <c r="I1128" s="27">
        <v>0.15202434701289039</v>
      </c>
    </row>
    <row r="1129" spans="1:9" ht="15.75" thickBot="1">
      <c r="A1129" s="5" t="s">
        <v>0</v>
      </c>
      <c r="B1129" s="29">
        <v>30980.014977897819</v>
      </c>
      <c r="C1129" s="28">
        <v>0.29885370134576233</v>
      </c>
      <c r="D1129" s="29">
        <v>67829.99011799728</v>
      </c>
      <c r="E1129" s="28">
        <v>0.65433291828529305</v>
      </c>
      <c r="F1129" s="29">
        <v>4852.8066357060798</v>
      </c>
      <c r="G1129" s="28">
        <v>4.6813380368948054E-2</v>
      </c>
      <c r="H1129" s="29">
        <v>103662.81173160081</v>
      </c>
      <c r="I1129" s="28">
        <v>0.79237680977062142</v>
      </c>
    </row>
    <row r="1134" spans="1:9" ht="15.75" thickBot="1"/>
    <row r="1135" spans="1:9" ht="30" customHeight="1">
      <c r="A1135" s="602" t="s">
        <v>13</v>
      </c>
      <c r="B1135" s="594" t="s">
        <v>366</v>
      </c>
      <c r="C1135" s="595"/>
      <c r="D1135" s="595"/>
      <c r="E1135" s="595"/>
      <c r="F1135" s="595"/>
      <c r="G1135" s="595"/>
      <c r="H1135" s="595"/>
      <c r="I1135" s="596"/>
    </row>
    <row r="1136" spans="1:9" ht="15.75" customHeight="1">
      <c r="A1136" s="603"/>
      <c r="B1136" s="597" t="s">
        <v>72</v>
      </c>
      <c r="C1136" s="598"/>
      <c r="D1136" s="599" t="s">
        <v>71</v>
      </c>
      <c r="E1136" s="598"/>
      <c r="F1136" s="599" t="s">
        <v>70</v>
      </c>
      <c r="G1136" s="598"/>
      <c r="H1136" s="600" t="s">
        <v>9</v>
      </c>
      <c r="I1136" s="601"/>
    </row>
    <row r="1137" spans="1:9" ht="15.75" thickBot="1">
      <c r="A1137" s="604"/>
      <c r="B1137" s="16" t="s">
        <v>7</v>
      </c>
      <c r="C1137" s="16" t="s">
        <v>8</v>
      </c>
      <c r="D1137" s="16" t="s">
        <v>7</v>
      </c>
      <c r="E1137" s="16" t="s">
        <v>8</v>
      </c>
      <c r="F1137" s="16" t="s">
        <v>7</v>
      </c>
      <c r="G1137" s="16" t="s">
        <v>8</v>
      </c>
      <c r="H1137" s="16" t="s">
        <v>7</v>
      </c>
      <c r="I1137" s="15" t="s">
        <v>6</v>
      </c>
    </row>
    <row r="1138" spans="1:9" ht="15.75" customHeight="1">
      <c r="A1138" s="14" t="s">
        <v>5</v>
      </c>
      <c r="B1138" s="11">
        <v>39390.379708299981</v>
      </c>
      <c r="C1138" s="12">
        <v>0.19683066764489998</v>
      </c>
      <c r="D1138" s="11">
        <v>137609.37355909901</v>
      </c>
      <c r="E1138" s="12">
        <v>0.68762335048338319</v>
      </c>
      <c r="F1138" s="11">
        <v>23123.429667500019</v>
      </c>
      <c r="G1138" s="12">
        <v>0.1155459818716824</v>
      </c>
      <c r="H1138" s="11">
        <v>200123.1829349059</v>
      </c>
      <c r="I1138" s="10">
        <v>1</v>
      </c>
    </row>
    <row r="1139" spans="1:9">
      <c r="A1139" s="9" t="s">
        <v>2</v>
      </c>
      <c r="B1139" s="22">
        <v>1470.0129152999984</v>
      </c>
      <c r="C1139" s="27">
        <v>0.17475018878670215</v>
      </c>
      <c r="D1139" s="22">
        <v>6047.6655951000248</v>
      </c>
      <c r="E1139" s="27">
        <v>0.71892613558901697</v>
      </c>
      <c r="F1139" s="22">
        <v>894.40347650000001</v>
      </c>
      <c r="G1139" s="27">
        <v>0.10632367562427898</v>
      </c>
      <c r="H1139" s="22">
        <v>8412.0819869000388</v>
      </c>
      <c r="I1139" s="26">
        <v>4.2034520256637321E-2</v>
      </c>
    </row>
    <row r="1140" spans="1:9">
      <c r="A1140" s="9" t="s">
        <v>1</v>
      </c>
      <c r="B1140" s="22">
        <v>13218.705482999992</v>
      </c>
      <c r="C1140" s="27">
        <v>0.20400393610429851</v>
      </c>
      <c r="D1140" s="22">
        <v>44228.206053000067</v>
      </c>
      <c r="E1140" s="27">
        <v>0.68257274763006981</v>
      </c>
      <c r="F1140" s="22">
        <v>7349.4141400000153</v>
      </c>
      <c r="G1140" s="27">
        <v>0.11342331626563495</v>
      </c>
      <c r="H1140" s="22">
        <v>64796.325675999862</v>
      </c>
      <c r="I1140" s="26">
        <v>0.32378220616786896</v>
      </c>
    </row>
    <row r="1141" spans="1:9" ht="15.75" thickBot="1">
      <c r="A1141" s="9" t="s">
        <v>0</v>
      </c>
      <c r="B1141" s="22">
        <v>24701.66131000001</v>
      </c>
      <c r="C1141" s="27">
        <v>0.19463187999238291</v>
      </c>
      <c r="D1141" s="22">
        <v>87333.501910999636</v>
      </c>
      <c r="E1141" s="27">
        <v>0.68812714456476431</v>
      </c>
      <c r="F1141" s="22">
        <v>14879.612050999987</v>
      </c>
      <c r="G1141" s="27">
        <v>0.11724097544285544</v>
      </c>
      <c r="H1141" s="22">
        <v>126914.7752719993</v>
      </c>
      <c r="I1141" s="26">
        <v>0.63418327357546023</v>
      </c>
    </row>
    <row r="1142" spans="1:9" ht="15" customHeight="1">
      <c r="A1142" s="13" t="s">
        <v>4</v>
      </c>
      <c r="B1142" s="11">
        <v>38428.386664326354</v>
      </c>
      <c r="C1142" s="12">
        <v>0.2054961196304414</v>
      </c>
      <c r="D1142" s="11">
        <v>128351.07015889417</v>
      </c>
      <c r="E1142" s="12">
        <v>0.68635842296632776</v>
      </c>
      <c r="F1142" s="11">
        <v>20223.522763133387</v>
      </c>
      <c r="G1142" s="12">
        <v>0.10814545740323146</v>
      </c>
      <c r="H1142" s="11">
        <v>187002.97958635382</v>
      </c>
      <c r="I1142" s="10">
        <v>1</v>
      </c>
    </row>
    <row r="1143" spans="1:9">
      <c r="A1143" s="9" t="s">
        <v>2</v>
      </c>
      <c r="B1143" s="22">
        <v>1380.5187563022014</v>
      </c>
      <c r="C1143" s="27">
        <v>0.16550726195612719</v>
      </c>
      <c r="D1143" s="22">
        <v>6149.6557056447391</v>
      </c>
      <c r="E1143" s="27">
        <v>0.73726827192149524</v>
      </c>
      <c r="F1143" s="22">
        <v>810.96259745385112</v>
      </c>
      <c r="G1143" s="27">
        <v>9.722446612238167E-2</v>
      </c>
      <c r="H1143" s="22">
        <v>8341.1370594007567</v>
      </c>
      <c r="I1143" s="26">
        <v>4.4604300305006665E-2</v>
      </c>
    </row>
    <row r="1144" spans="1:9">
      <c r="A1144" s="9" t="s">
        <v>1</v>
      </c>
      <c r="B1144" s="22">
        <v>13146.419712110683</v>
      </c>
      <c r="C1144" s="27">
        <v>0.21240924606663319</v>
      </c>
      <c r="D1144" s="22">
        <v>43328.55903195533</v>
      </c>
      <c r="E1144" s="27">
        <v>0.70006790888114889</v>
      </c>
      <c r="F1144" s="22">
        <v>5416.958427005784</v>
      </c>
      <c r="G1144" s="27">
        <v>8.7522845052226086E-2</v>
      </c>
      <c r="H1144" s="22">
        <v>61891.937171071288</v>
      </c>
      <c r="I1144" s="26">
        <v>0.33096765253673921</v>
      </c>
    </row>
    <row r="1145" spans="1:9" ht="15.75" thickBot="1">
      <c r="A1145" s="9" t="s">
        <v>0</v>
      </c>
      <c r="B1145" s="22">
        <v>23901.448195913414</v>
      </c>
      <c r="C1145" s="27">
        <v>0.20468842655193509</v>
      </c>
      <c r="D1145" s="22">
        <v>78872.855421293672</v>
      </c>
      <c r="E1145" s="27">
        <v>0.67545533398278224</v>
      </c>
      <c r="F1145" s="22">
        <v>13995.601738673731</v>
      </c>
      <c r="G1145" s="27">
        <v>0.11985623946529131</v>
      </c>
      <c r="H1145" s="22">
        <v>116769.9053558798</v>
      </c>
      <c r="I1145" s="26">
        <v>0.62442804715824363</v>
      </c>
    </row>
    <row r="1146" spans="1:9" ht="15.75" customHeight="1">
      <c r="A1146" s="13" t="s">
        <v>3</v>
      </c>
      <c r="B1146" s="11">
        <v>26660.222228565483</v>
      </c>
      <c r="C1146" s="12">
        <v>0.20378515192065497</v>
      </c>
      <c r="D1146" s="11">
        <v>90378.428297211343</v>
      </c>
      <c r="E1146" s="12">
        <v>0.69083376661291429</v>
      </c>
      <c r="F1146" s="11">
        <v>13786.495356029443</v>
      </c>
      <c r="G1146" s="12">
        <v>0.1053810814664404</v>
      </c>
      <c r="H1146" s="11">
        <v>130825.14588180502</v>
      </c>
      <c r="I1146" s="10">
        <v>1</v>
      </c>
    </row>
    <row r="1147" spans="1:9">
      <c r="A1147" s="9" t="s">
        <v>2</v>
      </c>
      <c r="B1147" s="22">
        <v>1341.8599268116752</v>
      </c>
      <c r="C1147" s="27">
        <v>0.18448038651750051</v>
      </c>
      <c r="D1147" s="22">
        <v>5241.1335421832136</v>
      </c>
      <c r="E1147" s="27">
        <v>0.72055683483235455</v>
      </c>
      <c r="F1147" s="22">
        <v>690.73330566362154</v>
      </c>
      <c r="G1147" s="27">
        <v>9.4962778650159035E-2</v>
      </c>
      <c r="H1147" s="22">
        <v>7273.7267746584075</v>
      </c>
      <c r="I1147" s="26">
        <v>5.5598843216501451E-2</v>
      </c>
    </row>
    <row r="1148" spans="1:9">
      <c r="A1148" s="9" t="s">
        <v>1</v>
      </c>
      <c r="B1148" s="22">
        <v>4066.9376574601924</v>
      </c>
      <c r="C1148" s="27">
        <v>0.20448579333213521</v>
      </c>
      <c r="D1148" s="22">
        <v>14123.918080228448</v>
      </c>
      <c r="E1148" s="27">
        <v>0.71015118421983614</v>
      </c>
      <c r="F1148" s="22">
        <v>1697.751637858797</v>
      </c>
      <c r="G1148" s="27">
        <v>8.5363022448023851E-2</v>
      </c>
      <c r="H1148" s="22">
        <v>19888.607375547534</v>
      </c>
      <c r="I1148" s="26">
        <v>0.15202434701289039</v>
      </c>
    </row>
    <row r="1149" spans="1:9" ht="15.75" thickBot="1">
      <c r="A1149" s="5" t="s">
        <v>0</v>
      </c>
      <c r="B1149" s="19">
        <v>21251.424644293522</v>
      </c>
      <c r="C1149" s="25">
        <v>0.2050052886788058</v>
      </c>
      <c r="D1149" s="19">
        <v>71013.376674800442</v>
      </c>
      <c r="E1149" s="25">
        <v>0.68504196913609816</v>
      </c>
      <c r="F1149" s="19">
        <v>11398.010412507068</v>
      </c>
      <c r="G1149" s="25">
        <v>0.10995274218509811</v>
      </c>
      <c r="H1149" s="19">
        <v>103662.81173160081</v>
      </c>
      <c r="I1149" s="24">
        <v>0.79237680977062142</v>
      </c>
    </row>
    <row r="1152" spans="1:9" ht="15.75" thickBot="1"/>
    <row r="1153" spans="1:9" ht="26.25" customHeight="1">
      <c r="A1153" s="602" t="s">
        <v>13</v>
      </c>
      <c r="B1153" s="594" t="s">
        <v>367</v>
      </c>
      <c r="C1153" s="595"/>
      <c r="D1153" s="595"/>
      <c r="E1153" s="595"/>
      <c r="F1153" s="595"/>
      <c r="G1153" s="595"/>
      <c r="H1153" s="595"/>
      <c r="I1153" s="596"/>
    </row>
    <row r="1154" spans="1:9" ht="15.75">
      <c r="A1154" s="603"/>
      <c r="B1154" s="597" t="s">
        <v>72</v>
      </c>
      <c r="C1154" s="598"/>
      <c r="D1154" s="599" t="s">
        <v>71</v>
      </c>
      <c r="E1154" s="598"/>
      <c r="F1154" s="599" t="s">
        <v>70</v>
      </c>
      <c r="G1154" s="598"/>
      <c r="H1154" s="600" t="s">
        <v>9</v>
      </c>
      <c r="I1154" s="601"/>
    </row>
    <row r="1155" spans="1:9" ht="15.75" thickBot="1">
      <c r="A1155" s="604"/>
      <c r="B1155" s="16" t="s">
        <v>7</v>
      </c>
      <c r="C1155" s="16" t="s">
        <v>8</v>
      </c>
      <c r="D1155" s="16" t="s">
        <v>7</v>
      </c>
      <c r="E1155" s="16" t="s">
        <v>8</v>
      </c>
      <c r="F1155" s="16" t="s">
        <v>7</v>
      </c>
      <c r="G1155" s="16" t="s">
        <v>8</v>
      </c>
      <c r="H1155" s="16" t="s">
        <v>7</v>
      </c>
      <c r="I1155" s="15" t="s">
        <v>6</v>
      </c>
    </row>
    <row r="1156" spans="1:9" ht="15.75" customHeight="1">
      <c r="A1156" s="14" t="s">
        <v>5</v>
      </c>
      <c r="B1156" s="11">
        <v>61967.518104299736</v>
      </c>
      <c r="C1156" s="12">
        <v>0.30964687446759187</v>
      </c>
      <c r="D1156" s="11">
        <v>122931.1779125985</v>
      </c>
      <c r="E1156" s="12">
        <v>0.61427754700755655</v>
      </c>
      <c r="F1156" s="11">
        <v>15224.486917999991</v>
      </c>
      <c r="G1156" s="12">
        <v>7.6075578524813198E-2</v>
      </c>
      <c r="H1156" s="11">
        <v>200123.1829349059</v>
      </c>
      <c r="I1156" s="10">
        <v>1</v>
      </c>
    </row>
    <row r="1157" spans="1:9">
      <c r="A1157" s="9" t="s">
        <v>2</v>
      </c>
      <c r="B1157" s="22">
        <v>2302.7390942999973</v>
      </c>
      <c r="C1157" s="27">
        <v>0.27374187482789697</v>
      </c>
      <c r="D1157" s="22">
        <v>5432.1819316000192</v>
      </c>
      <c r="E1157" s="27">
        <v>0.64575950877077093</v>
      </c>
      <c r="F1157" s="22">
        <v>677.16096100000038</v>
      </c>
      <c r="G1157" s="27">
        <v>8.0498616401329562E-2</v>
      </c>
      <c r="H1157" s="22">
        <v>8412.0819869000388</v>
      </c>
      <c r="I1157" s="26">
        <v>4.2034520256637321E-2</v>
      </c>
    </row>
    <row r="1158" spans="1:9">
      <c r="A1158" s="9" t="s">
        <v>1</v>
      </c>
      <c r="B1158" s="22">
        <v>17620.613968000005</v>
      </c>
      <c r="C1158" s="27">
        <v>0.27193847466148169</v>
      </c>
      <c r="D1158" s="22">
        <v>41209.453226000041</v>
      </c>
      <c r="E1158" s="27">
        <v>0.63598441417896256</v>
      </c>
      <c r="F1158" s="22">
        <v>5966.2584820000066</v>
      </c>
      <c r="G1158" s="27">
        <v>9.2077111159558703E-2</v>
      </c>
      <c r="H1158" s="22">
        <v>64796.325675999862</v>
      </c>
      <c r="I1158" s="26">
        <v>0.32378220616786896</v>
      </c>
    </row>
    <row r="1159" spans="1:9" ht="15.75" thickBot="1">
      <c r="A1159" s="9" t="s">
        <v>0</v>
      </c>
      <c r="B1159" s="22">
        <v>42044.165042000037</v>
      </c>
      <c r="C1159" s="27">
        <v>0.331278725837023</v>
      </c>
      <c r="D1159" s="22">
        <v>76289.542755000002</v>
      </c>
      <c r="E1159" s="27">
        <v>0.60110844140486341</v>
      </c>
      <c r="F1159" s="22">
        <v>8581.067474999998</v>
      </c>
      <c r="G1159" s="27">
        <v>6.7612832758119412E-2</v>
      </c>
      <c r="H1159" s="22">
        <v>126914.7752719993</v>
      </c>
      <c r="I1159" s="26">
        <v>0.63418327357546023</v>
      </c>
    </row>
    <row r="1160" spans="1:9" ht="15" customHeight="1">
      <c r="A1160" s="13" t="s">
        <v>4</v>
      </c>
      <c r="B1160" s="11">
        <v>61117.134174040584</v>
      </c>
      <c r="C1160" s="12">
        <v>0.326824387019021</v>
      </c>
      <c r="D1160" s="11">
        <v>115473.81168411479</v>
      </c>
      <c r="E1160" s="12">
        <v>0.61749717539014692</v>
      </c>
      <c r="F1160" s="11">
        <v>10412.033728198339</v>
      </c>
      <c r="G1160" s="12">
        <v>5.5678437590831506E-2</v>
      </c>
      <c r="H1160" s="11">
        <v>187002.97958635382</v>
      </c>
      <c r="I1160" s="10">
        <v>1</v>
      </c>
    </row>
    <row r="1161" spans="1:9">
      <c r="A1161" s="9" t="s">
        <v>2</v>
      </c>
      <c r="B1161" s="22">
        <v>2334.8469296691537</v>
      </c>
      <c r="C1161" s="27">
        <v>0.27991950174679103</v>
      </c>
      <c r="D1161" s="22">
        <v>5481.2289343173898</v>
      </c>
      <c r="E1161" s="27">
        <v>0.65713210264778599</v>
      </c>
      <c r="F1161" s="22">
        <v>525.06119541426563</v>
      </c>
      <c r="G1161" s="27">
        <v>6.2948395605429253E-2</v>
      </c>
      <c r="H1161" s="22">
        <v>8341.1370594007567</v>
      </c>
      <c r="I1161" s="26">
        <v>4.4604300305006665E-2</v>
      </c>
    </row>
    <row r="1162" spans="1:9">
      <c r="A1162" s="9" t="s">
        <v>1</v>
      </c>
      <c r="B1162" s="22">
        <v>17281.986433896669</v>
      </c>
      <c r="C1162" s="27">
        <v>0.2792283974910772</v>
      </c>
      <c r="D1162" s="22">
        <v>40655.904074833037</v>
      </c>
      <c r="E1162" s="27">
        <v>0.65688530579449833</v>
      </c>
      <c r="F1162" s="22">
        <v>3954.0466623421175</v>
      </c>
      <c r="G1162" s="27">
        <v>6.3886296714433188E-2</v>
      </c>
      <c r="H1162" s="22">
        <v>61891.937171071288</v>
      </c>
      <c r="I1162" s="26">
        <v>0.33096765253673921</v>
      </c>
    </row>
    <row r="1163" spans="1:9" ht="15.75" thickBot="1">
      <c r="A1163" s="9" t="s">
        <v>0</v>
      </c>
      <c r="B1163" s="22">
        <v>41500.30081047483</v>
      </c>
      <c r="C1163" s="27">
        <v>0.35540236745070836</v>
      </c>
      <c r="D1163" s="22">
        <v>69336.678674964365</v>
      </c>
      <c r="E1163" s="27">
        <v>0.59378894299560203</v>
      </c>
      <c r="F1163" s="22">
        <v>5932.9258704419635</v>
      </c>
      <c r="G1163" s="27">
        <v>5.0808689553701158E-2</v>
      </c>
      <c r="H1163" s="22">
        <v>116769.9053558798</v>
      </c>
      <c r="I1163" s="26">
        <v>0.62442804715824363</v>
      </c>
    </row>
    <row r="1164" spans="1:9" ht="15" customHeight="1">
      <c r="A1164" s="13" t="s">
        <v>3</v>
      </c>
      <c r="B1164" s="11">
        <v>43367.158192104667</v>
      </c>
      <c r="C1164" s="12">
        <v>0.33148946939669427</v>
      </c>
      <c r="D1164" s="11">
        <v>81396.619310017937</v>
      </c>
      <c r="E1164" s="12">
        <v>0.62217870090170846</v>
      </c>
      <c r="F1164" s="11">
        <v>6061.3683796838504</v>
      </c>
      <c r="G1164" s="12">
        <v>4.633182970160829E-2</v>
      </c>
      <c r="H1164" s="11">
        <v>130825.14588180502</v>
      </c>
      <c r="I1164" s="10">
        <v>1</v>
      </c>
    </row>
    <row r="1165" spans="1:9">
      <c r="A1165" s="9" t="s">
        <v>2</v>
      </c>
      <c r="B1165" s="22">
        <v>1984.7324773497012</v>
      </c>
      <c r="C1165" s="27">
        <v>0.27286321563032717</v>
      </c>
      <c r="D1165" s="22">
        <v>4763.3177027035772</v>
      </c>
      <c r="E1165" s="27">
        <v>0.65486618486948533</v>
      </c>
      <c r="F1165" s="22">
        <v>525.6765946052567</v>
      </c>
      <c r="G1165" s="27">
        <v>7.2270599500205146E-2</v>
      </c>
      <c r="H1165" s="22">
        <v>7273.7267746584075</v>
      </c>
      <c r="I1165" s="26">
        <v>5.5598843216501451E-2</v>
      </c>
    </row>
    <row r="1166" spans="1:9">
      <c r="A1166" s="9" t="s">
        <v>1</v>
      </c>
      <c r="B1166" s="22">
        <v>6083.0980850054302</v>
      </c>
      <c r="C1166" s="27">
        <v>0.30585842287200171</v>
      </c>
      <c r="D1166" s="22">
        <v>12823.144660640321</v>
      </c>
      <c r="E1166" s="27">
        <v>0.64474824297683131</v>
      </c>
      <c r="F1166" s="22">
        <v>982.36462990165819</v>
      </c>
      <c r="G1166" s="27">
        <v>4.9393334151160678E-2</v>
      </c>
      <c r="H1166" s="22">
        <v>19888.607375547534</v>
      </c>
      <c r="I1166" s="26">
        <v>0.15202434701289039</v>
      </c>
    </row>
    <row r="1167" spans="1:9" ht="15.75" thickBot="1">
      <c r="A1167" s="5" t="s">
        <v>0</v>
      </c>
      <c r="B1167" s="19">
        <v>35299.327629749518</v>
      </c>
      <c r="C1167" s="25">
        <v>0.34052064612278682</v>
      </c>
      <c r="D1167" s="19">
        <v>63810.156946674768</v>
      </c>
      <c r="E1167" s="25">
        <v>0.61555495052448717</v>
      </c>
      <c r="F1167" s="19">
        <v>4553.3271551769421</v>
      </c>
      <c r="G1167" s="25">
        <v>4.3924403352729964E-2</v>
      </c>
      <c r="H1167" s="19">
        <v>103662.81173160081</v>
      </c>
      <c r="I1167" s="24">
        <v>0.79237680977062142</v>
      </c>
    </row>
    <row r="1170" spans="1:9" ht="15.75" thickBot="1"/>
    <row r="1171" spans="1:9" ht="26.25" customHeight="1">
      <c r="A1171" s="602" t="s">
        <v>13</v>
      </c>
      <c r="B1171" s="594" t="s">
        <v>368</v>
      </c>
      <c r="C1171" s="595"/>
      <c r="D1171" s="595"/>
      <c r="E1171" s="595"/>
      <c r="F1171" s="595"/>
      <c r="G1171" s="595"/>
      <c r="H1171" s="595"/>
      <c r="I1171" s="596"/>
    </row>
    <row r="1172" spans="1:9" ht="15.75" customHeight="1">
      <c r="A1172" s="603"/>
      <c r="B1172" s="597" t="s">
        <v>72</v>
      </c>
      <c r="C1172" s="598"/>
      <c r="D1172" s="599" t="s">
        <v>71</v>
      </c>
      <c r="E1172" s="598"/>
      <c r="F1172" s="599" t="s">
        <v>70</v>
      </c>
      <c r="G1172" s="598"/>
      <c r="H1172" s="600" t="s">
        <v>9</v>
      </c>
      <c r="I1172" s="601"/>
    </row>
    <row r="1173" spans="1:9" ht="15.75" thickBot="1">
      <c r="A1173" s="604"/>
      <c r="B1173" s="16" t="s">
        <v>7</v>
      </c>
      <c r="C1173" s="16" t="s">
        <v>8</v>
      </c>
      <c r="D1173" s="16" t="s">
        <v>7</v>
      </c>
      <c r="E1173" s="16" t="s">
        <v>8</v>
      </c>
      <c r="F1173" s="16" t="s">
        <v>7</v>
      </c>
      <c r="G1173" s="16" t="s">
        <v>8</v>
      </c>
      <c r="H1173" s="16" t="s">
        <v>7</v>
      </c>
      <c r="I1173" s="15" t="s">
        <v>6</v>
      </c>
    </row>
    <row r="1174" spans="1:9" ht="15" customHeight="1">
      <c r="A1174" s="14" t="s">
        <v>5</v>
      </c>
      <c r="B1174" s="11">
        <v>20063.661772300034</v>
      </c>
      <c r="C1174" s="12">
        <v>0.10025655937536306</v>
      </c>
      <c r="D1174" s="11">
        <v>126804.05740579864</v>
      </c>
      <c r="E1174" s="12">
        <v>0.63363002499837418</v>
      </c>
      <c r="F1174" s="11">
        <v>53255.463756799923</v>
      </c>
      <c r="G1174" s="12">
        <v>0.26611341562622626</v>
      </c>
      <c r="H1174" s="11">
        <v>200123.1829349059</v>
      </c>
      <c r="I1174" s="10">
        <v>1</v>
      </c>
    </row>
    <row r="1175" spans="1:9">
      <c r="A1175" s="9" t="s">
        <v>2</v>
      </c>
      <c r="B1175" s="22">
        <v>878.41711730000031</v>
      </c>
      <c r="C1175" s="27">
        <v>0.10442327103658061</v>
      </c>
      <c r="D1175" s="22">
        <v>5620.4336248000254</v>
      </c>
      <c r="E1175" s="27">
        <v>0.66813823659263083</v>
      </c>
      <c r="F1175" s="22">
        <v>1913.231244799998</v>
      </c>
      <c r="G1175" s="27">
        <v>0.22743849237078684</v>
      </c>
      <c r="H1175" s="22">
        <v>8412.0819869000388</v>
      </c>
      <c r="I1175" s="26">
        <v>4.2034520256637321E-2</v>
      </c>
    </row>
    <row r="1176" spans="1:9">
      <c r="A1176" s="9" t="s">
        <v>1</v>
      </c>
      <c r="B1176" s="22">
        <v>6701.3010530000111</v>
      </c>
      <c r="C1176" s="27">
        <v>0.1034210039394584</v>
      </c>
      <c r="D1176" s="22">
        <v>42010.648815000044</v>
      </c>
      <c r="E1176" s="27">
        <v>0.64834924475602662</v>
      </c>
      <c r="F1176" s="22">
        <v>16084.375807999988</v>
      </c>
      <c r="G1176" s="27">
        <v>0.2482297513045178</v>
      </c>
      <c r="H1176" s="22">
        <v>64796.325675999862</v>
      </c>
      <c r="I1176" s="26">
        <v>0.32378220616786896</v>
      </c>
    </row>
    <row r="1177" spans="1:9" ht="15.75" thickBot="1">
      <c r="A1177" s="9" t="s">
        <v>0</v>
      </c>
      <c r="B1177" s="22">
        <v>12483.943601999985</v>
      </c>
      <c r="C1177" s="27">
        <v>9.8364777270769574E-2</v>
      </c>
      <c r="D1177" s="22">
        <v>79172.974965999849</v>
      </c>
      <c r="E1177" s="27">
        <v>0.62382787816721186</v>
      </c>
      <c r="F1177" s="22">
        <v>35257.856704000034</v>
      </c>
      <c r="G1177" s="27">
        <v>0.27780734456202305</v>
      </c>
      <c r="H1177" s="22">
        <v>126914.7752719993</v>
      </c>
      <c r="I1177" s="26">
        <v>0.63418327357546023</v>
      </c>
    </row>
    <row r="1178" spans="1:9" ht="15" customHeight="1">
      <c r="A1178" s="13" t="s">
        <v>4</v>
      </c>
      <c r="B1178" s="11">
        <v>18991.35729979198</v>
      </c>
      <c r="C1178" s="12">
        <v>0.10155644226525382</v>
      </c>
      <c r="D1178" s="11">
        <v>122129.25437723055</v>
      </c>
      <c r="E1178" s="12">
        <v>0.6530872109491388</v>
      </c>
      <c r="F1178" s="11">
        <v>45882.367909331413</v>
      </c>
      <c r="G1178" s="12">
        <v>0.24535634678560808</v>
      </c>
      <c r="H1178" s="11">
        <v>187002.97958635382</v>
      </c>
      <c r="I1178" s="10">
        <v>1</v>
      </c>
    </row>
    <row r="1179" spans="1:9">
      <c r="A1179" s="9" t="s">
        <v>2</v>
      </c>
      <c r="B1179" s="22">
        <v>836.08086332911944</v>
      </c>
      <c r="C1179" s="27">
        <v>0.10023583803683296</v>
      </c>
      <c r="D1179" s="22">
        <v>5372.7948482264446</v>
      </c>
      <c r="E1179" s="27">
        <v>0.64413218605143474</v>
      </c>
      <c r="F1179" s="22">
        <v>2132.2613478452463</v>
      </c>
      <c r="G1179" s="27">
        <v>0.25563197591173881</v>
      </c>
      <c r="H1179" s="22">
        <v>8341.1370594007567</v>
      </c>
      <c r="I1179" s="26">
        <v>4.4604300305006665E-2</v>
      </c>
    </row>
    <row r="1180" spans="1:9">
      <c r="A1180" s="9" t="s">
        <v>1</v>
      </c>
      <c r="B1180" s="22">
        <v>6794.960312165058</v>
      </c>
      <c r="C1180" s="27">
        <v>0.10978748804361337</v>
      </c>
      <c r="D1180" s="22">
        <v>41487.463305208592</v>
      </c>
      <c r="E1180" s="27">
        <v>0.67032096911970807</v>
      </c>
      <c r="F1180" s="22">
        <v>13609.513553698123</v>
      </c>
      <c r="G1180" s="27">
        <v>0.21989154283668635</v>
      </c>
      <c r="H1180" s="22">
        <v>61891.937171071288</v>
      </c>
      <c r="I1180" s="26">
        <v>0.33096765253673921</v>
      </c>
    </row>
    <row r="1181" spans="1:9" ht="15.75" thickBot="1">
      <c r="A1181" s="9" t="s">
        <v>0</v>
      </c>
      <c r="B1181" s="22">
        <v>11360.316124297795</v>
      </c>
      <c r="C1181" s="27">
        <v>9.7288047718073797E-2</v>
      </c>
      <c r="D1181" s="22">
        <v>75268.996223795126</v>
      </c>
      <c r="E1181" s="27">
        <v>0.64459242297403352</v>
      </c>
      <c r="F1181" s="22">
        <v>30140.593007787931</v>
      </c>
      <c r="G1181" s="27">
        <v>0.25811952930790177</v>
      </c>
      <c r="H1181" s="22">
        <v>116769.9053558798</v>
      </c>
      <c r="I1181" s="26">
        <v>0.62442804715824363</v>
      </c>
    </row>
    <row r="1182" spans="1:9" ht="15" customHeight="1">
      <c r="A1182" s="13" t="s">
        <v>3</v>
      </c>
      <c r="B1182" s="11">
        <v>15346.262426036334</v>
      </c>
      <c r="C1182" s="12">
        <v>0.11730361409190426</v>
      </c>
      <c r="D1182" s="11">
        <v>85471.807904225367</v>
      </c>
      <c r="E1182" s="12">
        <v>0.65332858853790643</v>
      </c>
      <c r="F1182" s="11">
        <v>30007.075551544684</v>
      </c>
      <c r="G1182" s="12">
        <v>0.22936779737019983</v>
      </c>
      <c r="H1182" s="11">
        <v>130825.14588180502</v>
      </c>
      <c r="I1182" s="10">
        <v>1</v>
      </c>
    </row>
    <row r="1183" spans="1:9">
      <c r="A1183" s="9" t="s">
        <v>2</v>
      </c>
      <c r="B1183" s="22">
        <v>780.31040298616256</v>
      </c>
      <c r="C1183" s="27">
        <v>0.10727793704112674</v>
      </c>
      <c r="D1183" s="22">
        <v>4880.2912298703159</v>
      </c>
      <c r="E1183" s="27">
        <v>0.67094783472939934</v>
      </c>
      <c r="F1183" s="22">
        <v>1613.1251418020493</v>
      </c>
      <c r="G1183" s="27">
        <v>0.22177422822949047</v>
      </c>
      <c r="H1183" s="22">
        <v>7273.7267746584075</v>
      </c>
      <c r="I1183" s="26">
        <v>5.5598843216501451E-2</v>
      </c>
    </row>
    <row r="1184" spans="1:9">
      <c r="A1184" s="9" t="s">
        <v>1</v>
      </c>
      <c r="B1184" s="22">
        <v>2473.6016524203751</v>
      </c>
      <c r="C1184" s="27">
        <v>0.12437279321334467</v>
      </c>
      <c r="D1184" s="22">
        <v>13415.011015062611</v>
      </c>
      <c r="E1184" s="27">
        <v>0.67450730771406242</v>
      </c>
      <c r="F1184" s="22">
        <v>3999.9947080644297</v>
      </c>
      <c r="G1184" s="27">
        <v>0.20111989907258704</v>
      </c>
      <c r="H1184" s="22">
        <v>19888.607375547534</v>
      </c>
      <c r="I1184" s="26">
        <v>0.15202434701289039</v>
      </c>
    </row>
    <row r="1185" spans="1:9" ht="15.75" thickBot="1">
      <c r="A1185" s="5" t="s">
        <v>0</v>
      </c>
      <c r="B1185" s="19">
        <v>12092.350370629832</v>
      </c>
      <c r="C1185" s="25">
        <v>0.11665080435922202</v>
      </c>
      <c r="D1185" s="19">
        <v>67176.505659293209</v>
      </c>
      <c r="E1185" s="25">
        <v>0.64802897526283243</v>
      </c>
      <c r="F1185" s="19">
        <v>24393.9557016781</v>
      </c>
      <c r="G1185" s="25">
        <v>0.23532022037794861</v>
      </c>
      <c r="H1185" s="19">
        <v>103662.81173160081</v>
      </c>
      <c r="I1185" s="24">
        <v>0.79237680977062142</v>
      </c>
    </row>
    <row r="1189" spans="1:9" ht="15.75" thickBot="1"/>
    <row r="1190" spans="1:9" ht="24.75" customHeight="1">
      <c r="A1190" s="602" t="s">
        <v>13</v>
      </c>
      <c r="B1190" s="609" t="s">
        <v>369</v>
      </c>
      <c r="C1190" s="610"/>
      <c r="D1190" s="610"/>
      <c r="E1190" s="610"/>
      <c r="F1190" s="610"/>
      <c r="G1190" s="611"/>
    </row>
    <row r="1191" spans="1:9">
      <c r="A1191" s="603"/>
      <c r="B1191" s="597" t="s">
        <v>27</v>
      </c>
      <c r="C1191" s="598"/>
      <c r="D1191" s="597" t="s">
        <v>26</v>
      </c>
      <c r="E1191" s="598"/>
      <c r="F1191" s="597" t="s">
        <v>9</v>
      </c>
      <c r="G1191" s="598"/>
    </row>
    <row r="1192" spans="1:9" ht="15.75" thickBot="1">
      <c r="A1192" s="604"/>
      <c r="B1192" s="16" t="s">
        <v>7</v>
      </c>
      <c r="C1192" s="16" t="s">
        <v>8</v>
      </c>
      <c r="D1192" s="16" t="s">
        <v>7</v>
      </c>
      <c r="E1192" s="16" t="s">
        <v>8</v>
      </c>
      <c r="F1192" s="16" t="s">
        <v>7</v>
      </c>
      <c r="G1192" s="15" t="s">
        <v>6</v>
      </c>
    </row>
    <row r="1193" spans="1:9" ht="15" customHeight="1">
      <c r="A1193" s="14" t="s">
        <v>5</v>
      </c>
      <c r="B1193" s="11">
        <v>36642.994826299968</v>
      </c>
      <c r="C1193" s="12">
        <v>0.75854182727080843</v>
      </c>
      <c r="D1193" s="11">
        <v>11664.15648550002</v>
      </c>
      <c r="E1193" s="12">
        <v>0.24145817272919767</v>
      </c>
      <c r="F1193" s="11">
        <v>48307.151311799695</v>
      </c>
      <c r="G1193" s="10">
        <v>1</v>
      </c>
    </row>
    <row r="1194" spans="1:9">
      <c r="A1194" s="9" t="s">
        <v>2</v>
      </c>
      <c r="B1194" s="22">
        <v>1929.3957052999974</v>
      </c>
      <c r="C1194" s="27">
        <v>0.63965990651491478</v>
      </c>
      <c r="D1194" s="22">
        <v>1086.8879255000002</v>
      </c>
      <c r="E1194" s="27">
        <v>0.36034009348508356</v>
      </c>
      <c r="F1194" s="22">
        <v>3016.2836308000028</v>
      </c>
      <c r="G1194" s="26">
        <v>6.2439691616906288E-2</v>
      </c>
    </row>
    <row r="1195" spans="1:9">
      <c r="A1195" s="9" t="s">
        <v>1</v>
      </c>
      <c r="B1195" s="22">
        <v>13839.694445000001</v>
      </c>
      <c r="C1195" s="27">
        <v>0.70905441844465655</v>
      </c>
      <c r="D1195" s="22">
        <v>5678.8278080000036</v>
      </c>
      <c r="E1195" s="27">
        <v>0.29094558155534378</v>
      </c>
      <c r="F1195" s="22">
        <v>19518.522252999999</v>
      </c>
      <c r="G1195" s="26">
        <v>0.40405036776060788</v>
      </c>
    </row>
    <row r="1196" spans="1:9" ht="15.75" thickBot="1">
      <c r="A1196" s="9" t="s">
        <v>0</v>
      </c>
      <c r="B1196" s="22">
        <v>20873.904676000024</v>
      </c>
      <c r="C1196" s="27">
        <v>0.80993422714728258</v>
      </c>
      <c r="D1196" s="22">
        <v>4898.4407520000013</v>
      </c>
      <c r="E1196" s="27">
        <v>0.19006577285271636</v>
      </c>
      <c r="F1196" s="22">
        <v>25772.345428000055</v>
      </c>
      <c r="G1196" s="26">
        <v>0.53350994062249335</v>
      </c>
    </row>
    <row r="1197" spans="1:9" ht="15" customHeight="1">
      <c r="A1197" s="13" t="s">
        <v>4</v>
      </c>
      <c r="B1197" s="11">
        <v>27331.345286702533</v>
      </c>
      <c r="C1197" s="12">
        <v>0.86330897799733552</v>
      </c>
      <c r="D1197" s="11">
        <v>4327.4767379502091</v>
      </c>
      <c r="E1197" s="12">
        <v>0.13669102200266309</v>
      </c>
      <c r="F1197" s="11">
        <v>31658.822024652789</v>
      </c>
      <c r="G1197" s="10">
        <v>1</v>
      </c>
    </row>
    <row r="1198" spans="1:9">
      <c r="A1198" s="9" t="s">
        <v>2</v>
      </c>
      <c r="B1198" s="22">
        <v>1472.5111042730155</v>
      </c>
      <c r="C1198" s="27">
        <v>0.78316598680252014</v>
      </c>
      <c r="D1198" s="22">
        <v>407.69198049695382</v>
      </c>
      <c r="E1198" s="27">
        <v>0.21683401319747983</v>
      </c>
      <c r="F1198" s="22">
        <v>1880.2030847699693</v>
      </c>
      <c r="G1198" s="26">
        <v>5.9389546563224975E-2</v>
      </c>
    </row>
    <row r="1199" spans="1:9">
      <c r="A1199" s="9" t="s">
        <v>1</v>
      </c>
      <c r="B1199" s="22">
        <v>10361.435148203891</v>
      </c>
      <c r="C1199" s="27">
        <v>0.82608944333207579</v>
      </c>
      <c r="D1199" s="22">
        <v>2181.3170099770682</v>
      </c>
      <c r="E1199" s="27">
        <v>0.17391055666792515</v>
      </c>
      <c r="F1199" s="22">
        <v>12542.752158180949</v>
      </c>
      <c r="G1199" s="26">
        <v>0.39618505541406068</v>
      </c>
    </row>
    <row r="1200" spans="1:9" ht="15.75" thickBot="1">
      <c r="A1200" s="9" t="s">
        <v>0</v>
      </c>
      <c r="B1200" s="22">
        <v>15497.399034225533</v>
      </c>
      <c r="C1200" s="27">
        <v>0.89913662193526445</v>
      </c>
      <c r="D1200" s="22">
        <v>1738.4677474761879</v>
      </c>
      <c r="E1200" s="27">
        <v>0.10086337806473494</v>
      </c>
      <c r="F1200" s="22">
        <v>17235.86678170173</v>
      </c>
      <c r="G1200" s="26">
        <v>0.54442539802270995</v>
      </c>
    </row>
    <row r="1201" spans="1:23" ht="15" customHeight="1">
      <c r="A1201" s="13" t="s">
        <v>3</v>
      </c>
      <c r="B1201" s="11">
        <v>12760.966766780322</v>
      </c>
      <c r="C1201" s="12">
        <v>0.91132193477350898</v>
      </c>
      <c r="D1201" s="11">
        <v>1241.7322574144705</v>
      </c>
      <c r="E1201" s="12">
        <v>8.8678065226491215E-2</v>
      </c>
      <c r="F1201" s="11">
        <v>14002.69902419479</v>
      </c>
      <c r="G1201" s="10">
        <v>1</v>
      </c>
    </row>
    <row r="1202" spans="1:23">
      <c r="A1202" s="9" t="s">
        <v>2</v>
      </c>
      <c r="B1202" s="22">
        <v>1047.5570082515892</v>
      </c>
      <c r="C1202" s="27">
        <v>0.90526764418440475</v>
      </c>
      <c r="D1202" s="22">
        <v>109.62232427098057</v>
      </c>
      <c r="E1202" s="27">
        <v>9.4732355815594749E-2</v>
      </c>
      <c r="F1202" s="22">
        <v>1157.1793325225703</v>
      </c>
      <c r="G1202" s="26">
        <v>8.2639734705653486E-2</v>
      </c>
    </row>
    <row r="1203" spans="1:23">
      <c r="A1203" s="9" t="s">
        <v>1</v>
      </c>
      <c r="B1203" s="22">
        <v>2435.4417841013774</v>
      </c>
      <c r="C1203" s="27">
        <v>0.91940777692456388</v>
      </c>
      <c r="D1203" s="22">
        <v>213.4827140663198</v>
      </c>
      <c r="E1203" s="27">
        <v>8.0592223075436564E-2</v>
      </c>
      <c r="F1203" s="22">
        <v>2648.9244981676957</v>
      </c>
      <c r="G1203" s="26">
        <v>0.18917242265871093</v>
      </c>
    </row>
    <row r="1204" spans="1:23" ht="15.75" thickBot="1">
      <c r="A1204" s="5" t="s">
        <v>0</v>
      </c>
      <c r="B1204" s="19">
        <v>9277.9679744273981</v>
      </c>
      <c r="C1204" s="25">
        <v>0.90990843495852924</v>
      </c>
      <c r="D1204" s="19">
        <v>918.62721907716968</v>
      </c>
      <c r="E1204" s="25">
        <v>9.0091565041471283E-2</v>
      </c>
      <c r="F1204" s="19">
        <v>10196.595193504561</v>
      </c>
      <c r="G1204" s="24">
        <v>0.72818784263563829</v>
      </c>
    </row>
    <row r="1209" spans="1:23" ht="15.75" thickBot="1"/>
    <row r="1210" spans="1:23" ht="15" customHeight="1">
      <c r="A1210" s="602" t="s">
        <v>13</v>
      </c>
      <c r="B1210" s="609" t="s">
        <v>370</v>
      </c>
      <c r="C1210" s="610"/>
      <c r="D1210" s="610"/>
      <c r="E1210" s="610"/>
      <c r="F1210" s="610"/>
      <c r="G1210" s="610"/>
      <c r="H1210" s="610"/>
      <c r="I1210" s="610"/>
      <c r="J1210" s="610"/>
      <c r="K1210" s="610"/>
      <c r="L1210" s="610"/>
      <c r="M1210" s="610"/>
      <c r="N1210" s="610"/>
      <c r="O1210" s="610"/>
      <c r="P1210" s="610"/>
      <c r="Q1210" s="610"/>
      <c r="R1210" s="610"/>
      <c r="S1210" s="610"/>
      <c r="T1210" s="610"/>
      <c r="U1210" s="610"/>
      <c r="V1210" s="610"/>
      <c r="W1210" s="611"/>
    </row>
    <row r="1211" spans="1:23" ht="15.75">
      <c r="A1211" s="603"/>
      <c r="B1211" s="597" t="s">
        <v>69</v>
      </c>
      <c r="C1211" s="598"/>
      <c r="D1211" s="599" t="s">
        <v>68</v>
      </c>
      <c r="E1211" s="598"/>
      <c r="F1211" s="599" t="s">
        <v>67</v>
      </c>
      <c r="G1211" s="598"/>
      <c r="H1211" s="599" t="s">
        <v>66</v>
      </c>
      <c r="I1211" s="598"/>
      <c r="J1211" s="599" t="s">
        <v>65</v>
      </c>
      <c r="K1211" s="598"/>
      <c r="L1211" s="599" t="s">
        <v>64</v>
      </c>
      <c r="M1211" s="598"/>
      <c r="N1211" s="599" t="s">
        <v>63</v>
      </c>
      <c r="O1211" s="598"/>
      <c r="P1211" s="599" t="s">
        <v>62</v>
      </c>
      <c r="Q1211" s="598"/>
      <c r="R1211" s="599" t="s">
        <v>61</v>
      </c>
      <c r="S1211" s="598"/>
      <c r="T1211" s="599" t="s">
        <v>60</v>
      </c>
      <c r="U1211" s="598"/>
      <c r="V1211" s="600" t="s">
        <v>9</v>
      </c>
      <c r="W1211" s="608"/>
    </row>
    <row r="1212" spans="1:23" ht="15.75" thickBot="1">
      <c r="A1212" s="604"/>
      <c r="B1212" s="16" t="s">
        <v>7</v>
      </c>
      <c r="C1212" s="16" t="s">
        <v>8</v>
      </c>
      <c r="D1212" s="16" t="s">
        <v>7</v>
      </c>
      <c r="E1212" s="16" t="s">
        <v>8</v>
      </c>
      <c r="F1212" s="16" t="s">
        <v>7</v>
      </c>
      <c r="G1212" s="16" t="s">
        <v>8</v>
      </c>
      <c r="H1212" s="16" t="s">
        <v>7</v>
      </c>
      <c r="I1212" s="16" t="s">
        <v>8</v>
      </c>
      <c r="J1212" s="16" t="s">
        <v>7</v>
      </c>
      <c r="K1212" s="16" t="s">
        <v>8</v>
      </c>
      <c r="L1212" s="16" t="s">
        <v>7</v>
      </c>
      <c r="M1212" s="16" t="s">
        <v>8</v>
      </c>
      <c r="N1212" s="16" t="s">
        <v>7</v>
      </c>
      <c r="O1212" s="16" t="s">
        <v>8</v>
      </c>
      <c r="P1212" s="16" t="s">
        <v>7</v>
      </c>
      <c r="Q1212" s="16" t="s">
        <v>8</v>
      </c>
      <c r="R1212" s="16" t="s">
        <v>7</v>
      </c>
      <c r="S1212" s="16" t="s">
        <v>8</v>
      </c>
      <c r="T1212" s="16" t="s">
        <v>7</v>
      </c>
      <c r="U1212" s="16" t="s">
        <v>8</v>
      </c>
      <c r="V1212" s="16" t="s">
        <v>7</v>
      </c>
      <c r="W1212" s="16" t="s">
        <v>6</v>
      </c>
    </row>
    <row r="1213" spans="1:23" ht="15" customHeight="1">
      <c r="A1213" s="14" t="s">
        <v>5</v>
      </c>
      <c r="B1213" s="11">
        <v>191.22650350000001</v>
      </c>
      <c r="C1213" s="12">
        <v>5.2186374068625531E-3</v>
      </c>
      <c r="D1213" s="11">
        <v>11786.024590800011</v>
      </c>
      <c r="E1213" s="12">
        <v>0.32164468670395813</v>
      </c>
      <c r="F1213" s="11">
        <v>8866.6278474999999</v>
      </c>
      <c r="G1213" s="12">
        <v>0.24197334004850796</v>
      </c>
      <c r="H1213" s="11">
        <v>6387.017521000007</v>
      </c>
      <c r="I1213" s="12">
        <v>0.17430391678618526</v>
      </c>
      <c r="J1213" s="11">
        <v>1355.7521940000001</v>
      </c>
      <c r="K1213" s="12">
        <v>3.6998946194947174E-2</v>
      </c>
      <c r="L1213" s="11">
        <v>0</v>
      </c>
      <c r="M1213" s="12">
        <v>0</v>
      </c>
      <c r="N1213" s="11">
        <v>0</v>
      </c>
      <c r="O1213" s="12">
        <v>0</v>
      </c>
      <c r="P1213" s="11">
        <v>0</v>
      </c>
      <c r="Q1213" s="12">
        <v>0</v>
      </c>
      <c r="R1213" s="11">
        <v>0</v>
      </c>
      <c r="S1213" s="12">
        <v>0</v>
      </c>
      <c r="T1213" s="11">
        <v>8056.346169500006</v>
      </c>
      <c r="U1213" s="12">
        <v>0.21986047285954047</v>
      </c>
      <c r="V1213" s="11">
        <v>36642.994826299968</v>
      </c>
      <c r="W1213" s="12">
        <v>1</v>
      </c>
    </row>
    <row r="1214" spans="1:23">
      <c r="A1214" s="9" t="s">
        <v>2</v>
      </c>
      <c r="B1214" s="22">
        <v>13.578732500000001</v>
      </c>
      <c r="C1214" s="23">
        <v>7.0378162772414144E-3</v>
      </c>
      <c r="D1214" s="22">
        <v>647.79525180000019</v>
      </c>
      <c r="E1214" s="23">
        <v>0.33575033365137297</v>
      </c>
      <c r="F1214" s="22">
        <v>441.56791750000025</v>
      </c>
      <c r="G1214" s="23">
        <v>0.22886332559309902</v>
      </c>
      <c r="H1214" s="22">
        <v>337.79820000000001</v>
      </c>
      <c r="I1214" s="23">
        <v>0.1750797926377039</v>
      </c>
      <c r="J1214" s="22">
        <v>71.040652000000009</v>
      </c>
      <c r="K1214" s="23">
        <v>3.6820156593514369E-2</v>
      </c>
      <c r="L1214" s="22">
        <v>0</v>
      </c>
      <c r="M1214" s="23">
        <v>0</v>
      </c>
      <c r="N1214" s="22">
        <v>0</v>
      </c>
      <c r="O1214" s="23">
        <v>0</v>
      </c>
      <c r="P1214" s="22">
        <v>0</v>
      </c>
      <c r="Q1214" s="23">
        <v>0</v>
      </c>
      <c r="R1214" s="22">
        <v>0</v>
      </c>
      <c r="S1214" s="23">
        <v>0</v>
      </c>
      <c r="T1214" s="22">
        <v>417.61495150000025</v>
      </c>
      <c r="U1214" s="23">
        <v>0.21644857524707004</v>
      </c>
      <c r="V1214" s="22">
        <v>1929.3957052999974</v>
      </c>
      <c r="W1214" s="23">
        <v>5.2653875984918191E-2</v>
      </c>
    </row>
    <row r="1215" spans="1:23">
      <c r="A1215" s="9" t="s">
        <v>1</v>
      </c>
      <c r="B1215" s="22">
        <v>123.384614</v>
      </c>
      <c r="C1215" s="23">
        <v>8.9152700943174613E-3</v>
      </c>
      <c r="D1215" s="22">
        <v>4600.9445509999978</v>
      </c>
      <c r="E1215" s="23">
        <v>0.33244552972498786</v>
      </c>
      <c r="F1215" s="22">
        <v>2937.9840669999971</v>
      </c>
      <c r="G1215" s="23">
        <v>0.21228677256392975</v>
      </c>
      <c r="H1215" s="22">
        <v>2165.590792</v>
      </c>
      <c r="I1215" s="23">
        <v>0.15647677776458307</v>
      </c>
      <c r="J1215" s="22">
        <v>699.51124799999991</v>
      </c>
      <c r="K1215" s="23">
        <v>5.0543836121520663E-2</v>
      </c>
      <c r="L1215" s="22">
        <v>0</v>
      </c>
      <c r="M1215" s="23">
        <v>0</v>
      </c>
      <c r="N1215" s="22">
        <v>0</v>
      </c>
      <c r="O1215" s="23">
        <v>0</v>
      </c>
      <c r="P1215" s="22">
        <v>0</v>
      </c>
      <c r="Q1215" s="23">
        <v>0</v>
      </c>
      <c r="R1215" s="22">
        <v>0</v>
      </c>
      <c r="S1215" s="23">
        <v>0</v>
      </c>
      <c r="T1215" s="22">
        <v>3312.2791729999976</v>
      </c>
      <c r="U1215" s="23">
        <v>0.23933181373066056</v>
      </c>
      <c r="V1215" s="22">
        <v>13839.694445000001</v>
      </c>
      <c r="W1215" s="23">
        <v>0.37769004718650251</v>
      </c>
    </row>
    <row r="1216" spans="1:23" ht="15.75" thickBot="1">
      <c r="A1216" s="9" t="s">
        <v>0</v>
      </c>
      <c r="B1216" s="22">
        <v>54.263157</v>
      </c>
      <c r="C1216" s="23">
        <v>2.5995690716356292E-3</v>
      </c>
      <c r="D1216" s="22">
        <v>6537.284787999999</v>
      </c>
      <c r="E1216" s="23">
        <v>0.31317977587184759</v>
      </c>
      <c r="F1216" s="22">
        <v>5487.075863</v>
      </c>
      <c r="G1216" s="23">
        <v>0.26286772638704337</v>
      </c>
      <c r="H1216" s="22">
        <v>3883.6285289999996</v>
      </c>
      <c r="I1216" s="23">
        <v>0.18605184747563017</v>
      </c>
      <c r="J1216" s="22">
        <v>585.20029399999999</v>
      </c>
      <c r="K1216" s="23">
        <v>2.8035018032483386E-2</v>
      </c>
      <c r="L1216" s="22">
        <v>0</v>
      </c>
      <c r="M1216" s="23">
        <v>0</v>
      </c>
      <c r="N1216" s="22">
        <v>0</v>
      </c>
      <c r="O1216" s="23">
        <v>0</v>
      </c>
      <c r="P1216" s="22">
        <v>0</v>
      </c>
      <c r="Q1216" s="23">
        <v>0</v>
      </c>
      <c r="R1216" s="22">
        <v>0</v>
      </c>
      <c r="S1216" s="23">
        <v>0</v>
      </c>
      <c r="T1216" s="22">
        <v>4326.4520449999973</v>
      </c>
      <c r="U1216" s="23">
        <v>0.20726606316135851</v>
      </c>
      <c r="V1216" s="22">
        <v>20873.904676000024</v>
      </c>
      <c r="W1216" s="23">
        <v>0.56965607682858077</v>
      </c>
    </row>
    <row r="1217" spans="1:23" ht="15" customHeight="1">
      <c r="A1217" s="13" t="s">
        <v>4</v>
      </c>
      <c r="B1217" s="11">
        <v>96.747883504438093</v>
      </c>
      <c r="C1217" s="12">
        <v>3.5398141763445744E-3</v>
      </c>
      <c r="D1217" s="11">
        <v>6193.6948019667216</v>
      </c>
      <c r="E1217" s="12">
        <v>0.22661507280361085</v>
      </c>
      <c r="F1217" s="11">
        <v>5351.7195631345203</v>
      </c>
      <c r="G1217" s="12">
        <v>0.19580886001020528</v>
      </c>
      <c r="H1217" s="11">
        <v>6401.8374706456016</v>
      </c>
      <c r="I1217" s="12">
        <v>0.23423060239044563</v>
      </c>
      <c r="J1217" s="11">
        <v>2508.8862967377122</v>
      </c>
      <c r="K1217" s="12">
        <v>9.1795199629575344E-2</v>
      </c>
      <c r="L1217" s="11">
        <v>458.79362361265851</v>
      </c>
      <c r="M1217" s="12">
        <v>1.6786353499982105E-2</v>
      </c>
      <c r="N1217" s="11">
        <v>80.624726870953282</v>
      </c>
      <c r="O1217" s="12">
        <v>2.9498996856982184E-3</v>
      </c>
      <c r="P1217" s="11">
        <v>0</v>
      </c>
      <c r="Q1217" s="12">
        <v>0</v>
      </c>
      <c r="R1217" s="11">
        <v>0</v>
      </c>
      <c r="S1217" s="12">
        <v>0</v>
      </c>
      <c r="T1217" s="11">
        <v>6239.0409202298151</v>
      </c>
      <c r="U1217" s="12">
        <v>0.22827419780413383</v>
      </c>
      <c r="V1217" s="11">
        <v>27331.345286702533</v>
      </c>
      <c r="W1217" s="12">
        <v>1</v>
      </c>
    </row>
    <row r="1218" spans="1:23">
      <c r="A1218" s="9" t="s">
        <v>2</v>
      </c>
      <c r="B1218" s="22">
        <v>0</v>
      </c>
      <c r="C1218" s="23">
        <v>0</v>
      </c>
      <c r="D1218" s="22">
        <v>317.93873215309617</v>
      </c>
      <c r="E1218" s="23">
        <v>0.21591601668094978</v>
      </c>
      <c r="F1218" s="22">
        <v>346.12286362884436</v>
      </c>
      <c r="G1218" s="23">
        <v>0.23505619932131283</v>
      </c>
      <c r="H1218" s="22">
        <v>244.89233040698636</v>
      </c>
      <c r="I1218" s="23">
        <v>0.16630932676591981</v>
      </c>
      <c r="J1218" s="22">
        <v>146.24143131004192</v>
      </c>
      <c r="K1218" s="23">
        <v>9.9314314768608747E-2</v>
      </c>
      <c r="L1218" s="22">
        <v>16.513559322033899</v>
      </c>
      <c r="M1218" s="23">
        <v>1.1214556735167514E-2</v>
      </c>
      <c r="N1218" s="22">
        <v>12.840909090909092</v>
      </c>
      <c r="O1218" s="23">
        <v>8.7204157942487644E-3</v>
      </c>
      <c r="P1218" s="22">
        <v>0</v>
      </c>
      <c r="Q1218" s="23">
        <v>0</v>
      </c>
      <c r="R1218" s="22">
        <v>0</v>
      </c>
      <c r="S1218" s="23">
        <v>0</v>
      </c>
      <c r="T1218" s="22">
        <v>387.96127836110378</v>
      </c>
      <c r="U1218" s="23">
        <v>0.26346916993379266</v>
      </c>
      <c r="V1218" s="22">
        <v>1472.5111042730155</v>
      </c>
      <c r="W1218" s="23">
        <v>5.3876276078859295E-2</v>
      </c>
    </row>
    <row r="1219" spans="1:23">
      <c r="A1219" s="9" t="s">
        <v>1</v>
      </c>
      <c r="B1219" s="22">
        <v>43.661896243291594</v>
      </c>
      <c r="C1219" s="23">
        <v>4.2138850090530358E-3</v>
      </c>
      <c r="D1219" s="22">
        <v>2758.5749751297749</v>
      </c>
      <c r="E1219" s="23">
        <v>0.26623483481513288</v>
      </c>
      <c r="F1219" s="22">
        <v>2238.1034691058617</v>
      </c>
      <c r="G1219" s="23">
        <v>0.2160032309321385</v>
      </c>
      <c r="H1219" s="22">
        <v>1496.191642494226</v>
      </c>
      <c r="I1219" s="23">
        <v>0.14440003928930484</v>
      </c>
      <c r="J1219" s="22">
        <v>770.81343012821776</v>
      </c>
      <c r="K1219" s="23">
        <v>7.4392535310307373E-2</v>
      </c>
      <c r="L1219" s="22">
        <v>99.830373028521024</v>
      </c>
      <c r="M1219" s="23">
        <v>9.6348017046486243E-3</v>
      </c>
      <c r="N1219" s="22">
        <v>20.320754716981131</v>
      </c>
      <c r="O1219" s="23">
        <v>1.9611911309895757E-3</v>
      </c>
      <c r="P1219" s="22">
        <v>0</v>
      </c>
      <c r="Q1219" s="23">
        <v>0</v>
      </c>
      <c r="R1219" s="22">
        <v>0</v>
      </c>
      <c r="S1219" s="23">
        <v>0</v>
      </c>
      <c r="T1219" s="22">
        <v>2933.9386073570254</v>
      </c>
      <c r="U1219" s="23">
        <v>0.28315948180842598</v>
      </c>
      <c r="V1219" s="22">
        <v>10361.435148203891</v>
      </c>
      <c r="W1219" s="23">
        <v>0.37910446922804858</v>
      </c>
    </row>
    <row r="1220" spans="1:23" ht="15.75" thickBot="1">
      <c r="A1220" s="9" t="s">
        <v>0</v>
      </c>
      <c r="B1220" s="22">
        <v>53.085987261146499</v>
      </c>
      <c r="C1220" s="23">
        <v>3.4254772135574305E-3</v>
      </c>
      <c r="D1220" s="22">
        <v>3117.181094683855</v>
      </c>
      <c r="E1220" s="23">
        <v>0.20114221023796675</v>
      </c>
      <c r="F1220" s="22">
        <v>2767.4932303998171</v>
      </c>
      <c r="G1220" s="23">
        <v>0.17857791648055862</v>
      </c>
      <c r="H1220" s="22">
        <v>4660.7534977443929</v>
      </c>
      <c r="I1220" s="23">
        <v>0.3007442402077446</v>
      </c>
      <c r="J1220" s="22">
        <v>1591.8314352994519</v>
      </c>
      <c r="K1220" s="23">
        <v>0.10271603846451528</v>
      </c>
      <c r="L1220" s="22">
        <v>342.44969126210361</v>
      </c>
      <c r="M1220" s="23">
        <v>2.209723647857385E-2</v>
      </c>
      <c r="N1220" s="22">
        <v>47.463063063063061</v>
      </c>
      <c r="O1220" s="23">
        <v>3.062647026010128E-3</v>
      </c>
      <c r="P1220" s="22">
        <v>0</v>
      </c>
      <c r="Q1220" s="23">
        <v>0</v>
      </c>
      <c r="R1220" s="22">
        <v>0</v>
      </c>
      <c r="S1220" s="23">
        <v>0</v>
      </c>
      <c r="T1220" s="22">
        <v>2917.1410345116942</v>
      </c>
      <c r="U1220" s="23">
        <v>0.18823423389107277</v>
      </c>
      <c r="V1220" s="22">
        <v>15497.399034225533</v>
      </c>
      <c r="W1220" s="23">
        <v>0.56701925469308867</v>
      </c>
    </row>
    <row r="1221" spans="1:23" ht="15" customHeight="1">
      <c r="A1221" s="13" t="s">
        <v>3</v>
      </c>
      <c r="B1221" s="11">
        <v>66.144078919446571</v>
      </c>
      <c r="C1221" s="12">
        <v>5.1833125286114322E-3</v>
      </c>
      <c r="D1221" s="11">
        <v>2692.3329058046788</v>
      </c>
      <c r="E1221" s="12">
        <v>0.2109818914984897</v>
      </c>
      <c r="F1221" s="11">
        <v>2331.3779601480578</v>
      </c>
      <c r="G1221" s="12">
        <v>0.18269602944325197</v>
      </c>
      <c r="H1221" s="11">
        <v>2667.5382387357581</v>
      </c>
      <c r="I1221" s="12">
        <v>0.20903888298494455</v>
      </c>
      <c r="J1221" s="11">
        <v>1207.2235661438999</v>
      </c>
      <c r="K1221" s="12">
        <v>9.460282972341684E-2</v>
      </c>
      <c r="L1221" s="11">
        <v>491.53891515205424</v>
      </c>
      <c r="M1221" s="12">
        <v>3.8518940150494008E-2</v>
      </c>
      <c r="N1221" s="11">
        <v>121.72486161065528</v>
      </c>
      <c r="O1221" s="12">
        <v>9.5388432424675356E-3</v>
      </c>
      <c r="P1221" s="11">
        <v>96.929207390030882</v>
      </c>
      <c r="Q1221" s="12">
        <v>7.5957573717972127E-3</v>
      </c>
      <c r="R1221" s="11">
        <v>9.0285714285714285</v>
      </c>
      <c r="S1221" s="12">
        <v>7.0751468862647921E-4</v>
      </c>
      <c r="T1221" s="11">
        <v>3077.128461447222</v>
      </c>
      <c r="U1221" s="12">
        <v>0.24113599836790439</v>
      </c>
      <c r="V1221" s="11">
        <v>12760.966766780322</v>
      </c>
      <c r="W1221" s="12">
        <v>1</v>
      </c>
    </row>
    <row r="1222" spans="1:23">
      <c r="A1222" s="9" t="s">
        <v>2</v>
      </c>
      <c r="B1222" s="22">
        <v>12.172947967065614</v>
      </c>
      <c r="C1222" s="23">
        <v>1.1620320298732674E-2</v>
      </c>
      <c r="D1222" s="22">
        <v>216.0517739100535</v>
      </c>
      <c r="E1222" s="23">
        <v>0.20624345234504399</v>
      </c>
      <c r="F1222" s="22">
        <v>168.01375683958881</v>
      </c>
      <c r="G1222" s="23">
        <v>0.16038626587016006</v>
      </c>
      <c r="H1222" s="22">
        <v>179.46756952566074</v>
      </c>
      <c r="I1222" s="23">
        <v>0.17132009820181399</v>
      </c>
      <c r="J1222" s="22">
        <v>72.073948192112965</v>
      </c>
      <c r="K1222" s="23">
        <v>6.8801934046918381E-2</v>
      </c>
      <c r="L1222" s="22">
        <v>37.392006462914182</v>
      </c>
      <c r="M1222" s="23">
        <v>3.5694483611276494E-2</v>
      </c>
      <c r="N1222" s="22">
        <v>0</v>
      </c>
      <c r="O1222" s="23">
        <v>0</v>
      </c>
      <c r="P1222" s="22">
        <v>11.031772199325591</v>
      </c>
      <c r="Q1222" s="23">
        <v>1.0530951645045094E-2</v>
      </c>
      <c r="R1222" s="22">
        <v>0</v>
      </c>
      <c r="S1222" s="23">
        <v>0</v>
      </c>
      <c r="T1222" s="22">
        <v>351.35323315486914</v>
      </c>
      <c r="U1222" s="23">
        <v>0.33540249398101063</v>
      </c>
      <c r="V1222" s="22">
        <v>1047.5570082515892</v>
      </c>
      <c r="W1222" s="23">
        <v>8.2090724581982036E-2</v>
      </c>
    </row>
    <row r="1223" spans="1:23">
      <c r="A1223" s="9" t="s">
        <v>1</v>
      </c>
      <c r="B1223" s="22">
        <v>14.504464285714286</v>
      </c>
      <c r="C1223" s="23">
        <v>5.9555783186441887E-3</v>
      </c>
      <c r="D1223" s="22">
        <v>497.72093615821416</v>
      </c>
      <c r="E1223" s="23">
        <v>0.20436577027106473</v>
      </c>
      <c r="F1223" s="22">
        <v>406.87380673751619</v>
      </c>
      <c r="G1223" s="23">
        <v>0.16706365530623568</v>
      </c>
      <c r="H1223" s="22">
        <v>456.86149300953895</v>
      </c>
      <c r="I1223" s="23">
        <v>0.18758875535105857</v>
      </c>
      <c r="J1223" s="22">
        <v>195.89061440000253</v>
      </c>
      <c r="K1223" s="23">
        <v>8.04332978430366E-2</v>
      </c>
      <c r="L1223" s="22">
        <v>31.144339891645281</v>
      </c>
      <c r="M1223" s="23">
        <v>1.2787963192122382E-2</v>
      </c>
      <c r="N1223" s="22">
        <v>19.504464285714285</v>
      </c>
      <c r="O1223" s="23">
        <v>8.0085939286415695E-3</v>
      </c>
      <c r="P1223" s="22">
        <v>29.631306158447224</v>
      </c>
      <c r="Q1223" s="23">
        <v>1.2166706817580737E-2</v>
      </c>
      <c r="R1223" s="22">
        <v>9.0285714285714285</v>
      </c>
      <c r="S1223" s="23">
        <v>3.7071596157666996E-3</v>
      </c>
      <c r="T1223" s="22">
        <v>774.28178774601076</v>
      </c>
      <c r="U1223" s="23">
        <v>0.31792251935584781</v>
      </c>
      <c r="V1223" s="22">
        <v>2435.4417841013774</v>
      </c>
      <c r="W1223" s="23">
        <v>0.19085088368393702</v>
      </c>
    </row>
    <row r="1224" spans="1:23" ht="15.75" thickBot="1">
      <c r="A1224" s="5" t="s">
        <v>0</v>
      </c>
      <c r="B1224" s="19">
        <v>39.466666666666669</v>
      </c>
      <c r="C1224" s="20">
        <v>4.2538050115550653E-3</v>
      </c>
      <c r="D1224" s="19">
        <v>1978.5601957364106</v>
      </c>
      <c r="E1224" s="20">
        <v>0.21325361341943197</v>
      </c>
      <c r="F1224" s="19">
        <v>1756.4903965709509</v>
      </c>
      <c r="G1224" s="20">
        <v>0.18931843712031729</v>
      </c>
      <c r="H1224" s="19">
        <v>2031.2091762005562</v>
      </c>
      <c r="I1224" s="20">
        <v>0.21892823749759871</v>
      </c>
      <c r="J1224" s="19">
        <v>939.25900355178419</v>
      </c>
      <c r="K1224" s="20">
        <v>0.10123542203860128</v>
      </c>
      <c r="L1224" s="19">
        <v>423.0025687974948</v>
      </c>
      <c r="M1224" s="20">
        <v>4.5592156597587412E-2</v>
      </c>
      <c r="N1224" s="19">
        <v>102.22039732494099</v>
      </c>
      <c r="O1224" s="20">
        <v>1.1017541514121217E-2</v>
      </c>
      <c r="P1224" s="19">
        <v>56.266129032258064</v>
      </c>
      <c r="Q1224" s="20">
        <v>6.0644883866103885E-3</v>
      </c>
      <c r="R1224" s="19">
        <v>0</v>
      </c>
      <c r="S1224" s="20">
        <v>0</v>
      </c>
      <c r="T1224" s="19">
        <v>1951.4934405463412</v>
      </c>
      <c r="U1224" s="20">
        <v>0.21033629841417728</v>
      </c>
      <c r="V1224" s="19">
        <v>9277.9679744273981</v>
      </c>
      <c r="W1224" s="20">
        <v>0.72705839173408426</v>
      </c>
    </row>
    <row r="1228" spans="1:23" ht="15.75" thickBot="1"/>
    <row r="1229" spans="1:23" ht="15" customHeight="1">
      <c r="A1229" s="602" t="s">
        <v>13</v>
      </c>
      <c r="B1229" s="609" t="s">
        <v>371</v>
      </c>
      <c r="C1229" s="610"/>
      <c r="D1229" s="610"/>
      <c r="E1229" s="610"/>
      <c r="F1229" s="610"/>
      <c r="G1229" s="610"/>
      <c r="H1229" s="610"/>
      <c r="I1229" s="610"/>
      <c r="J1229" s="610"/>
      <c r="K1229" s="610"/>
      <c r="L1229" s="610"/>
      <c r="M1229" s="610"/>
      <c r="N1229" s="610"/>
      <c r="O1229" s="610"/>
      <c r="P1229" s="610"/>
      <c r="Q1229" s="610"/>
      <c r="R1229" s="610"/>
      <c r="S1229" s="610"/>
      <c r="T1229" s="610"/>
      <c r="U1229" s="610"/>
      <c r="V1229" s="610"/>
      <c r="W1229" s="611"/>
    </row>
    <row r="1230" spans="1:23" ht="15.75" customHeight="1">
      <c r="A1230" s="603"/>
      <c r="B1230" s="597" t="s">
        <v>69</v>
      </c>
      <c r="C1230" s="598"/>
      <c r="D1230" s="599" t="s">
        <v>68</v>
      </c>
      <c r="E1230" s="598"/>
      <c r="F1230" s="599" t="s">
        <v>67</v>
      </c>
      <c r="G1230" s="598"/>
      <c r="H1230" s="599" t="s">
        <v>66</v>
      </c>
      <c r="I1230" s="598"/>
      <c r="J1230" s="599" t="s">
        <v>65</v>
      </c>
      <c r="K1230" s="598"/>
      <c r="L1230" s="599" t="s">
        <v>64</v>
      </c>
      <c r="M1230" s="598"/>
      <c r="N1230" s="599" t="s">
        <v>63</v>
      </c>
      <c r="O1230" s="598"/>
      <c r="P1230" s="599" t="s">
        <v>62</v>
      </c>
      <c r="Q1230" s="598"/>
      <c r="R1230" s="599" t="s">
        <v>61</v>
      </c>
      <c r="S1230" s="598"/>
      <c r="T1230" s="599" t="s">
        <v>60</v>
      </c>
      <c r="U1230" s="598"/>
      <c r="V1230" s="600" t="s">
        <v>9</v>
      </c>
      <c r="W1230" s="608"/>
    </row>
    <row r="1231" spans="1:23" ht="15.75" thickBot="1">
      <c r="A1231" s="604"/>
      <c r="B1231" s="16" t="s">
        <v>7</v>
      </c>
      <c r="C1231" s="16" t="s">
        <v>8</v>
      </c>
      <c r="D1231" s="16" t="s">
        <v>7</v>
      </c>
      <c r="E1231" s="16" t="s">
        <v>8</v>
      </c>
      <c r="F1231" s="16" t="s">
        <v>7</v>
      </c>
      <c r="G1231" s="16" t="s">
        <v>8</v>
      </c>
      <c r="H1231" s="16" t="s">
        <v>7</v>
      </c>
      <c r="I1231" s="16" t="s">
        <v>8</v>
      </c>
      <c r="J1231" s="16" t="s">
        <v>7</v>
      </c>
      <c r="K1231" s="16" t="s">
        <v>8</v>
      </c>
      <c r="L1231" s="16" t="s">
        <v>7</v>
      </c>
      <c r="M1231" s="16" t="s">
        <v>8</v>
      </c>
      <c r="N1231" s="16" t="s">
        <v>7</v>
      </c>
      <c r="O1231" s="16" t="s">
        <v>8</v>
      </c>
      <c r="P1231" s="16" t="s">
        <v>7</v>
      </c>
      <c r="Q1231" s="16" t="s">
        <v>8</v>
      </c>
      <c r="R1231" s="16" t="s">
        <v>7</v>
      </c>
      <c r="S1231" s="16" t="s">
        <v>8</v>
      </c>
      <c r="T1231" s="16" t="s">
        <v>7</v>
      </c>
      <c r="U1231" s="16" t="s">
        <v>8</v>
      </c>
      <c r="V1231" s="16" t="s">
        <v>7</v>
      </c>
      <c r="W1231" s="16" t="s">
        <v>6</v>
      </c>
    </row>
    <row r="1232" spans="1:23" ht="15" customHeight="1">
      <c r="A1232" s="14" t="s">
        <v>5</v>
      </c>
      <c r="B1232" s="11">
        <v>54.263157</v>
      </c>
      <c r="C1232" s="12">
        <v>1.4808603187928685E-3</v>
      </c>
      <c r="D1232" s="11">
        <v>14349.878531000015</v>
      </c>
      <c r="E1232" s="12">
        <v>0.39161314731569374</v>
      </c>
      <c r="F1232" s="11">
        <v>9356.7374158000039</v>
      </c>
      <c r="G1232" s="12">
        <v>0.25534859964787437</v>
      </c>
      <c r="H1232" s="11">
        <v>8036.7417740000037</v>
      </c>
      <c r="I1232" s="12">
        <v>0.21932546212712262</v>
      </c>
      <c r="J1232" s="11">
        <v>3158.0107514999986</v>
      </c>
      <c r="K1232" s="12">
        <v>8.6183205452229655E-2</v>
      </c>
      <c r="L1232" s="11">
        <v>0</v>
      </c>
      <c r="M1232" s="12">
        <v>0</v>
      </c>
      <c r="N1232" s="11">
        <v>0</v>
      </c>
      <c r="O1232" s="12">
        <v>0</v>
      </c>
      <c r="P1232" s="11">
        <v>0</v>
      </c>
      <c r="Q1232" s="12">
        <v>0</v>
      </c>
      <c r="R1232" s="11">
        <v>0</v>
      </c>
      <c r="S1232" s="12">
        <v>0</v>
      </c>
      <c r="T1232" s="11">
        <v>1687.3631969999999</v>
      </c>
      <c r="U1232" s="12">
        <v>4.6048725138288088E-2</v>
      </c>
      <c r="V1232" s="11">
        <v>36642.994826299968</v>
      </c>
      <c r="W1232" s="12">
        <v>1</v>
      </c>
    </row>
    <row r="1233" spans="1:23">
      <c r="A1233" s="9" t="s">
        <v>2</v>
      </c>
      <c r="B1233" s="22">
        <v>0</v>
      </c>
      <c r="C1233" s="23">
        <v>0</v>
      </c>
      <c r="D1233" s="22">
        <v>761.52446000000043</v>
      </c>
      <c r="E1233" s="23">
        <v>0.39469584072780584</v>
      </c>
      <c r="F1233" s="22">
        <v>474.38361280000026</v>
      </c>
      <c r="G1233" s="23">
        <v>0.24587160192016672</v>
      </c>
      <c r="H1233" s="22">
        <v>423.36151100000018</v>
      </c>
      <c r="I1233" s="23">
        <v>0.21942699977875851</v>
      </c>
      <c r="J1233" s="22">
        <v>194.67438149999998</v>
      </c>
      <c r="K1233" s="23">
        <v>0.10089914731604033</v>
      </c>
      <c r="L1233" s="22">
        <v>0</v>
      </c>
      <c r="M1233" s="23">
        <v>0</v>
      </c>
      <c r="N1233" s="22">
        <v>0</v>
      </c>
      <c r="O1233" s="23">
        <v>0</v>
      </c>
      <c r="P1233" s="22">
        <v>0</v>
      </c>
      <c r="Q1233" s="23">
        <v>0</v>
      </c>
      <c r="R1233" s="22">
        <v>0</v>
      </c>
      <c r="S1233" s="23">
        <v>0</v>
      </c>
      <c r="T1233" s="22">
        <v>75.451740000000001</v>
      </c>
      <c r="U1233" s="23">
        <v>3.9106410257230349E-2</v>
      </c>
      <c r="V1233" s="22">
        <v>1929.3957052999974</v>
      </c>
      <c r="W1233" s="23">
        <v>5.2653875984918191E-2</v>
      </c>
    </row>
    <row r="1234" spans="1:23">
      <c r="A1234" s="9" t="s">
        <v>1</v>
      </c>
      <c r="B1234" s="22">
        <v>0</v>
      </c>
      <c r="C1234" s="23">
        <v>0</v>
      </c>
      <c r="D1234" s="22">
        <v>5453.1448550000005</v>
      </c>
      <c r="E1234" s="23">
        <v>0.39402205566540599</v>
      </c>
      <c r="F1234" s="22">
        <v>3246.7126569999973</v>
      </c>
      <c r="G1234" s="23">
        <v>0.23459424410724389</v>
      </c>
      <c r="H1234" s="22">
        <v>2663.4897719999976</v>
      </c>
      <c r="I1234" s="23">
        <v>0.19245293186095322</v>
      </c>
      <c r="J1234" s="22">
        <v>1407.9935690000002</v>
      </c>
      <c r="K1234" s="23">
        <v>0.10173588547026625</v>
      </c>
      <c r="L1234" s="22">
        <v>0</v>
      </c>
      <c r="M1234" s="23">
        <v>0</v>
      </c>
      <c r="N1234" s="22">
        <v>0</v>
      </c>
      <c r="O1234" s="23">
        <v>0</v>
      </c>
      <c r="P1234" s="22">
        <v>0</v>
      </c>
      <c r="Q1234" s="23">
        <v>0</v>
      </c>
      <c r="R1234" s="22">
        <v>0</v>
      </c>
      <c r="S1234" s="23">
        <v>0</v>
      </c>
      <c r="T1234" s="22">
        <v>1068.3535920000002</v>
      </c>
      <c r="U1234" s="23">
        <v>7.7194882896130301E-2</v>
      </c>
      <c r="V1234" s="22">
        <v>13839.694445000001</v>
      </c>
      <c r="W1234" s="23">
        <v>0.37769004718650251</v>
      </c>
    </row>
    <row r="1235" spans="1:23" ht="15.75" thickBot="1">
      <c r="A1235" s="9" t="s">
        <v>0</v>
      </c>
      <c r="B1235" s="22">
        <v>54.263157</v>
      </c>
      <c r="C1235" s="23">
        <v>2.5995690716356292E-3</v>
      </c>
      <c r="D1235" s="22">
        <v>8135.2092159999947</v>
      </c>
      <c r="E1235" s="23">
        <v>0.38973107055305911</v>
      </c>
      <c r="F1235" s="22">
        <v>5635.6411460000027</v>
      </c>
      <c r="G1235" s="23">
        <v>0.26998499961914818</v>
      </c>
      <c r="H1235" s="22">
        <v>4949.8904910000001</v>
      </c>
      <c r="I1235" s="23">
        <v>0.23713294507333768</v>
      </c>
      <c r="J1235" s="22">
        <v>1555.3428010000002</v>
      </c>
      <c r="K1235" s="23">
        <v>7.451134922486595E-2</v>
      </c>
      <c r="L1235" s="22">
        <v>0</v>
      </c>
      <c r="M1235" s="23">
        <v>0</v>
      </c>
      <c r="N1235" s="22">
        <v>0</v>
      </c>
      <c r="O1235" s="23">
        <v>0</v>
      </c>
      <c r="P1235" s="22">
        <v>0</v>
      </c>
      <c r="Q1235" s="23">
        <v>0</v>
      </c>
      <c r="R1235" s="22">
        <v>0</v>
      </c>
      <c r="S1235" s="23">
        <v>0</v>
      </c>
      <c r="T1235" s="22">
        <v>543.55786499999999</v>
      </c>
      <c r="U1235" s="23">
        <v>2.6040066457952208E-2</v>
      </c>
      <c r="V1235" s="22">
        <v>20873.904676000024</v>
      </c>
      <c r="W1235" s="23">
        <v>0.56965607682858077</v>
      </c>
    </row>
    <row r="1236" spans="1:23" ht="15" customHeight="1">
      <c r="A1236" s="13" t="s">
        <v>4</v>
      </c>
      <c r="B1236" s="11">
        <v>0</v>
      </c>
      <c r="C1236" s="12">
        <v>0</v>
      </c>
      <c r="D1236" s="11">
        <v>9256.3440740625374</v>
      </c>
      <c r="E1236" s="12">
        <v>0.33867136714144869</v>
      </c>
      <c r="F1236" s="11">
        <v>4956.3951486398801</v>
      </c>
      <c r="G1236" s="12">
        <v>0.18134471964873625</v>
      </c>
      <c r="H1236" s="11">
        <v>8137.5816598442225</v>
      </c>
      <c r="I1236" s="12">
        <v>0.29773805769463474</v>
      </c>
      <c r="J1236" s="11">
        <v>3155.8820724190177</v>
      </c>
      <c r="K1236" s="12">
        <v>0.11546749855574957</v>
      </c>
      <c r="L1236" s="11">
        <v>821.54521890584886</v>
      </c>
      <c r="M1236" s="12">
        <v>3.0058718672203586E-2</v>
      </c>
      <c r="N1236" s="11">
        <v>257.08977750564543</v>
      </c>
      <c r="O1236" s="12">
        <v>9.4064077274208235E-3</v>
      </c>
      <c r="P1236" s="11">
        <v>0</v>
      </c>
      <c r="Q1236" s="12">
        <v>0</v>
      </c>
      <c r="R1236" s="11">
        <v>0</v>
      </c>
      <c r="S1236" s="12">
        <v>0</v>
      </c>
      <c r="T1236" s="11">
        <v>746.50733532527124</v>
      </c>
      <c r="U1236" s="12">
        <v>2.7313230559802264E-2</v>
      </c>
      <c r="V1236" s="11">
        <v>27331.345286702533</v>
      </c>
      <c r="W1236" s="12">
        <v>1</v>
      </c>
    </row>
    <row r="1237" spans="1:23">
      <c r="A1237" s="9" t="s">
        <v>2</v>
      </c>
      <c r="B1237" s="22">
        <v>0</v>
      </c>
      <c r="C1237" s="23">
        <v>0</v>
      </c>
      <c r="D1237" s="22">
        <v>510.07991197945518</v>
      </c>
      <c r="E1237" s="23">
        <v>0.34640140267823893</v>
      </c>
      <c r="F1237" s="22">
        <v>320.90929212154686</v>
      </c>
      <c r="G1237" s="23">
        <v>0.21793335968082975</v>
      </c>
      <c r="H1237" s="22">
        <v>401.49293825772611</v>
      </c>
      <c r="I1237" s="23">
        <v>0.27265868290748463</v>
      </c>
      <c r="J1237" s="22">
        <v>116.21714915820627</v>
      </c>
      <c r="K1237" s="23">
        <v>7.8924463673625836E-2</v>
      </c>
      <c r="L1237" s="22">
        <v>29.340677966101694</v>
      </c>
      <c r="M1237" s="23">
        <v>1.9925607271116169E-2</v>
      </c>
      <c r="N1237" s="22">
        <v>31.061517429938483</v>
      </c>
      <c r="O1237" s="23">
        <v>2.1094250046605711E-2</v>
      </c>
      <c r="P1237" s="22">
        <v>0</v>
      </c>
      <c r="Q1237" s="23">
        <v>0</v>
      </c>
      <c r="R1237" s="22">
        <v>0</v>
      </c>
      <c r="S1237" s="23">
        <v>0</v>
      </c>
      <c r="T1237" s="22">
        <v>63.409617360041096</v>
      </c>
      <c r="U1237" s="23">
        <v>4.3062233742099131E-2</v>
      </c>
      <c r="V1237" s="22">
        <v>1472.5111042730155</v>
      </c>
      <c r="W1237" s="23">
        <v>5.3876276078859295E-2</v>
      </c>
    </row>
    <row r="1238" spans="1:23">
      <c r="A1238" s="9" t="s">
        <v>1</v>
      </c>
      <c r="B1238" s="22">
        <v>0</v>
      </c>
      <c r="C1238" s="23">
        <v>0</v>
      </c>
      <c r="D1238" s="22">
        <v>3892.8819906531717</v>
      </c>
      <c r="E1238" s="23">
        <v>0.37570876379301432</v>
      </c>
      <c r="F1238" s="22">
        <v>1954.3406545814923</v>
      </c>
      <c r="G1238" s="23">
        <v>0.18861679165364159</v>
      </c>
      <c r="H1238" s="22">
        <v>3109.0745769113664</v>
      </c>
      <c r="I1238" s="23">
        <v>0.30006215668399089</v>
      </c>
      <c r="J1238" s="22">
        <v>654.31159921679421</v>
      </c>
      <c r="K1238" s="23">
        <v>6.3148742414337863E-2</v>
      </c>
      <c r="L1238" s="22">
        <v>339.33040479984885</v>
      </c>
      <c r="M1238" s="23">
        <v>3.2749363379325908E-2</v>
      </c>
      <c r="N1238" s="22">
        <v>125.65402222754356</v>
      </c>
      <c r="O1238" s="23">
        <v>1.2127086685412023E-2</v>
      </c>
      <c r="P1238" s="22">
        <v>0</v>
      </c>
      <c r="Q1238" s="23">
        <v>0</v>
      </c>
      <c r="R1238" s="22">
        <v>0</v>
      </c>
      <c r="S1238" s="23">
        <v>0</v>
      </c>
      <c r="T1238" s="22">
        <v>285.84189981368456</v>
      </c>
      <c r="U1238" s="23">
        <v>2.7587095390278437E-2</v>
      </c>
      <c r="V1238" s="22">
        <v>10361.435148203891</v>
      </c>
      <c r="W1238" s="23">
        <v>0.37910446922804858</v>
      </c>
    </row>
    <row r="1239" spans="1:23" ht="15.75" thickBot="1">
      <c r="A1239" s="9" t="s">
        <v>0</v>
      </c>
      <c r="B1239" s="22">
        <v>0</v>
      </c>
      <c r="C1239" s="23">
        <v>0</v>
      </c>
      <c r="D1239" s="22">
        <v>4853.3821714299156</v>
      </c>
      <c r="E1239" s="23">
        <v>0.31317398233802779</v>
      </c>
      <c r="F1239" s="22">
        <v>2681.1452019368444</v>
      </c>
      <c r="G1239" s="23">
        <v>0.1730061409669853</v>
      </c>
      <c r="H1239" s="22">
        <v>4627.0141446751395</v>
      </c>
      <c r="I1239" s="23">
        <v>0.29856714242541732</v>
      </c>
      <c r="J1239" s="22">
        <v>2385.3533240440165</v>
      </c>
      <c r="K1239" s="23">
        <v>0.1539195912021131</v>
      </c>
      <c r="L1239" s="22">
        <v>452.8741361398985</v>
      </c>
      <c r="M1239" s="23">
        <v>2.9222589877161954E-2</v>
      </c>
      <c r="N1239" s="22">
        <v>100.37423784816335</v>
      </c>
      <c r="O1239" s="23">
        <v>6.4768441224549948E-3</v>
      </c>
      <c r="P1239" s="22">
        <v>0</v>
      </c>
      <c r="Q1239" s="23">
        <v>0</v>
      </c>
      <c r="R1239" s="22">
        <v>0</v>
      </c>
      <c r="S1239" s="23">
        <v>0</v>
      </c>
      <c r="T1239" s="22">
        <v>397.25581815154584</v>
      </c>
      <c r="U1239" s="23">
        <v>2.5633709067838965E-2</v>
      </c>
      <c r="V1239" s="22">
        <v>15497.399034225533</v>
      </c>
      <c r="W1239" s="23">
        <v>0.56701925469308867</v>
      </c>
    </row>
    <row r="1240" spans="1:23" ht="15" customHeight="1">
      <c r="A1240" s="13" t="s">
        <v>3</v>
      </c>
      <c r="B1240" s="11">
        <v>0</v>
      </c>
      <c r="C1240" s="12">
        <v>0</v>
      </c>
      <c r="D1240" s="11">
        <v>4040.3392194954117</v>
      </c>
      <c r="E1240" s="12">
        <v>0.31661701604092618</v>
      </c>
      <c r="F1240" s="11">
        <v>2312.8356495989319</v>
      </c>
      <c r="G1240" s="12">
        <v>0.18124298040018139</v>
      </c>
      <c r="H1240" s="11">
        <v>3896.9954669998347</v>
      </c>
      <c r="I1240" s="12">
        <v>0.30538403071032155</v>
      </c>
      <c r="J1240" s="11">
        <v>1398.9246377908335</v>
      </c>
      <c r="K1240" s="12">
        <v>0.1096252864973013</v>
      </c>
      <c r="L1240" s="11">
        <v>348.40144356178399</v>
      </c>
      <c r="M1240" s="12">
        <v>2.7302119810291462E-2</v>
      </c>
      <c r="N1240" s="11">
        <v>75.250126168659506</v>
      </c>
      <c r="O1240" s="12">
        <v>5.8968985300198859E-3</v>
      </c>
      <c r="P1240" s="11">
        <v>155.92454015369026</v>
      </c>
      <c r="Q1240" s="12">
        <v>1.2218865780576833E-2</v>
      </c>
      <c r="R1240" s="11">
        <v>252.18796931003584</v>
      </c>
      <c r="S1240" s="12">
        <v>1.9762450127723714E-2</v>
      </c>
      <c r="T1240" s="11">
        <v>280.10771370119193</v>
      </c>
      <c r="U1240" s="12">
        <v>2.1950352102661653E-2</v>
      </c>
      <c r="V1240" s="11">
        <v>12760.966766780322</v>
      </c>
      <c r="W1240" s="12">
        <v>1</v>
      </c>
    </row>
    <row r="1241" spans="1:23">
      <c r="A1241" s="9" t="s">
        <v>2</v>
      </c>
      <c r="B1241" s="22">
        <v>0</v>
      </c>
      <c r="C1241" s="23">
        <v>0</v>
      </c>
      <c r="D1241" s="22">
        <v>341.16340001929331</v>
      </c>
      <c r="E1241" s="23">
        <v>0.32567525903788991</v>
      </c>
      <c r="F1241" s="22">
        <v>238.27552536082084</v>
      </c>
      <c r="G1241" s="23">
        <v>0.22745828960517514</v>
      </c>
      <c r="H1241" s="22">
        <v>296.34334752132213</v>
      </c>
      <c r="I1241" s="23">
        <v>0.28288994793317263</v>
      </c>
      <c r="J1241" s="22">
        <v>91.133094654613771</v>
      </c>
      <c r="K1241" s="23">
        <v>8.6995833101931333E-2</v>
      </c>
      <c r="L1241" s="22">
        <v>23.109050203487339</v>
      </c>
      <c r="M1241" s="23">
        <v>2.2059945207237155E-2</v>
      </c>
      <c r="N1241" s="22">
        <v>19.751007377637713</v>
      </c>
      <c r="O1241" s="23">
        <v>1.8854350858291583E-2</v>
      </c>
      <c r="P1241" s="22">
        <v>4.6022408963585431</v>
      </c>
      <c r="Q1241" s="23">
        <v>4.3933082974069839E-3</v>
      </c>
      <c r="R1241" s="22">
        <v>0</v>
      </c>
      <c r="S1241" s="23">
        <v>0</v>
      </c>
      <c r="T1241" s="22">
        <v>33.179342218056746</v>
      </c>
      <c r="U1241" s="23">
        <v>3.1673065958896379E-2</v>
      </c>
      <c r="V1241" s="22">
        <v>1047.5570082515892</v>
      </c>
      <c r="W1241" s="23">
        <v>8.2090724581982036E-2</v>
      </c>
    </row>
    <row r="1242" spans="1:23">
      <c r="A1242" s="9" t="s">
        <v>1</v>
      </c>
      <c r="B1242" s="22">
        <v>0</v>
      </c>
      <c r="C1242" s="23">
        <v>0</v>
      </c>
      <c r="D1242" s="22">
        <v>780.43580971684719</v>
      </c>
      <c r="E1242" s="23">
        <v>0.32044937998992667</v>
      </c>
      <c r="F1242" s="22">
        <v>558.05834877036318</v>
      </c>
      <c r="G1242" s="23">
        <v>0.22914050026298372</v>
      </c>
      <c r="H1242" s="22">
        <v>724.11503751488726</v>
      </c>
      <c r="I1242" s="23">
        <v>0.2973238950903806</v>
      </c>
      <c r="J1242" s="22">
        <v>197.47389575695198</v>
      </c>
      <c r="K1242" s="23">
        <v>8.1083398111203617E-2</v>
      </c>
      <c r="L1242" s="22">
        <v>20.602734729875799</v>
      </c>
      <c r="M1242" s="23">
        <v>8.459547201814039E-3</v>
      </c>
      <c r="N1242" s="22">
        <v>9.5448504983388709</v>
      </c>
      <c r="O1242" s="23">
        <v>3.9191454136361971E-3</v>
      </c>
      <c r="P1242" s="22">
        <v>68.701364297982124</v>
      </c>
      <c r="Q1242" s="23">
        <v>2.8208994666374818E-2</v>
      </c>
      <c r="R1242" s="22">
        <v>0</v>
      </c>
      <c r="S1242" s="23">
        <v>0</v>
      </c>
      <c r="T1242" s="22">
        <v>76.509742816129162</v>
      </c>
      <c r="U1242" s="23">
        <v>3.1415139263679635E-2</v>
      </c>
      <c r="V1242" s="22">
        <v>2435.4417841013774</v>
      </c>
      <c r="W1242" s="23">
        <v>0.19085088368393702</v>
      </c>
    </row>
    <row r="1243" spans="1:23" ht="15.75" thickBot="1">
      <c r="A1243" s="5" t="s">
        <v>0</v>
      </c>
      <c r="B1243" s="19">
        <v>0</v>
      </c>
      <c r="C1243" s="20">
        <v>0</v>
      </c>
      <c r="D1243" s="19">
        <v>2918.7400097592704</v>
      </c>
      <c r="E1243" s="20">
        <v>0.3145882824562567</v>
      </c>
      <c r="F1243" s="19">
        <v>1516.5017754677458</v>
      </c>
      <c r="G1243" s="20">
        <v>0.16345193038471753</v>
      </c>
      <c r="H1243" s="19">
        <v>2876.5370819636255</v>
      </c>
      <c r="I1243" s="20">
        <v>0.3100395571414068</v>
      </c>
      <c r="J1243" s="19">
        <v>1110.3176473792673</v>
      </c>
      <c r="K1243" s="20">
        <v>0.11967250269020163</v>
      </c>
      <c r="L1243" s="19">
        <v>304.68965862842089</v>
      </c>
      <c r="M1243" s="20">
        <v>3.2840128298376153E-2</v>
      </c>
      <c r="N1243" s="19">
        <v>45.954268292682926</v>
      </c>
      <c r="O1243" s="20">
        <v>4.9530531275108281E-3</v>
      </c>
      <c r="P1243" s="19">
        <v>82.620934959349597</v>
      </c>
      <c r="Q1243" s="20">
        <v>8.9050679186515151E-3</v>
      </c>
      <c r="R1243" s="19">
        <v>252.18796931003584</v>
      </c>
      <c r="S1243" s="20">
        <v>2.7181379587118047E-2</v>
      </c>
      <c r="T1243" s="19">
        <v>170.41862866700603</v>
      </c>
      <c r="U1243" s="20">
        <v>1.8368098395761454E-2</v>
      </c>
      <c r="V1243" s="19">
        <v>9277.9679744273981</v>
      </c>
      <c r="W1243" s="20">
        <v>0.72705839173408426</v>
      </c>
    </row>
    <row r="1248" spans="1:23" ht="15.75" thickBot="1"/>
    <row r="1249" spans="1:23" ht="15" customHeight="1">
      <c r="A1249" s="602" t="s">
        <v>13</v>
      </c>
      <c r="B1249" s="609" t="s">
        <v>372</v>
      </c>
      <c r="C1249" s="610"/>
      <c r="D1249" s="610"/>
      <c r="E1249" s="610"/>
      <c r="F1249" s="610"/>
      <c r="G1249" s="610"/>
      <c r="H1249" s="610"/>
      <c r="I1249" s="610"/>
      <c r="J1249" s="610"/>
      <c r="K1249" s="610"/>
      <c r="L1249" s="610"/>
      <c r="M1249" s="610"/>
      <c r="N1249" s="610"/>
      <c r="O1249" s="610"/>
      <c r="P1249" s="610"/>
      <c r="Q1249" s="610"/>
      <c r="R1249" s="610"/>
      <c r="S1249" s="610"/>
      <c r="T1249" s="610"/>
      <c r="U1249" s="610"/>
      <c r="V1249" s="610"/>
      <c r="W1249" s="611"/>
    </row>
    <row r="1250" spans="1:23" ht="15.75">
      <c r="A1250" s="603"/>
      <c r="B1250" s="597" t="s">
        <v>69</v>
      </c>
      <c r="C1250" s="598"/>
      <c r="D1250" s="599" t="s">
        <v>68</v>
      </c>
      <c r="E1250" s="598"/>
      <c r="F1250" s="599" t="s">
        <v>67</v>
      </c>
      <c r="G1250" s="598"/>
      <c r="H1250" s="599" t="s">
        <v>66</v>
      </c>
      <c r="I1250" s="598"/>
      <c r="J1250" s="599" t="s">
        <v>65</v>
      </c>
      <c r="K1250" s="598"/>
      <c r="L1250" s="599" t="s">
        <v>64</v>
      </c>
      <c r="M1250" s="598"/>
      <c r="N1250" s="599" t="s">
        <v>63</v>
      </c>
      <c r="O1250" s="598"/>
      <c r="P1250" s="599" t="s">
        <v>62</v>
      </c>
      <c r="Q1250" s="598"/>
      <c r="R1250" s="599" t="s">
        <v>61</v>
      </c>
      <c r="S1250" s="598"/>
      <c r="T1250" s="599" t="s">
        <v>60</v>
      </c>
      <c r="U1250" s="598"/>
      <c r="V1250" s="600" t="s">
        <v>9</v>
      </c>
      <c r="W1250" s="608"/>
    </row>
    <row r="1251" spans="1:23" ht="15.75" thickBot="1">
      <c r="A1251" s="604"/>
      <c r="B1251" s="16" t="s">
        <v>7</v>
      </c>
      <c r="C1251" s="16" t="s">
        <v>8</v>
      </c>
      <c r="D1251" s="16" t="s">
        <v>7</v>
      </c>
      <c r="E1251" s="16" t="s">
        <v>8</v>
      </c>
      <c r="F1251" s="16" t="s">
        <v>7</v>
      </c>
      <c r="G1251" s="16" t="s">
        <v>8</v>
      </c>
      <c r="H1251" s="16" t="s">
        <v>7</v>
      </c>
      <c r="I1251" s="16" t="s">
        <v>8</v>
      </c>
      <c r="J1251" s="16" t="s">
        <v>7</v>
      </c>
      <c r="K1251" s="16" t="s">
        <v>8</v>
      </c>
      <c r="L1251" s="16" t="s">
        <v>7</v>
      </c>
      <c r="M1251" s="16" t="s">
        <v>8</v>
      </c>
      <c r="N1251" s="16" t="s">
        <v>7</v>
      </c>
      <c r="O1251" s="16" t="s">
        <v>8</v>
      </c>
      <c r="P1251" s="16" t="s">
        <v>7</v>
      </c>
      <c r="Q1251" s="16" t="s">
        <v>8</v>
      </c>
      <c r="R1251" s="16" t="s">
        <v>7</v>
      </c>
      <c r="S1251" s="16" t="s">
        <v>8</v>
      </c>
      <c r="T1251" s="16" t="s">
        <v>7</v>
      </c>
      <c r="U1251" s="16" t="s">
        <v>8</v>
      </c>
      <c r="V1251" s="16" t="s">
        <v>7</v>
      </c>
      <c r="W1251" s="16" t="s">
        <v>6</v>
      </c>
    </row>
    <row r="1252" spans="1:23" ht="15" customHeight="1">
      <c r="A1252" s="14" t="s">
        <v>5</v>
      </c>
      <c r="B1252" s="11">
        <v>0</v>
      </c>
      <c r="C1252" s="12">
        <v>0</v>
      </c>
      <c r="D1252" s="11">
        <v>1644.6008219999992</v>
      </c>
      <c r="E1252" s="12">
        <v>0.14099612124069497</v>
      </c>
      <c r="F1252" s="11">
        <v>1769.2328104999995</v>
      </c>
      <c r="G1252" s="12">
        <v>0.15168116208826357</v>
      </c>
      <c r="H1252" s="11">
        <v>4245.2303770000017</v>
      </c>
      <c r="I1252" s="12">
        <v>0.36395519746990229</v>
      </c>
      <c r="J1252" s="11">
        <v>3480.9644349999994</v>
      </c>
      <c r="K1252" s="12">
        <v>0.29843259041725534</v>
      </c>
      <c r="L1252" s="11">
        <v>0</v>
      </c>
      <c r="M1252" s="12">
        <v>0</v>
      </c>
      <c r="N1252" s="11">
        <v>0</v>
      </c>
      <c r="O1252" s="12">
        <v>0</v>
      </c>
      <c r="P1252" s="11">
        <v>0</v>
      </c>
      <c r="Q1252" s="12">
        <v>0</v>
      </c>
      <c r="R1252" s="11">
        <v>0</v>
      </c>
      <c r="S1252" s="12">
        <v>0</v>
      </c>
      <c r="T1252" s="11">
        <v>524.12804100000017</v>
      </c>
      <c r="U1252" s="12">
        <v>4.4934928783882118E-2</v>
      </c>
      <c r="V1252" s="11">
        <v>11664.15648550002</v>
      </c>
      <c r="W1252" s="12">
        <v>1</v>
      </c>
    </row>
    <row r="1253" spans="1:23">
      <c r="A1253" s="9" t="s">
        <v>2</v>
      </c>
      <c r="B1253" s="22">
        <v>0</v>
      </c>
      <c r="C1253" s="23">
        <v>0</v>
      </c>
      <c r="D1253" s="22">
        <v>193.88601399999993</v>
      </c>
      <c r="E1253" s="23">
        <v>0.17838639058466557</v>
      </c>
      <c r="F1253" s="22">
        <v>172.69117049999994</v>
      </c>
      <c r="G1253" s="23">
        <v>0.15888590391742274</v>
      </c>
      <c r="H1253" s="22">
        <v>352.85060800000008</v>
      </c>
      <c r="I1253" s="23">
        <v>0.32464304710872421</v>
      </c>
      <c r="J1253" s="22">
        <v>205.27900699999995</v>
      </c>
      <c r="K1253" s="23">
        <v>0.1888686056619551</v>
      </c>
      <c r="L1253" s="22">
        <v>0</v>
      </c>
      <c r="M1253" s="23">
        <v>0</v>
      </c>
      <c r="N1253" s="22">
        <v>0</v>
      </c>
      <c r="O1253" s="23">
        <v>0</v>
      </c>
      <c r="P1253" s="22">
        <v>0</v>
      </c>
      <c r="Q1253" s="23">
        <v>0</v>
      </c>
      <c r="R1253" s="22">
        <v>0</v>
      </c>
      <c r="S1253" s="23">
        <v>0</v>
      </c>
      <c r="T1253" s="22">
        <v>162.18112599999998</v>
      </c>
      <c r="U1253" s="23">
        <v>0.14921605272723215</v>
      </c>
      <c r="V1253" s="22">
        <v>1086.8879255000002</v>
      </c>
      <c r="W1253" s="23">
        <v>9.3181871046666379E-2</v>
      </c>
    </row>
    <row r="1254" spans="1:23">
      <c r="A1254" s="9" t="s">
        <v>1</v>
      </c>
      <c r="B1254" s="22">
        <v>0</v>
      </c>
      <c r="C1254" s="23">
        <v>0</v>
      </c>
      <c r="D1254" s="22">
        <v>972.51362599999982</v>
      </c>
      <c r="E1254" s="23">
        <v>0.1712525293741041</v>
      </c>
      <c r="F1254" s="22">
        <v>881.98786099999995</v>
      </c>
      <c r="G1254" s="23">
        <v>0.15531160493324106</v>
      </c>
      <c r="H1254" s="22">
        <v>1880.069258</v>
      </c>
      <c r="I1254" s="23">
        <v>0.33106643158848159</v>
      </c>
      <c r="J1254" s="22">
        <v>1669.5714579999999</v>
      </c>
      <c r="K1254" s="23">
        <v>0.29399931014777458</v>
      </c>
      <c r="L1254" s="22">
        <v>0</v>
      </c>
      <c r="M1254" s="23">
        <v>0</v>
      </c>
      <c r="N1254" s="22">
        <v>0</v>
      </c>
      <c r="O1254" s="23">
        <v>0</v>
      </c>
      <c r="P1254" s="22">
        <v>0</v>
      </c>
      <c r="Q1254" s="23">
        <v>0</v>
      </c>
      <c r="R1254" s="22">
        <v>0</v>
      </c>
      <c r="S1254" s="23">
        <v>0</v>
      </c>
      <c r="T1254" s="22">
        <v>274.68560499999995</v>
      </c>
      <c r="U1254" s="23">
        <v>4.8370123956397969E-2</v>
      </c>
      <c r="V1254" s="22">
        <v>5678.8278080000036</v>
      </c>
      <c r="W1254" s="23">
        <v>0.48686142157467494</v>
      </c>
    </row>
    <row r="1255" spans="1:23" ht="15.75" thickBot="1">
      <c r="A1255" s="9" t="s">
        <v>0</v>
      </c>
      <c r="B1255" s="22">
        <v>0</v>
      </c>
      <c r="C1255" s="23">
        <v>0</v>
      </c>
      <c r="D1255" s="22">
        <v>478.20118199999996</v>
      </c>
      <c r="E1255" s="23">
        <v>9.7623142998055773E-2</v>
      </c>
      <c r="F1255" s="22">
        <v>714.55377899999996</v>
      </c>
      <c r="G1255" s="23">
        <v>0.14587372087908837</v>
      </c>
      <c r="H1255" s="22">
        <v>2012.3105110000004</v>
      </c>
      <c r="I1255" s="23">
        <v>0.41080633876777772</v>
      </c>
      <c r="J1255" s="22">
        <v>1606.1139700000003</v>
      </c>
      <c r="K1255" s="23">
        <v>0.32788269804921788</v>
      </c>
      <c r="L1255" s="22">
        <v>0</v>
      </c>
      <c r="M1255" s="23">
        <v>0</v>
      </c>
      <c r="N1255" s="22">
        <v>0</v>
      </c>
      <c r="O1255" s="23">
        <v>0</v>
      </c>
      <c r="P1255" s="22">
        <v>0</v>
      </c>
      <c r="Q1255" s="23">
        <v>0</v>
      </c>
      <c r="R1255" s="22">
        <v>0</v>
      </c>
      <c r="S1255" s="23">
        <v>0</v>
      </c>
      <c r="T1255" s="22">
        <v>87.261309999999995</v>
      </c>
      <c r="U1255" s="23">
        <v>1.7814099305860091E-2</v>
      </c>
      <c r="V1255" s="22">
        <v>4898.4407520000013</v>
      </c>
      <c r="W1255" s="23">
        <v>0.41995670737865742</v>
      </c>
    </row>
    <row r="1256" spans="1:23" ht="15" customHeight="1">
      <c r="A1256" s="13" t="s">
        <v>4</v>
      </c>
      <c r="B1256" s="11">
        <v>0</v>
      </c>
      <c r="C1256" s="12">
        <v>0</v>
      </c>
      <c r="D1256" s="11">
        <v>549.84076073253095</v>
      </c>
      <c r="E1256" s="12">
        <v>0.12705805115268473</v>
      </c>
      <c r="F1256" s="11">
        <v>487.91617039731722</v>
      </c>
      <c r="G1256" s="12">
        <v>0.11274842129559959</v>
      </c>
      <c r="H1256" s="11">
        <v>769.59090436065435</v>
      </c>
      <c r="I1256" s="12">
        <v>0.17783825332015202</v>
      </c>
      <c r="J1256" s="11">
        <v>730.8588158293262</v>
      </c>
      <c r="K1256" s="12">
        <v>0.16888798255574478</v>
      </c>
      <c r="L1256" s="11">
        <v>899.17792921000387</v>
      </c>
      <c r="M1256" s="12">
        <v>0.2077834229181591</v>
      </c>
      <c r="N1256" s="11">
        <v>613.88845670552178</v>
      </c>
      <c r="O1256" s="12">
        <v>0.1418582915355662</v>
      </c>
      <c r="P1256" s="11">
        <v>0</v>
      </c>
      <c r="Q1256" s="12">
        <v>0</v>
      </c>
      <c r="R1256" s="11">
        <v>0</v>
      </c>
      <c r="S1256" s="12">
        <v>0</v>
      </c>
      <c r="T1256" s="11">
        <v>276.20370071485485</v>
      </c>
      <c r="U1256" s="12">
        <v>6.3825577222093616E-2</v>
      </c>
      <c r="V1256" s="11">
        <v>4327.4767379502091</v>
      </c>
      <c r="W1256" s="12">
        <v>1</v>
      </c>
    </row>
    <row r="1257" spans="1:23">
      <c r="A1257" s="9" t="s">
        <v>2</v>
      </c>
      <c r="B1257" s="22">
        <v>0</v>
      </c>
      <c r="C1257" s="23">
        <v>0</v>
      </c>
      <c r="D1257" s="22">
        <v>53.96947139613286</v>
      </c>
      <c r="E1257" s="23">
        <v>0.13237805494811813</v>
      </c>
      <c r="F1257" s="22">
        <v>58.389569133413914</v>
      </c>
      <c r="G1257" s="23">
        <v>0.14321981281613702</v>
      </c>
      <c r="H1257" s="22">
        <v>150.90610282769072</v>
      </c>
      <c r="I1257" s="23">
        <v>0.37014734173516139</v>
      </c>
      <c r="J1257" s="22">
        <v>67.046309983999549</v>
      </c>
      <c r="K1257" s="23">
        <v>0.16445334515109625</v>
      </c>
      <c r="L1257" s="22">
        <v>47.547495858289793</v>
      </c>
      <c r="M1257" s="23">
        <v>0.11662602683607375</v>
      </c>
      <c r="N1257" s="22">
        <v>17.656894933790561</v>
      </c>
      <c r="O1257" s="23">
        <v>4.3309399690098858E-2</v>
      </c>
      <c r="P1257" s="22">
        <v>0</v>
      </c>
      <c r="Q1257" s="23">
        <v>0</v>
      </c>
      <c r="R1257" s="22">
        <v>0</v>
      </c>
      <c r="S1257" s="23">
        <v>0</v>
      </c>
      <c r="T1257" s="22">
        <v>12.176136363636363</v>
      </c>
      <c r="U1257" s="23">
        <v>2.9866018823314432E-2</v>
      </c>
      <c r="V1257" s="22">
        <v>407.69198049695382</v>
      </c>
      <c r="W1257" s="23">
        <v>9.4210091742761112E-2</v>
      </c>
    </row>
    <row r="1258" spans="1:23">
      <c r="A1258" s="9" t="s">
        <v>1</v>
      </c>
      <c r="B1258" s="22">
        <v>0</v>
      </c>
      <c r="C1258" s="23">
        <v>0</v>
      </c>
      <c r="D1258" s="22">
        <v>400.94516321027191</v>
      </c>
      <c r="E1258" s="23">
        <v>0.18380875470021066</v>
      </c>
      <c r="F1258" s="22">
        <v>244.02121015851216</v>
      </c>
      <c r="G1258" s="23">
        <v>0.11186875132884858</v>
      </c>
      <c r="H1258" s="22">
        <v>326.19908152265083</v>
      </c>
      <c r="I1258" s="23">
        <v>0.14954226278466518</v>
      </c>
      <c r="J1258" s="22">
        <v>495.89330243138653</v>
      </c>
      <c r="K1258" s="23">
        <v>0.22733665036454273</v>
      </c>
      <c r="L1258" s="22">
        <v>411.83640952086955</v>
      </c>
      <c r="M1258" s="23">
        <v>0.18880172282945665</v>
      </c>
      <c r="N1258" s="22">
        <v>287.24942934027285</v>
      </c>
      <c r="O1258" s="23">
        <v>0.13168623727153381</v>
      </c>
      <c r="P1258" s="22">
        <v>0</v>
      </c>
      <c r="Q1258" s="23">
        <v>0</v>
      </c>
      <c r="R1258" s="22">
        <v>0</v>
      </c>
      <c r="S1258" s="23">
        <v>0</v>
      </c>
      <c r="T1258" s="22">
        <v>15.172413793103448</v>
      </c>
      <c r="U1258" s="23">
        <v>6.9556207207419861E-3</v>
      </c>
      <c r="V1258" s="22">
        <v>2181.3170099770682</v>
      </c>
      <c r="W1258" s="23">
        <v>0.50406209947885017</v>
      </c>
    </row>
    <row r="1259" spans="1:23" ht="15.75" thickBot="1">
      <c r="A1259" s="9" t="s">
        <v>0</v>
      </c>
      <c r="B1259" s="22">
        <v>0</v>
      </c>
      <c r="C1259" s="23">
        <v>0</v>
      </c>
      <c r="D1259" s="22">
        <v>94.926126126126121</v>
      </c>
      <c r="E1259" s="23">
        <v>5.4603328858953332E-2</v>
      </c>
      <c r="F1259" s="22">
        <v>185.50539110539111</v>
      </c>
      <c r="G1259" s="23">
        <v>0.10670625979383147</v>
      </c>
      <c r="H1259" s="22">
        <v>292.48572001031283</v>
      </c>
      <c r="I1259" s="23">
        <v>0.16824339734512048</v>
      </c>
      <c r="J1259" s="22">
        <v>167.91920341394024</v>
      </c>
      <c r="K1259" s="23">
        <v>9.6590347251317224E-2</v>
      </c>
      <c r="L1259" s="22">
        <v>439.79402383084442</v>
      </c>
      <c r="M1259" s="23">
        <v>0.25297795974030191</v>
      </c>
      <c r="N1259" s="22">
        <v>308.98213243145847</v>
      </c>
      <c r="O1259" s="23">
        <v>0.17773245024535067</v>
      </c>
      <c r="P1259" s="22">
        <v>0</v>
      </c>
      <c r="Q1259" s="23">
        <v>0</v>
      </c>
      <c r="R1259" s="22">
        <v>0</v>
      </c>
      <c r="S1259" s="23">
        <v>0</v>
      </c>
      <c r="T1259" s="22">
        <v>248.85515055811504</v>
      </c>
      <c r="U1259" s="23">
        <v>0.1431462567651251</v>
      </c>
      <c r="V1259" s="22">
        <v>1738.4677474761879</v>
      </c>
      <c r="W1259" s="23">
        <v>0.40172780877838898</v>
      </c>
    </row>
    <row r="1260" spans="1:23" ht="15" customHeight="1">
      <c r="A1260" s="13" t="s">
        <v>3</v>
      </c>
      <c r="B1260" s="11">
        <v>0</v>
      </c>
      <c r="C1260" s="12">
        <v>0</v>
      </c>
      <c r="D1260" s="11">
        <v>89.011312257534286</v>
      </c>
      <c r="E1260" s="12">
        <v>7.1683176245153885E-2</v>
      </c>
      <c r="F1260" s="11">
        <v>61.292075454759711</v>
      </c>
      <c r="G1260" s="12">
        <v>4.9360137895090049E-2</v>
      </c>
      <c r="H1260" s="11">
        <v>230.59874765806936</v>
      </c>
      <c r="I1260" s="12">
        <v>0.18570730226355001</v>
      </c>
      <c r="J1260" s="11">
        <v>83.634395401666055</v>
      </c>
      <c r="K1260" s="12">
        <v>6.7353002148634863E-2</v>
      </c>
      <c r="L1260" s="11">
        <v>14.496622546782291</v>
      </c>
      <c r="M1260" s="12">
        <v>1.1674515548921228E-2</v>
      </c>
      <c r="N1260" s="11">
        <v>45.599999999999994</v>
      </c>
      <c r="O1260" s="12">
        <v>3.6722892336668547E-2</v>
      </c>
      <c r="P1260" s="11">
        <v>361.64959399806963</v>
      </c>
      <c r="Q1260" s="12">
        <v>0.29124603298225887</v>
      </c>
      <c r="R1260" s="11">
        <v>149.65248212567479</v>
      </c>
      <c r="S1260" s="12">
        <v>0.12051912256614847</v>
      </c>
      <c r="T1260" s="11">
        <v>205.79702797191385</v>
      </c>
      <c r="U1260" s="12">
        <v>0.16573381801357365</v>
      </c>
      <c r="V1260" s="11">
        <v>1241.7322574144705</v>
      </c>
      <c r="W1260" s="12">
        <v>1</v>
      </c>
    </row>
    <row r="1261" spans="1:23">
      <c r="A1261" s="9" t="s">
        <v>2</v>
      </c>
      <c r="B1261" s="22">
        <v>0</v>
      </c>
      <c r="C1261" s="23">
        <v>0</v>
      </c>
      <c r="D1261" s="22">
        <v>0</v>
      </c>
      <c r="E1261" s="23">
        <v>0</v>
      </c>
      <c r="F1261" s="22">
        <v>5.4680511182108624</v>
      </c>
      <c r="G1261" s="23">
        <v>4.9880817201924402E-2</v>
      </c>
      <c r="H1261" s="22">
        <v>31.545567496046733</v>
      </c>
      <c r="I1261" s="23">
        <v>0.28776590631364252</v>
      </c>
      <c r="J1261" s="22">
        <v>4.6022408963585431</v>
      </c>
      <c r="K1261" s="23">
        <v>4.1982697657295134E-2</v>
      </c>
      <c r="L1261" s="22">
        <v>5.4680511182108624</v>
      </c>
      <c r="M1261" s="23">
        <v>4.9880817201924402E-2</v>
      </c>
      <c r="N1261" s="22">
        <v>8.9333333333333336</v>
      </c>
      <c r="O1261" s="23">
        <v>8.1491916840319922E-2</v>
      </c>
      <c r="P1261" s="22">
        <v>22.783161059951137</v>
      </c>
      <c r="Q1261" s="23">
        <v>0.20783322385714403</v>
      </c>
      <c r="R1261" s="22">
        <v>25.353868130658206</v>
      </c>
      <c r="S1261" s="23">
        <v>0.23128380372582494</v>
      </c>
      <c r="T1261" s="22">
        <v>5.4680511182108624</v>
      </c>
      <c r="U1261" s="23">
        <v>4.9880817201924402E-2</v>
      </c>
      <c r="V1261" s="22">
        <v>109.62232427098057</v>
      </c>
      <c r="W1261" s="23">
        <v>8.8281772190758487E-2</v>
      </c>
    </row>
    <row r="1262" spans="1:23">
      <c r="A1262" s="9" t="s">
        <v>1</v>
      </c>
      <c r="B1262" s="22">
        <v>0</v>
      </c>
      <c r="C1262" s="23">
        <v>0</v>
      </c>
      <c r="D1262" s="22">
        <v>38.882423368645398</v>
      </c>
      <c r="E1262" s="23">
        <v>0.18213382539518549</v>
      </c>
      <c r="F1262" s="22">
        <v>18.573421926910299</v>
      </c>
      <c r="G1262" s="23">
        <v>8.7001994555588921E-2</v>
      </c>
      <c r="H1262" s="22">
        <v>28.634551495016613</v>
      </c>
      <c r="I1262" s="23">
        <v>0.13413053895371174</v>
      </c>
      <c r="J1262" s="22">
        <v>33.077886212624584</v>
      </c>
      <c r="K1262" s="23">
        <v>0.15494409632785877</v>
      </c>
      <c r="L1262" s="22">
        <v>9.0285714285714285</v>
      </c>
      <c r="M1262" s="23">
        <v>4.2291814904351667E-2</v>
      </c>
      <c r="N1262" s="22">
        <v>0</v>
      </c>
      <c r="O1262" s="23">
        <v>0</v>
      </c>
      <c r="P1262" s="22">
        <v>33.594165282392026</v>
      </c>
      <c r="Q1262" s="23">
        <v>0.15736246107474433</v>
      </c>
      <c r="R1262" s="22">
        <v>28.634551495016613</v>
      </c>
      <c r="S1262" s="23">
        <v>0.13413053895371174</v>
      </c>
      <c r="T1262" s="22">
        <v>23.057142857142857</v>
      </c>
      <c r="U1262" s="23">
        <v>0.10800472983484745</v>
      </c>
      <c r="V1262" s="22">
        <v>213.4827140663198</v>
      </c>
      <c r="W1262" s="23">
        <v>0.17192330535958902</v>
      </c>
    </row>
    <row r="1263" spans="1:23" ht="15.75" thickBot="1">
      <c r="A1263" s="5" t="s">
        <v>0</v>
      </c>
      <c r="B1263" s="19">
        <v>0</v>
      </c>
      <c r="C1263" s="20">
        <v>0</v>
      </c>
      <c r="D1263" s="19">
        <v>50.128888888888888</v>
      </c>
      <c r="E1263" s="20">
        <v>5.4569348532092415E-2</v>
      </c>
      <c r="F1263" s="19">
        <v>37.250602409638553</v>
      </c>
      <c r="G1263" s="20">
        <v>4.0550292475613335E-2</v>
      </c>
      <c r="H1263" s="19">
        <v>170.41862866700603</v>
      </c>
      <c r="I1263" s="20">
        <v>0.18551445584010062</v>
      </c>
      <c r="J1263" s="19">
        <v>45.954268292682926</v>
      </c>
      <c r="K1263" s="20">
        <v>5.002493649039428E-2</v>
      </c>
      <c r="L1263" s="19">
        <v>0</v>
      </c>
      <c r="M1263" s="20">
        <v>0</v>
      </c>
      <c r="N1263" s="19">
        <v>36.666666666666664</v>
      </c>
      <c r="O1263" s="20">
        <v>3.9914631207532796E-2</v>
      </c>
      <c r="P1263" s="19">
        <v>305.27226765572652</v>
      </c>
      <c r="Q1263" s="20">
        <v>0.33231354494633364</v>
      </c>
      <c r="R1263" s="19">
        <v>95.6640625</v>
      </c>
      <c r="S1263" s="20">
        <v>0.10413806657732368</v>
      </c>
      <c r="T1263" s="19">
        <v>177.27183399656008</v>
      </c>
      <c r="U1263" s="20">
        <v>0.19297472393060922</v>
      </c>
      <c r="V1263" s="19">
        <v>918.62721907716968</v>
      </c>
      <c r="W1263" s="20">
        <v>0.73979492244965217</v>
      </c>
    </row>
    <row r="1268" spans="1:17" ht="15.75" thickBot="1"/>
    <row r="1269" spans="1:17" ht="15" customHeight="1">
      <c r="A1269" s="602" t="s">
        <v>13</v>
      </c>
      <c r="B1269" s="609" t="s">
        <v>373</v>
      </c>
      <c r="C1269" s="610"/>
      <c r="D1269" s="610"/>
      <c r="E1269" s="610"/>
      <c r="F1269" s="610"/>
      <c r="G1269" s="610"/>
      <c r="H1269" s="610"/>
      <c r="I1269" s="610"/>
      <c r="J1269" s="610"/>
      <c r="K1269" s="610"/>
      <c r="L1269" s="610"/>
      <c r="M1269" s="610"/>
      <c r="N1269" s="610"/>
      <c r="O1269" s="610"/>
      <c r="P1269" s="610"/>
      <c r="Q1269" s="611"/>
    </row>
    <row r="1270" spans="1:17" ht="36.75" customHeight="1">
      <c r="A1270" s="603"/>
      <c r="B1270" s="605" t="s">
        <v>59</v>
      </c>
      <c r="C1270" s="598"/>
      <c r="D1270" s="606" t="s">
        <v>58</v>
      </c>
      <c r="E1270" s="598"/>
      <c r="F1270" s="606" t="s">
        <v>57</v>
      </c>
      <c r="G1270" s="598"/>
      <c r="H1270" s="606" t="s">
        <v>56</v>
      </c>
      <c r="I1270" s="598"/>
      <c r="J1270" s="606" t="s">
        <v>55</v>
      </c>
      <c r="K1270" s="598"/>
      <c r="L1270" s="606" t="s">
        <v>54</v>
      </c>
      <c r="M1270" s="598"/>
      <c r="N1270" s="606" t="s">
        <v>14</v>
      </c>
      <c r="O1270" s="598"/>
      <c r="P1270" s="607" t="s">
        <v>9</v>
      </c>
      <c r="Q1270" s="608"/>
    </row>
    <row r="1271" spans="1:17" ht="15.75" thickBot="1">
      <c r="A1271" s="604"/>
      <c r="B1271" s="16" t="s">
        <v>7</v>
      </c>
      <c r="C1271" s="16" t="s">
        <v>8</v>
      </c>
      <c r="D1271" s="16" t="s">
        <v>7</v>
      </c>
      <c r="E1271" s="16" t="s">
        <v>8</v>
      </c>
      <c r="F1271" s="16" t="s">
        <v>7</v>
      </c>
      <c r="G1271" s="16" t="s">
        <v>8</v>
      </c>
      <c r="H1271" s="16" t="s">
        <v>7</v>
      </c>
      <c r="I1271" s="16" t="s">
        <v>8</v>
      </c>
      <c r="J1271" s="16" t="s">
        <v>7</v>
      </c>
      <c r="K1271" s="16" t="s">
        <v>8</v>
      </c>
      <c r="L1271" s="16" t="s">
        <v>7</v>
      </c>
      <c r="M1271" s="16" t="s">
        <v>8</v>
      </c>
      <c r="N1271" s="16" t="s">
        <v>7</v>
      </c>
      <c r="O1271" s="16" t="s">
        <v>8</v>
      </c>
      <c r="P1271" s="16" t="s">
        <v>7</v>
      </c>
      <c r="Q1271" s="16" t="s">
        <v>6</v>
      </c>
    </row>
    <row r="1272" spans="1:17" ht="15" customHeight="1">
      <c r="A1272" s="14" t="s">
        <v>5</v>
      </c>
      <c r="B1272" s="11">
        <v>5340.6217428000064</v>
      </c>
      <c r="C1272" s="12">
        <v>0.11055550985254403</v>
      </c>
      <c r="D1272" s="11">
        <v>352.46713800000009</v>
      </c>
      <c r="E1272" s="12">
        <v>7.2963759697812092E-3</v>
      </c>
      <c r="F1272" s="11">
        <v>4836.6490035000015</v>
      </c>
      <c r="G1272" s="12">
        <v>0.10012283631220006</v>
      </c>
      <c r="H1272" s="11">
        <v>24755.058615000049</v>
      </c>
      <c r="I1272" s="12">
        <v>0.51245121980424624</v>
      </c>
      <c r="J1272" s="11">
        <v>2091.8790069999995</v>
      </c>
      <c r="K1272" s="12">
        <v>4.3303712808439379E-2</v>
      </c>
      <c r="L1272" s="11">
        <v>7694.2109240000063</v>
      </c>
      <c r="M1272" s="12">
        <v>0.15927685063309846</v>
      </c>
      <c r="N1272" s="11">
        <v>3236.2648814999998</v>
      </c>
      <c r="O1272" s="12">
        <v>6.699349461969821E-2</v>
      </c>
      <c r="P1272" s="11">
        <v>48307.151311799695</v>
      </c>
      <c r="Q1272" s="12">
        <v>1</v>
      </c>
    </row>
    <row r="1273" spans="1:17">
      <c r="A1273" s="9" t="s">
        <v>2</v>
      </c>
      <c r="B1273" s="22">
        <v>416.43761780000023</v>
      </c>
      <c r="C1273" s="23">
        <v>0.13806314948224854</v>
      </c>
      <c r="D1273" s="22">
        <v>60.598597000000005</v>
      </c>
      <c r="E1273" s="23">
        <v>2.0090483660493014E-2</v>
      </c>
      <c r="F1273" s="22">
        <v>354.85386950000003</v>
      </c>
      <c r="G1273" s="23">
        <v>0.11764605485919866</v>
      </c>
      <c r="H1273" s="22">
        <v>1396.2676629999996</v>
      </c>
      <c r="I1273" s="23">
        <v>0.46290993616859244</v>
      </c>
      <c r="J1273" s="22">
        <v>200.9768829999999</v>
      </c>
      <c r="K1273" s="23">
        <v>6.6630631465746881E-2</v>
      </c>
      <c r="L1273" s="22">
        <v>376.91896000000014</v>
      </c>
      <c r="M1273" s="23">
        <v>0.12496137835022852</v>
      </c>
      <c r="N1273" s="22">
        <v>210.23004049999992</v>
      </c>
      <c r="O1273" s="23">
        <v>6.9698366013490928E-2</v>
      </c>
      <c r="P1273" s="22">
        <v>3016.2836308000028</v>
      </c>
      <c r="Q1273" s="23">
        <v>6.2439691616906288E-2</v>
      </c>
    </row>
    <row r="1274" spans="1:17">
      <c r="A1274" s="9" t="s">
        <v>1</v>
      </c>
      <c r="B1274" s="22">
        <v>2646.2780099999977</v>
      </c>
      <c r="C1274" s="23">
        <v>0.13557778481889246</v>
      </c>
      <c r="D1274" s="22">
        <v>100.077974</v>
      </c>
      <c r="E1274" s="23">
        <v>5.127333550295694E-3</v>
      </c>
      <c r="F1274" s="22">
        <v>1349.2605739999997</v>
      </c>
      <c r="G1274" s="23">
        <v>6.9127188857374608E-2</v>
      </c>
      <c r="H1274" s="22">
        <v>10364.457914000006</v>
      </c>
      <c r="I1274" s="23">
        <v>0.53100628109317993</v>
      </c>
      <c r="J1274" s="22">
        <v>862.91023699999948</v>
      </c>
      <c r="K1274" s="23">
        <v>4.4209813930323028E-2</v>
      </c>
      <c r="L1274" s="22">
        <v>2620.9239809999985</v>
      </c>
      <c r="M1274" s="23">
        <v>0.13427881204465478</v>
      </c>
      <c r="N1274" s="22">
        <v>1574.6135629999999</v>
      </c>
      <c r="O1274" s="23">
        <v>8.0672785705279595E-2</v>
      </c>
      <c r="P1274" s="22">
        <v>19518.522252999999</v>
      </c>
      <c r="Q1274" s="23">
        <v>0.40405036776060788</v>
      </c>
    </row>
    <row r="1275" spans="1:17" ht="15.75" thickBot="1">
      <c r="A1275" s="9" t="s">
        <v>0</v>
      </c>
      <c r="B1275" s="22">
        <v>2277.9061150000002</v>
      </c>
      <c r="C1275" s="23">
        <v>8.8385673758865441E-2</v>
      </c>
      <c r="D1275" s="22">
        <v>191.79056700000001</v>
      </c>
      <c r="E1275" s="23">
        <v>7.4417195569492656E-3</v>
      </c>
      <c r="F1275" s="22">
        <v>3132.5345600000001</v>
      </c>
      <c r="G1275" s="23">
        <v>0.12154635164080548</v>
      </c>
      <c r="H1275" s="22">
        <v>12994.33303799999</v>
      </c>
      <c r="I1275" s="23">
        <v>0.50419675905330885</v>
      </c>
      <c r="J1275" s="22">
        <v>1027.9918869999999</v>
      </c>
      <c r="K1275" s="23">
        <v>3.9887401395883454E-2</v>
      </c>
      <c r="L1275" s="22">
        <v>4696.367983000001</v>
      </c>
      <c r="M1275" s="23">
        <v>0.18222509069344106</v>
      </c>
      <c r="N1275" s="22">
        <v>1451.421278</v>
      </c>
      <c r="O1275" s="23">
        <v>5.6317003900743963E-2</v>
      </c>
      <c r="P1275" s="22">
        <v>25772.345428000055</v>
      </c>
      <c r="Q1275" s="23">
        <v>0.53350994062249335</v>
      </c>
    </row>
    <row r="1276" spans="1:17" ht="15" customHeight="1">
      <c r="A1276" s="13" t="s">
        <v>4</v>
      </c>
      <c r="B1276" s="11">
        <v>6312.2246003509636</v>
      </c>
      <c r="C1276" s="12">
        <v>0.19938280064354955</v>
      </c>
      <c r="D1276" s="11">
        <v>100.15929824988798</v>
      </c>
      <c r="E1276" s="12">
        <v>3.1637089393880078E-3</v>
      </c>
      <c r="F1276" s="11">
        <v>3416.2860494870756</v>
      </c>
      <c r="G1276" s="12">
        <v>0.10790944927852358</v>
      </c>
      <c r="H1276" s="11">
        <v>10060.744273617707</v>
      </c>
      <c r="I1276" s="12">
        <v>0.31778643771974158</v>
      </c>
      <c r="J1276" s="11">
        <v>1944.8541686185952</v>
      </c>
      <c r="K1276" s="12">
        <v>6.1431665622433247E-2</v>
      </c>
      <c r="L1276" s="11">
        <v>7209.0720225990108</v>
      </c>
      <c r="M1276" s="12">
        <v>0.22771131588488328</v>
      </c>
      <c r="N1276" s="11">
        <v>2615.4816117293876</v>
      </c>
      <c r="O1276" s="12">
        <v>8.261462191147563E-2</v>
      </c>
      <c r="P1276" s="11">
        <v>31658.822024652789</v>
      </c>
      <c r="Q1276" s="12">
        <v>1</v>
      </c>
    </row>
    <row r="1277" spans="1:17">
      <c r="A1277" s="9" t="s">
        <v>2</v>
      </c>
      <c r="B1277" s="22">
        <v>281.75669956456278</v>
      </c>
      <c r="C1277" s="23">
        <v>0.14985439703128339</v>
      </c>
      <c r="D1277" s="22">
        <v>12.726059322033898</v>
      </c>
      <c r="E1277" s="23">
        <v>6.7684493367326046E-3</v>
      </c>
      <c r="F1277" s="22">
        <v>226.38216799059805</v>
      </c>
      <c r="G1277" s="23">
        <v>0.12040304040789</v>
      </c>
      <c r="H1277" s="22">
        <v>805.61131377407173</v>
      </c>
      <c r="I1277" s="23">
        <v>0.42847037125919463</v>
      </c>
      <c r="J1277" s="22">
        <v>79.674284935502612</v>
      </c>
      <c r="K1277" s="23">
        <v>4.2375361247346449E-2</v>
      </c>
      <c r="L1277" s="22">
        <v>336.20965526272937</v>
      </c>
      <c r="M1277" s="23">
        <v>0.17881560666828838</v>
      </c>
      <c r="N1277" s="22">
        <v>137.84290392047052</v>
      </c>
      <c r="O1277" s="23">
        <v>7.3312774049264312E-2</v>
      </c>
      <c r="P1277" s="22">
        <v>1880.2030847699693</v>
      </c>
      <c r="Q1277" s="23">
        <v>5.9389546563224975E-2</v>
      </c>
    </row>
    <row r="1278" spans="1:17">
      <c r="A1278" s="9" t="s">
        <v>1</v>
      </c>
      <c r="B1278" s="22">
        <v>2187.5492198670327</v>
      </c>
      <c r="C1278" s="23">
        <v>0.17440743405267833</v>
      </c>
      <c r="D1278" s="22">
        <v>34.522064142753798</v>
      </c>
      <c r="E1278" s="23">
        <v>2.7523516136956395E-3</v>
      </c>
      <c r="F1278" s="22">
        <v>1493.9139883345902</v>
      </c>
      <c r="G1278" s="23">
        <v>0.11910575681432022</v>
      </c>
      <c r="H1278" s="22">
        <v>4700.6104484958878</v>
      </c>
      <c r="I1278" s="23">
        <v>0.37476706780257452</v>
      </c>
      <c r="J1278" s="22">
        <v>877.07602708731656</v>
      </c>
      <c r="K1278" s="23">
        <v>6.9926920027296238E-2</v>
      </c>
      <c r="L1278" s="22">
        <v>2337.3244832704527</v>
      </c>
      <c r="M1278" s="23">
        <v>0.18634861422705737</v>
      </c>
      <c r="N1278" s="22">
        <v>911.75592698293451</v>
      </c>
      <c r="O1278" s="23">
        <v>7.2691855462379218E-2</v>
      </c>
      <c r="P1278" s="22">
        <v>12542.752158180949</v>
      </c>
      <c r="Q1278" s="23">
        <v>0.39618505541406068</v>
      </c>
    </row>
    <row r="1279" spans="1:17" ht="15.75" thickBot="1">
      <c r="A1279" s="9" t="s">
        <v>0</v>
      </c>
      <c r="B1279" s="22">
        <v>3842.9186809193748</v>
      </c>
      <c r="C1279" s="23">
        <v>0.22296056993194957</v>
      </c>
      <c r="D1279" s="22">
        <v>52.911174785100286</v>
      </c>
      <c r="E1279" s="23">
        <v>3.0698296439186251E-3</v>
      </c>
      <c r="F1279" s="22">
        <v>1695.9898931618875</v>
      </c>
      <c r="G1279" s="23">
        <v>9.8398874547024034E-2</v>
      </c>
      <c r="H1279" s="22">
        <v>4554.5225113477536</v>
      </c>
      <c r="I1279" s="23">
        <v>0.26424679240286381</v>
      </c>
      <c r="J1279" s="22">
        <v>988.10385659577605</v>
      </c>
      <c r="K1279" s="23">
        <v>5.732835308548484E-2</v>
      </c>
      <c r="L1279" s="22">
        <v>4535.5378840658377</v>
      </c>
      <c r="M1279" s="23">
        <v>0.26314533185420891</v>
      </c>
      <c r="N1279" s="22">
        <v>1565.8827808259825</v>
      </c>
      <c r="O1279" s="23">
        <v>9.0850248534549177E-2</v>
      </c>
      <c r="P1279" s="22">
        <v>17235.86678170173</v>
      </c>
      <c r="Q1279" s="23">
        <v>0.54442539802270995</v>
      </c>
    </row>
    <row r="1280" spans="1:17" ht="15" customHeight="1">
      <c r="A1280" s="13" t="s">
        <v>3</v>
      </c>
      <c r="B1280" s="11">
        <v>2433.3750158515049</v>
      </c>
      <c r="C1280" s="12">
        <v>0.17377899872352884</v>
      </c>
      <c r="D1280" s="11">
        <v>65.696411544864091</v>
      </c>
      <c r="E1280" s="12">
        <v>4.6916963244978335E-3</v>
      </c>
      <c r="F1280" s="11">
        <v>1594.3020596287647</v>
      </c>
      <c r="G1280" s="12">
        <v>0.11385676838972431</v>
      </c>
      <c r="H1280" s="11">
        <v>3713.114882547653</v>
      </c>
      <c r="I1280" s="12">
        <v>0.26517136990032331</v>
      </c>
      <c r="J1280" s="11">
        <v>1086.2825281146977</v>
      </c>
      <c r="K1280" s="12">
        <v>7.7576653346454624E-2</v>
      </c>
      <c r="L1280" s="11">
        <v>3360.6904935665589</v>
      </c>
      <c r="M1280" s="12">
        <v>0.24000305139457295</v>
      </c>
      <c r="N1280" s="11">
        <v>1749.2376329408016</v>
      </c>
      <c r="O1280" s="12">
        <v>0.12492146192090205</v>
      </c>
      <c r="P1280" s="11">
        <v>14002.69902419479</v>
      </c>
      <c r="Q1280" s="12">
        <v>1</v>
      </c>
    </row>
    <row r="1281" spans="1:21">
      <c r="A1281" s="9" t="s">
        <v>2</v>
      </c>
      <c r="B1281" s="22">
        <v>236.69081951955519</v>
      </c>
      <c r="C1281" s="23">
        <v>0.20454117427381432</v>
      </c>
      <c r="D1281" s="22">
        <v>0</v>
      </c>
      <c r="E1281" s="23">
        <v>0</v>
      </c>
      <c r="F1281" s="22">
        <v>105.62118756028765</v>
      </c>
      <c r="G1281" s="23">
        <v>9.1274692341800495E-2</v>
      </c>
      <c r="H1281" s="22">
        <v>386.38793215548577</v>
      </c>
      <c r="I1281" s="23">
        <v>0.33390497159432236</v>
      </c>
      <c r="J1281" s="22">
        <v>103.12488837354466</v>
      </c>
      <c r="K1281" s="23">
        <v>8.9117464748302733E-2</v>
      </c>
      <c r="L1281" s="22">
        <v>258.43659636902663</v>
      </c>
      <c r="M1281" s="23">
        <v>0.22333322857197324</v>
      </c>
      <c r="N1281" s="22">
        <v>66.917908544671036</v>
      </c>
      <c r="O1281" s="23">
        <v>5.7828468469787356E-2</v>
      </c>
      <c r="P1281" s="22">
        <v>1157.1793325225703</v>
      </c>
      <c r="Q1281" s="23">
        <v>8.2639734705653486E-2</v>
      </c>
    </row>
    <row r="1282" spans="1:21">
      <c r="A1282" s="9" t="s">
        <v>1</v>
      </c>
      <c r="B1282" s="22">
        <v>396.29009882681021</v>
      </c>
      <c r="C1282" s="23">
        <v>0.14960415032626659</v>
      </c>
      <c r="D1282" s="22">
        <v>20.602734729875799</v>
      </c>
      <c r="E1282" s="23">
        <v>7.7777734866082615E-3</v>
      </c>
      <c r="F1282" s="22">
        <v>421.49111308292385</v>
      </c>
      <c r="G1282" s="23">
        <v>0.15911782815043468</v>
      </c>
      <c r="H1282" s="22">
        <v>806.80465006371776</v>
      </c>
      <c r="I1282" s="23">
        <v>0.30457819791458673</v>
      </c>
      <c r="J1282" s="22">
        <v>220.01532459277524</v>
      </c>
      <c r="K1282" s="23">
        <v>8.3058360004206785E-2</v>
      </c>
      <c r="L1282" s="22">
        <v>555.18343716509241</v>
      </c>
      <c r="M1282" s="23">
        <v>0.20958824517237915</v>
      </c>
      <c r="N1282" s="22">
        <v>228.53713970649989</v>
      </c>
      <c r="O1282" s="23">
        <v>8.6275444945517615E-2</v>
      </c>
      <c r="P1282" s="22">
        <v>2648.9244981676957</v>
      </c>
      <c r="Q1282" s="23">
        <v>0.18917242265871093</v>
      </c>
    </row>
    <row r="1283" spans="1:21" ht="15.75" thickBot="1">
      <c r="A1283" s="5" t="s">
        <v>0</v>
      </c>
      <c r="B1283" s="19">
        <v>1800.3940975051394</v>
      </c>
      <c r="C1283" s="20">
        <v>0.17656816450377741</v>
      </c>
      <c r="D1283" s="19">
        <v>45.093676814988292</v>
      </c>
      <c r="E1283" s="20">
        <v>4.42242493295349E-3</v>
      </c>
      <c r="F1283" s="19">
        <v>1067.1897589855519</v>
      </c>
      <c r="G1283" s="20">
        <v>0.10466138340623481</v>
      </c>
      <c r="H1283" s="19">
        <v>2519.9223003284474</v>
      </c>
      <c r="I1283" s="20">
        <v>0.24713370027023226</v>
      </c>
      <c r="J1283" s="19">
        <v>763.14231514837763</v>
      </c>
      <c r="K1283" s="20">
        <v>7.4842856920956796E-2</v>
      </c>
      <c r="L1283" s="19">
        <v>2547.0704600324398</v>
      </c>
      <c r="M1283" s="20">
        <v>0.24979617330057149</v>
      </c>
      <c r="N1283" s="19">
        <v>1453.7825846896301</v>
      </c>
      <c r="O1283" s="20">
        <v>0.14257529666527502</v>
      </c>
      <c r="P1283" s="19">
        <v>10196.595193504561</v>
      </c>
      <c r="Q1283" s="20">
        <v>0.72818784263563829</v>
      </c>
    </row>
    <row r="1288" spans="1:21" ht="15.75" thickBot="1"/>
    <row r="1289" spans="1:21" ht="15" customHeight="1">
      <c r="A1289" s="602" t="s">
        <v>13</v>
      </c>
      <c r="B1289" s="594" t="s">
        <v>374</v>
      </c>
      <c r="C1289" s="595"/>
      <c r="D1289" s="595"/>
      <c r="E1289" s="595"/>
      <c r="F1289" s="595"/>
      <c r="G1289" s="595"/>
      <c r="H1289" s="595"/>
      <c r="I1289" s="595"/>
      <c r="J1289" s="595"/>
      <c r="K1289" s="595"/>
      <c r="L1289" s="595"/>
      <c r="M1289" s="595"/>
      <c r="N1289" s="595"/>
      <c r="O1289" s="595"/>
      <c r="P1289" s="595"/>
      <c r="Q1289" s="595"/>
      <c r="R1289" s="595"/>
      <c r="S1289" s="595"/>
      <c r="T1289" s="595"/>
      <c r="U1289" s="596"/>
    </row>
    <row r="1290" spans="1:21" ht="28.5" customHeight="1">
      <c r="A1290" s="603"/>
      <c r="B1290" s="605" t="s">
        <v>53</v>
      </c>
      <c r="C1290" s="598"/>
      <c r="D1290" s="606" t="s">
        <v>52</v>
      </c>
      <c r="E1290" s="598"/>
      <c r="F1290" s="606" t="s">
        <v>51</v>
      </c>
      <c r="G1290" s="598"/>
      <c r="H1290" s="606" t="s">
        <v>50</v>
      </c>
      <c r="I1290" s="598"/>
      <c r="J1290" s="606" t="s">
        <v>49</v>
      </c>
      <c r="K1290" s="598"/>
      <c r="L1290" s="606" t="s">
        <v>48</v>
      </c>
      <c r="M1290" s="598"/>
      <c r="N1290" s="606" t="s">
        <v>47</v>
      </c>
      <c r="O1290" s="598"/>
      <c r="P1290" s="606" t="s">
        <v>46</v>
      </c>
      <c r="Q1290" s="598"/>
      <c r="R1290" s="606" t="s">
        <v>45</v>
      </c>
      <c r="S1290" s="598"/>
      <c r="T1290" s="607" t="s">
        <v>9</v>
      </c>
      <c r="U1290" s="601"/>
    </row>
    <row r="1291" spans="1:21" ht="15.75" thickBot="1">
      <c r="A1291" s="604"/>
      <c r="B1291" s="16" t="s">
        <v>7</v>
      </c>
      <c r="C1291" s="16" t="s">
        <v>8</v>
      </c>
      <c r="D1291" s="16" t="s">
        <v>7</v>
      </c>
      <c r="E1291" s="16" t="s">
        <v>8</v>
      </c>
      <c r="F1291" s="16" t="s">
        <v>7</v>
      </c>
      <c r="G1291" s="16" t="s">
        <v>8</v>
      </c>
      <c r="H1291" s="16" t="s">
        <v>7</v>
      </c>
      <c r="I1291" s="16" t="s">
        <v>8</v>
      </c>
      <c r="J1291" s="16" t="s">
        <v>7</v>
      </c>
      <c r="K1291" s="16" t="s">
        <v>8</v>
      </c>
      <c r="L1291" s="16" t="s">
        <v>7</v>
      </c>
      <c r="M1291" s="16" t="s">
        <v>8</v>
      </c>
      <c r="N1291" s="16" t="s">
        <v>7</v>
      </c>
      <c r="O1291" s="16" t="s">
        <v>8</v>
      </c>
      <c r="P1291" s="16" t="s">
        <v>7</v>
      </c>
      <c r="Q1291" s="16" t="s">
        <v>8</v>
      </c>
      <c r="R1291" s="16" t="s">
        <v>7</v>
      </c>
      <c r="S1291" s="16" t="s">
        <v>8</v>
      </c>
      <c r="T1291" s="16" t="s">
        <v>7</v>
      </c>
      <c r="U1291" s="15" t="s">
        <v>6</v>
      </c>
    </row>
    <row r="1292" spans="1:21" ht="15" customHeight="1">
      <c r="A1292" s="14" t="s">
        <v>5</v>
      </c>
      <c r="B1292" s="11">
        <v>3036.2558989999984</v>
      </c>
      <c r="C1292" s="12">
        <v>6.2853134919970965E-2</v>
      </c>
      <c r="D1292" s="11">
        <v>5372.2875500000027</v>
      </c>
      <c r="E1292" s="12">
        <v>0.11121101957191475</v>
      </c>
      <c r="F1292" s="11">
        <v>2022.8004989999995</v>
      </c>
      <c r="G1292" s="12">
        <v>4.1873727679444063E-2</v>
      </c>
      <c r="H1292" s="11">
        <v>6345.4509205000022</v>
      </c>
      <c r="I1292" s="12">
        <v>0.13135634679725022</v>
      </c>
      <c r="J1292" s="11">
        <v>6699.6890650000087</v>
      </c>
      <c r="K1292" s="12">
        <v>0.13868938414018042</v>
      </c>
      <c r="L1292" s="11">
        <v>8986.6627493000015</v>
      </c>
      <c r="M1292" s="12">
        <v>0.18603172626130168</v>
      </c>
      <c r="N1292" s="11">
        <v>2238.2410494999995</v>
      </c>
      <c r="O1292" s="12">
        <v>4.6333534243267992E-2</v>
      </c>
      <c r="P1292" s="11">
        <v>6362.6318750000028</v>
      </c>
      <c r="Q1292" s="12">
        <v>0.13171200748171297</v>
      </c>
      <c r="R1292" s="11">
        <v>7243.1317045000069</v>
      </c>
      <c r="S1292" s="12">
        <v>0.1499391189049637</v>
      </c>
      <c r="T1292" s="11">
        <v>48307.151311799695</v>
      </c>
      <c r="U1292" s="10">
        <v>1</v>
      </c>
    </row>
    <row r="1293" spans="1:21">
      <c r="A1293" s="9" t="s">
        <v>2</v>
      </c>
      <c r="B1293" s="22">
        <v>334.64408500000013</v>
      </c>
      <c r="C1293" s="23">
        <v>0.11094582803250606</v>
      </c>
      <c r="D1293" s="22">
        <v>210.23741199999995</v>
      </c>
      <c r="E1293" s="23">
        <v>6.9700809914961179E-2</v>
      </c>
      <c r="F1293" s="22">
        <v>115.246317</v>
      </c>
      <c r="G1293" s="23">
        <v>3.8208050404541519E-2</v>
      </c>
      <c r="H1293" s="22">
        <v>431.20663450000012</v>
      </c>
      <c r="I1293" s="23">
        <v>0.1429595778383852</v>
      </c>
      <c r="J1293" s="22">
        <v>367.66132000000005</v>
      </c>
      <c r="K1293" s="23">
        <v>0.12189215770218731</v>
      </c>
      <c r="L1293" s="22">
        <v>450.76772130000012</v>
      </c>
      <c r="M1293" s="23">
        <v>0.14944473944595318</v>
      </c>
      <c r="N1293" s="22">
        <v>207.42983449999997</v>
      </c>
      <c r="O1293" s="23">
        <v>6.8770003053387846E-2</v>
      </c>
      <c r="P1293" s="22">
        <v>283.6153349999999</v>
      </c>
      <c r="Q1293" s="23">
        <v>9.4028072195842277E-2</v>
      </c>
      <c r="R1293" s="22">
        <v>615.47497150000015</v>
      </c>
      <c r="S1293" s="23">
        <v>0.2040507614122346</v>
      </c>
      <c r="T1293" s="22">
        <v>3016.2836308000028</v>
      </c>
      <c r="U1293" s="21">
        <v>6.2439691616906288E-2</v>
      </c>
    </row>
    <row r="1294" spans="1:21">
      <c r="A1294" s="9" t="s">
        <v>1</v>
      </c>
      <c r="B1294" s="22">
        <v>1521.9698789999993</v>
      </c>
      <c r="C1294" s="23">
        <v>7.7975671481280942E-2</v>
      </c>
      <c r="D1294" s="22">
        <v>2541.953117999999</v>
      </c>
      <c r="E1294" s="23">
        <v>0.13023286727607161</v>
      </c>
      <c r="F1294" s="22">
        <v>1060.4917449999998</v>
      </c>
      <c r="G1294" s="23">
        <v>5.433258375064752E-2</v>
      </c>
      <c r="H1294" s="22">
        <v>2477.4850619999993</v>
      </c>
      <c r="I1294" s="23">
        <v>0.12692995042794336</v>
      </c>
      <c r="J1294" s="22">
        <v>3077.079688999997</v>
      </c>
      <c r="K1294" s="23">
        <v>0.15764921386541184</v>
      </c>
      <c r="L1294" s="22">
        <v>2544.2587039999994</v>
      </c>
      <c r="M1294" s="23">
        <v>0.13035099025536867</v>
      </c>
      <c r="N1294" s="22">
        <v>634.07661299999995</v>
      </c>
      <c r="O1294" s="23">
        <v>3.2485892363216293E-2</v>
      </c>
      <c r="P1294" s="22">
        <v>2455.8832419999994</v>
      </c>
      <c r="Q1294" s="23">
        <v>0.12582321602868934</v>
      </c>
      <c r="R1294" s="22">
        <v>3205.3242009999967</v>
      </c>
      <c r="S1294" s="23">
        <v>0.16421961455136994</v>
      </c>
      <c r="T1294" s="22">
        <v>19518.522252999999</v>
      </c>
      <c r="U1294" s="21">
        <v>0.40405036776060788</v>
      </c>
    </row>
    <row r="1295" spans="1:21" ht="15.75" thickBot="1">
      <c r="A1295" s="9" t="s">
        <v>0</v>
      </c>
      <c r="B1295" s="22">
        <v>1179.6419350000001</v>
      </c>
      <c r="C1295" s="23">
        <v>4.5771617422075694E-2</v>
      </c>
      <c r="D1295" s="22">
        <v>2620.0970200000002</v>
      </c>
      <c r="E1295" s="23">
        <v>0.10166311899395185</v>
      </c>
      <c r="F1295" s="22">
        <v>847.06243699999993</v>
      </c>
      <c r="G1295" s="23">
        <v>3.2867107084468883E-2</v>
      </c>
      <c r="H1295" s="22">
        <v>3436.7592239999999</v>
      </c>
      <c r="I1295" s="23">
        <v>0.13335065811535235</v>
      </c>
      <c r="J1295" s="22">
        <v>3254.9480559999997</v>
      </c>
      <c r="K1295" s="23">
        <v>0.12629615201663799</v>
      </c>
      <c r="L1295" s="22">
        <v>5991.6363239999982</v>
      </c>
      <c r="M1295" s="23">
        <v>0.23248316070955874</v>
      </c>
      <c r="N1295" s="22">
        <v>1396.734602</v>
      </c>
      <c r="O1295" s="23">
        <v>5.4195090854344E-2</v>
      </c>
      <c r="P1295" s="22">
        <v>3623.1332980000007</v>
      </c>
      <c r="Q1295" s="23">
        <v>0.14058221080894295</v>
      </c>
      <c r="R1295" s="22">
        <v>3422.332531999999</v>
      </c>
      <c r="S1295" s="23">
        <v>0.13279088399466535</v>
      </c>
      <c r="T1295" s="22">
        <v>25772.345428000055</v>
      </c>
      <c r="U1295" s="21">
        <v>0.53350994062249335</v>
      </c>
    </row>
    <row r="1296" spans="1:21" ht="15" customHeight="1">
      <c r="A1296" s="13" t="s">
        <v>4</v>
      </c>
      <c r="B1296" s="11">
        <v>1303.4616858911927</v>
      </c>
      <c r="C1296" s="12">
        <v>4.1172147367839029E-2</v>
      </c>
      <c r="D1296" s="11">
        <v>2259.7083321637724</v>
      </c>
      <c r="E1296" s="12">
        <v>7.1376892368393646E-2</v>
      </c>
      <c r="F1296" s="11">
        <v>1622.7704380320986</v>
      </c>
      <c r="G1296" s="12">
        <v>5.1258080189100025E-2</v>
      </c>
      <c r="H1296" s="11">
        <v>4689.9012100547989</v>
      </c>
      <c r="I1296" s="12">
        <v>0.14813884124945531</v>
      </c>
      <c r="J1296" s="11">
        <v>4330.6553282083805</v>
      </c>
      <c r="K1296" s="12">
        <v>0.13679142340912401</v>
      </c>
      <c r="L1296" s="11">
        <v>6181.440775239289</v>
      </c>
      <c r="M1296" s="12">
        <v>0.19525176174987777</v>
      </c>
      <c r="N1296" s="11">
        <v>1522.3212499175743</v>
      </c>
      <c r="O1296" s="12">
        <v>4.8085214564589279E-2</v>
      </c>
      <c r="P1296" s="11">
        <v>5080.5865647347709</v>
      </c>
      <c r="Q1296" s="12">
        <v>0.16047933055685104</v>
      </c>
      <c r="R1296" s="11">
        <v>4667.9764404107609</v>
      </c>
      <c r="S1296" s="12">
        <v>0.14744630854476515</v>
      </c>
      <c r="T1296" s="11">
        <v>31658.822024652789</v>
      </c>
      <c r="U1296" s="10">
        <v>1</v>
      </c>
    </row>
    <row r="1297" spans="1:21">
      <c r="A1297" s="9" t="s">
        <v>2</v>
      </c>
      <c r="B1297" s="22">
        <v>114.17252309960833</v>
      </c>
      <c r="C1297" s="23">
        <v>6.0723505893820293E-2</v>
      </c>
      <c r="D1297" s="22">
        <v>194.28151549090825</v>
      </c>
      <c r="E1297" s="23">
        <v>0.10333006953590726</v>
      </c>
      <c r="F1297" s="22">
        <v>60.47322225054161</v>
      </c>
      <c r="G1297" s="23">
        <v>3.2163133195763333E-2</v>
      </c>
      <c r="H1297" s="22">
        <v>258.68032538480065</v>
      </c>
      <c r="I1297" s="23">
        <v>0.13758105572752452</v>
      </c>
      <c r="J1297" s="22">
        <v>350.24237846948984</v>
      </c>
      <c r="K1297" s="23">
        <v>0.18627901491414675</v>
      </c>
      <c r="L1297" s="22">
        <v>309.96200511872911</v>
      </c>
      <c r="M1297" s="23">
        <v>0.16485559864755298</v>
      </c>
      <c r="N1297" s="22">
        <v>121.1443451335066</v>
      </c>
      <c r="O1297" s="23">
        <v>6.4431521315330587E-2</v>
      </c>
      <c r="P1297" s="22">
        <v>187.67312017202741</v>
      </c>
      <c r="Q1297" s="23">
        <v>9.9815345316800169E-2</v>
      </c>
      <c r="R1297" s="22">
        <v>283.57364965035765</v>
      </c>
      <c r="S1297" s="23">
        <v>0.15082075545315418</v>
      </c>
      <c r="T1297" s="22">
        <v>1880.2030847699693</v>
      </c>
      <c r="U1297" s="21">
        <v>5.9389546563224975E-2</v>
      </c>
    </row>
    <row r="1298" spans="1:21">
      <c r="A1298" s="9" t="s">
        <v>1</v>
      </c>
      <c r="B1298" s="22">
        <v>847.27051449984958</v>
      </c>
      <c r="C1298" s="23">
        <v>6.7550606423106396E-2</v>
      </c>
      <c r="D1298" s="22">
        <v>1300.0427084284215</v>
      </c>
      <c r="E1298" s="23">
        <v>0.10364891947422201</v>
      </c>
      <c r="F1298" s="22">
        <v>585.21830238809753</v>
      </c>
      <c r="G1298" s="23">
        <v>4.6657886164671744E-2</v>
      </c>
      <c r="H1298" s="22">
        <v>1528.6575224171961</v>
      </c>
      <c r="I1298" s="23">
        <v>0.12187576563251604</v>
      </c>
      <c r="J1298" s="22">
        <v>1653.6303963831404</v>
      </c>
      <c r="K1298" s="23">
        <v>0.13183951779710229</v>
      </c>
      <c r="L1298" s="22">
        <v>1871.7098982433874</v>
      </c>
      <c r="M1298" s="23">
        <v>0.14922641176662124</v>
      </c>
      <c r="N1298" s="22">
        <v>710.82429059523565</v>
      </c>
      <c r="O1298" s="23">
        <v>5.6672114830205268E-2</v>
      </c>
      <c r="P1298" s="22">
        <v>2179.1698243890728</v>
      </c>
      <c r="Q1298" s="23">
        <v>0.17373936731801881</v>
      </c>
      <c r="R1298" s="22">
        <v>1866.2287008365677</v>
      </c>
      <c r="S1298" s="23">
        <v>0.14878941059353781</v>
      </c>
      <c r="T1298" s="22">
        <v>12542.752158180949</v>
      </c>
      <c r="U1298" s="21">
        <v>0.39618505541406068</v>
      </c>
    </row>
    <row r="1299" spans="1:21" ht="15.75" thickBot="1">
      <c r="A1299" s="9" t="s">
        <v>0</v>
      </c>
      <c r="B1299" s="22">
        <v>342.01864829173513</v>
      </c>
      <c r="C1299" s="23">
        <v>1.9843426073287797E-2</v>
      </c>
      <c r="D1299" s="22">
        <v>765.38410824444315</v>
      </c>
      <c r="E1299" s="23">
        <v>4.4406476212557229E-2</v>
      </c>
      <c r="F1299" s="22">
        <v>977.07891339345849</v>
      </c>
      <c r="G1299" s="23">
        <v>5.6688701866201681E-2</v>
      </c>
      <c r="H1299" s="22">
        <v>2902.5633622528039</v>
      </c>
      <c r="I1299" s="23">
        <v>0.16840251778542861</v>
      </c>
      <c r="J1299" s="22">
        <v>2326.7825533557511</v>
      </c>
      <c r="K1299" s="23">
        <v>0.13499655009088107</v>
      </c>
      <c r="L1299" s="22">
        <v>3999.7688718771815</v>
      </c>
      <c r="M1299" s="23">
        <v>0.23206079059067064</v>
      </c>
      <c r="N1299" s="22">
        <v>690.35261418883192</v>
      </c>
      <c r="O1299" s="23">
        <v>4.0053257717316389E-2</v>
      </c>
      <c r="P1299" s="22">
        <v>2713.7436201736732</v>
      </c>
      <c r="Q1299" s="23">
        <v>0.15744747012402588</v>
      </c>
      <c r="R1299" s="22">
        <v>2518.1740899238348</v>
      </c>
      <c r="S1299" s="23">
        <v>0.1461008095396297</v>
      </c>
      <c r="T1299" s="22">
        <v>17235.86678170173</v>
      </c>
      <c r="U1299" s="21">
        <v>0.54442539802270995</v>
      </c>
    </row>
    <row r="1300" spans="1:21" ht="15" customHeight="1">
      <c r="A1300" s="13" t="s">
        <v>3</v>
      </c>
      <c r="B1300" s="11">
        <v>561.87034066105559</v>
      </c>
      <c r="C1300" s="12">
        <v>4.0125859999577143E-2</v>
      </c>
      <c r="D1300" s="11">
        <v>1359.7047175417267</v>
      </c>
      <c r="E1300" s="12">
        <v>9.7103045290935622E-2</v>
      </c>
      <c r="F1300" s="11">
        <v>519.00647026978584</v>
      </c>
      <c r="G1300" s="12">
        <v>3.7064745116138831E-2</v>
      </c>
      <c r="H1300" s="11">
        <v>2065.8723903326468</v>
      </c>
      <c r="I1300" s="12">
        <v>0.14753387091753495</v>
      </c>
      <c r="J1300" s="11">
        <v>2069.6959107709317</v>
      </c>
      <c r="K1300" s="12">
        <v>0.14780692687850924</v>
      </c>
      <c r="L1300" s="11">
        <v>3354.4507455036646</v>
      </c>
      <c r="M1300" s="12">
        <v>0.23955744101245216</v>
      </c>
      <c r="N1300" s="11">
        <v>530.4323436203091</v>
      </c>
      <c r="O1300" s="12">
        <v>3.7880721616867792E-2</v>
      </c>
      <c r="P1300" s="11">
        <v>1249.6852203580063</v>
      </c>
      <c r="Q1300" s="12">
        <v>8.9246024512754124E-2</v>
      </c>
      <c r="R1300" s="11">
        <v>2291.9808851367206</v>
      </c>
      <c r="S1300" s="12">
        <v>0.16368136465523428</v>
      </c>
      <c r="T1300" s="11">
        <v>14002.69902419479</v>
      </c>
      <c r="U1300" s="10">
        <v>1</v>
      </c>
    </row>
    <row r="1301" spans="1:21">
      <c r="A1301" s="9" t="s">
        <v>2</v>
      </c>
      <c r="B1301" s="22">
        <v>73.77481345509004</v>
      </c>
      <c r="C1301" s="23">
        <v>6.3754001978471295E-2</v>
      </c>
      <c r="D1301" s="22">
        <v>78.271538301655127</v>
      </c>
      <c r="E1301" s="23">
        <v>6.763993799563342E-2</v>
      </c>
      <c r="F1301" s="22">
        <v>50.48210230298244</v>
      </c>
      <c r="G1301" s="23">
        <v>4.3625133014547519E-2</v>
      </c>
      <c r="H1301" s="22">
        <v>170.65344637163912</v>
      </c>
      <c r="I1301" s="23">
        <v>0.14747363833367685</v>
      </c>
      <c r="J1301" s="22">
        <v>255.60807068109364</v>
      </c>
      <c r="K1301" s="23">
        <v>0.22088890070641501</v>
      </c>
      <c r="L1301" s="22">
        <v>200.50340837287874</v>
      </c>
      <c r="M1301" s="23">
        <v>0.17326908866907886</v>
      </c>
      <c r="N1301" s="22">
        <v>80.751684396479519</v>
      </c>
      <c r="O1301" s="23">
        <v>6.978320656699466E-2</v>
      </c>
      <c r="P1301" s="22">
        <v>74.961911539406671</v>
      </c>
      <c r="Q1301" s="23">
        <v>6.4779856874901939E-2</v>
      </c>
      <c r="R1301" s="22">
        <v>172.17235710134617</v>
      </c>
      <c r="S1301" s="23">
        <v>0.14878623586028142</v>
      </c>
      <c r="T1301" s="22">
        <v>1157.1793325225703</v>
      </c>
      <c r="U1301" s="21">
        <v>8.2639734705653486E-2</v>
      </c>
    </row>
    <row r="1302" spans="1:21">
      <c r="A1302" s="9" t="s">
        <v>1</v>
      </c>
      <c r="B1302" s="22">
        <v>74.283355672376189</v>
      </c>
      <c r="C1302" s="23">
        <v>2.804283614869325E-2</v>
      </c>
      <c r="D1302" s="22">
        <v>227.91350251163675</v>
      </c>
      <c r="E1302" s="23">
        <v>8.6040014605659104E-2</v>
      </c>
      <c r="F1302" s="22">
        <v>107.06466324750077</v>
      </c>
      <c r="G1302" s="23">
        <v>4.0418163417477226E-2</v>
      </c>
      <c r="H1302" s="22">
        <v>357.37568968842578</v>
      </c>
      <c r="I1302" s="23">
        <v>0.13491350543801017</v>
      </c>
      <c r="J1302" s="22">
        <v>597.72395586829975</v>
      </c>
      <c r="K1302" s="23">
        <v>0.22564778885987696</v>
      </c>
      <c r="L1302" s="22">
        <v>443.61925554083496</v>
      </c>
      <c r="M1302" s="23">
        <v>0.1674714609071318</v>
      </c>
      <c r="N1302" s="22">
        <v>148.31967656159506</v>
      </c>
      <c r="O1302" s="23">
        <v>5.5992413775549359E-2</v>
      </c>
      <c r="P1302" s="22">
        <v>303.18452562942667</v>
      </c>
      <c r="Q1302" s="23">
        <v>0.11445570677425662</v>
      </c>
      <c r="R1302" s="22">
        <v>389.43987344759887</v>
      </c>
      <c r="S1302" s="23">
        <v>0.14701811007334517</v>
      </c>
      <c r="T1302" s="22">
        <v>2648.9244981676957</v>
      </c>
      <c r="U1302" s="21">
        <v>0.18917242265871093</v>
      </c>
    </row>
    <row r="1303" spans="1:21" ht="15.75" thickBot="1">
      <c r="A1303" s="5" t="s">
        <v>0</v>
      </c>
      <c r="B1303" s="19">
        <v>413.81217153358949</v>
      </c>
      <c r="C1303" s="20">
        <v>4.0583367651703603E-2</v>
      </c>
      <c r="D1303" s="19">
        <v>1053.5196767284335</v>
      </c>
      <c r="E1303" s="20">
        <v>0.10332073174774527</v>
      </c>
      <c r="F1303" s="19">
        <v>361.45970471930275</v>
      </c>
      <c r="G1303" s="20">
        <v>3.5449059010360634E-2</v>
      </c>
      <c r="H1303" s="19">
        <v>1537.84325427258</v>
      </c>
      <c r="I1303" s="20">
        <v>0.1508192906640265</v>
      </c>
      <c r="J1303" s="19">
        <v>1216.363884221536</v>
      </c>
      <c r="K1303" s="20">
        <v>0.11929118113822783</v>
      </c>
      <c r="L1303" s="19">
        <v>2710.3280815899502</v>
      </c>
      <c r="M1303" s="20">
        <v>0.26580716701556262</v>
      </c>
      <c r="N1303" s="19">
        <v>301.36098266223462</v>
      </c>
      <c r="O1303" s="20">
        <v>2.9555059992399001E-2</v>
      </c>
      <c r="P1303" s="19">
        <v>871.53878318917282</v>
      </c>
      <c r="Q1303" s="20">
        <v>8.5473510191358848E-2</v>
      </c>
      <c r="R1303" s="19">
        <v>1730.3686545877738</v>
      </c>
      <c r="S1303" s="20">
        <v>0.16970063258861681</v>
      </c>
      <c r="T1303" s="19">
        <v>10196.595193504561</v>
      </c>
      <c r="U1303" s="18">
        <v>0.72818784263563829</v>
      </c>
    </row>
    <row r="1308" spans="1:21" ht="15.75" thickBot="1"/>
    <row r="1309" spans="1:21" ht="21" customHeight="1">
      <c r="A1309" s="602" t="s">
        <v>13</v>
      </c>
      <c r="B1309" s="594" t="s">
        <v>375</v>
      </c>
      <c r="C1309" s="595"/>
      <c r="D1309" s="595"/>
      <c r="E1309" s="595"/>
      <c r="F1309" s="595"/>
      <c r="G1309" s="596"/>
    </row>
    <row r="1310" spans="1:21">
      <c r="A1310" s="603"/>
      <c r="B1310" s="597" t="s">
        <v>27</v>
      </c>
      <c r="C1310" s="598"/>
      <c r="D1310" s="599" t="s">
        <v>26</v>
      </c>
      <c r="E1310" s="598"/>
      <c r="F1310" s="600" t="s">
        <v>9</v>
      </c>
      <c r="G1310" s="601"/>
    </row>
    <row r="1311" spans="1:21" ht="15.75" thickBot="1">
      <c r="A1311" s="604"/>
      <c r="B1311" s="16" t="s">
        <v>7</v>
      </c>
      <c r="C1311" s="16" t="s">
        <v>8</v>
      </c>
      <c r="D1311" s="16" t="s">
        <v>7</v>
      </c>
      <c r="E1311" s="16" t="s">
        <v>8</v>
      </c>
      <c r="F1311" s="16" t="s">
        <v>7</v>
      </c>
      <c r="G1311" s="15" t="s">
        <v>6</v>
      </c>
    </row>
    <row r="1312" spans="1:21" ht="15" customHeight="1">
      <c r="A1312" s="14" t="s">
        <v>5</v>
      </c>
      <c r="B1312" s="11">
        <v>191840.50405410584</v>
      </c>
      <c r="C1312" s="12">
        <v>0.76906026628561686</v>
      </c>
      <c r="D1312" s="11">
        <v>57607.442308599777</v>
      </c>
      <c r="E1312" s="12">
        <v>0.23093973371436655</v>
      </c>
      <c r="F1312" s="11">
        <v>249447.94636270974</v>
      </c>
      <c r="G1312" s="10">
        <v>1</v>
      </c>
    </row>
    <row r="1313" spans="1:7">
      <c r="A1313" s="9" t="s">
        <v>2</v>
      </c>
      <c r="B1313" s="22">
        <v>9292.0164631000625</v>
      </c>
      <c r="C1313" s="23">
        <v>0.80979840806280767</v>
      </c>
      <c r="D1313" s="22">
        <v>2182.4645565999972</v>
      </c>
      <c r="E1313" s="23">
        <v>0.19020159193718672</v>
      </c>
      <c r="F1313" s="22">
        <v>11474.481019700124</v>
      </c>
      <c r="G1313" s="21">
        <v>4.599950084582239E-2</v>
      </c>
    </row>
    <row r="1314" spans="1:7">
      <c r="A1314" s="9" t="s">
        <v>1</v>
      </c>
      <c r="B1314" s="22">
        <v>65537.986824999825</v>
      </c>
      <c r="C1314" s="23">
        <v>0.77464374609703823</v>
      </c>
      <c r="D1314" s="22">
        <v>19066.048456000019</v>
      </c>
      <c r="E1314" s="23">
        <v>0.22535625390295999</v>
      </c>
      <c r="F1314" s="22">
        <v>84604.035280999989</v>
      </c>
      <c r="G1314" s="21">
        <v>0.33916509041121351</v>
      </c>
    </row>
    <row r="1315" spans="1:7" ht="15.75" thickBot="1">
      <c r="A1315" s="9" t="s">
        <v>0</v>
      </c>
      <c r="B1315" s="22">
        <v>117010.50076599936</v>
      </c>
      <c r="C1315" s="23">
        <v>0.76293235698077111</v>
      </c>
      <c r="D1315" s="22">
        <v>36358.929296000075</v>
      </c>
      <c r="E1315" s="23">
        <v>0.23706764301922381</v>
      </c>
      <c r="F1315" s="22">
        <v>153369.4300620002</v>
      </c>
      <c r="G1315" s="21">
        <v>0.6148354087429263</v>
      </c>
    </row>
    <row r="1316" spans="1:7" ht="15" customHeight="1">
      <c r="A1316" s="13" t="s">
        <v>4</v>
      </c>
      <c r="B1316" s="11">
        <v>167917.43585634767</v>
      </c>
      <c r="C1316" s="12">
        <v>0.76605958407953567</v>
      </c>
      <c r="D1316" s="11">
        <v>51278.87647503605</v>
      </c>
      <c r="E1316" s="12">
        <v>0.23394041592046513</v>
      </c>
      <c r="F1316" s="11">
        <v>219196.31233138355</v>
      </c>
      <c r="G1316" s="10">
        <v>1</v>
      </c>
    </row>
    <row r="1317" spans="1:7">
      <c r="A1317" s="9" t="s">
        <v>2</v>
      </c>
      <c r="B1317" s="22">
        <v>8258.4557750389667</v>
      </c>
      <c r="C1317" s="23">
        <v>0.80179533398863956</v>
      </c>
      <c r="D1317" s="22">
        <v>2041.4991198793218</v>
      </c>
      <c r="E1317" s="23">
        <v>0.19820466601135625</v>
      </c>
      <c r="F1317" s="22">
        <v>10299.954894918332</v>
      </c>
      <c r="G1317" s="21">
        <v>4.6989635844542584E-2</v>
      </c>
    </row>
    <row r="1318" spans="1:7">
      <c r="A1318" s="9" t="s">
        <v>1</v>
      </c>
      <c r="B1318" s="22">
        <v>57618.509242939908</v>
      </c>
      <c r="C1318" s="23">
        <v>0.77179673121538483</v>
      </c>
      <c r="D1318" s="22">
        <v>17036.52220841782</v>
      </c>
      <c r="E1318" s="23">
        <v>0.22820326878461056</v>
      </c>
      <c r="F1318" s="22">
        <v>74655.031451358067</v>
      </c>
      <c r="G1318" s="21">
        <v>0.34058525281435265</v>
      </c>
    </row>
    <row r="1319" spans="1:7" ht="15.75" thickBot="1">
      <c r="A1319" s="9" t="s">
        <v>0</v>
      </c>
      <c r="B1319" s="22">
        <v>102040.47083836747</v>
      </c>
      <c r="C1319" s="23">
        <v>0.76012710757705892</v>
      </c>
      <c r="D1319" s="22">
        <v>32200.855146738901</v>
      </c>
      <c r="E1319" s="23">
        <v>0.23987289242294613</v>
      </c>
      <c r="F1319" s="22">
        <v>134241.32598510571</v>
      </c>
      <c r="G1319" s="21">
        <v>0.61242511134109823</v>
      </c>
    </row>
    <row r="1320" spans="1:7" ht="15" customHeight="1">
      <c r="A1320" s="13" t="s">
        <v>3</v>
      </c>
      <c r="B1320" s="11">
        <v>107232.53373849159</v>
      </c>
      <c r="C1320" s="12">
        <v>0.73815513037582747</v>
      </c>
      <c r="D1320" s="11">
        <v>38038.465981979571</v>
      </c>
      <c r="E1320" s="12">
        <v>0.26184486962416875</v>
      </c>
      <c r="F1320" s="11">
        <v>145270.99972047171</v>
      </c>
      <c r="G1320" s="10">
        <v>1</v>
      </c>
    </row>
    <row r="1321" spans="1:7">
      <c r="A1321" s="9" t="s">
        <v>2</v>
      </c>
      <c r="B1321" s="22">
        <v>6686.3903517949248</v>
      </c>
      <c r="C1321" s="23">
        <v>0.79089968393228627</v>
      </c>
      <c r="D1321" s="22">
        <v>1767.7669675642569</v>
      </c>
      <c r="E1321" s="23">
        <v>0.20910031606772517</v>
      </c>
      <c r="F1321" s="22">
        <v>8454.1573193590848</v>
      </c>
      <c r="G1321" s="21">
        <v>5.8195767466503623E-2</v>
      </c>
    </row>
    <row r="1322" spans="1:7">
      <c r="A1322" s="9" t="s">
        <v>1</v>
      </c>
      <c r="B1322" s="22">
        <v>17430.513042541068</v>
      </c>
      <c r="C1322" s="23">
        <v>0.77135771297370637</v>
      </c>
      <c r="D1322" s="22">
        <v>5166.6720887822448</v>
      </c>
      <c r="E1322" s="23">
        <v>0.2286422870262893</v>
      </c>
      <c r="F1322" s="22">
        <v>22597.185131323411</v>
      </c>
      <c r="G1322" s="21">
        <v>0.15555193517498039</v>
      </c>
    </row>
    <row r="1323" spans="1:7" ht="15.75" thickBot="1">
      <c r="A1323" s="5" t="s">
        <v>0</v>
      </c>
      <c r="B1323" s="19">
        <v>83115.630344156918</v>
      </c>
      <c r="C1323" s="20">
        <v>0.72768236511020068</v>
      </c>
      <c r="D1323" s="19">
        <v>31104.026925633014</v>
      </c>
      <c r="E1323" s="20">
        <v>0.27231763488980343</v>
      </c>
      <c r="F1323" s="19">
        <v>114219.65726978947</v>
      </c>
      <c r="G1323" s="18">
        <v>0.78625229735851776</v>
      </c>
    </row>
    <row r="1328" spans="1:7" ht="15.75" thickBot="1"/>
    <row r="1329" spans="1:20" ht="15" customHeight="1">
      <c r="A1329" s="734" t="s">
        <v>13</v>
      </c>
      <c r="B1329" s="642" t="s">
        <v>376</v>
      </c>
      <c r="C1329" s="589"/>
      <c r="D1329" s="589"/>
      <c r="E1329" s="589"/>
      <c r="F1329" s="589"/>
      <c r="G1329" s="589"/>
      <c r="H1329" s="589"/>
      <c r="I1329" s="589"/>
      <c r="J1329" s="589"/>
      <c r="K1329" s="589"/>
      <c r="L1329" s="589"/>
      <c r="M1329" s="589"/>
      <c r="N1329" s="589"/>
      <c r="O1329" s="589"/>
      <c r="P1329" s="589"/>
      <c r="Q1329" s="589"/>
      <c r="R1329" s="589"/>
      <c r="S1329" s="590"/>
      <c r="T1329" s="1"/>
    </row>
    <row r="1330" spans="1:20" ht="42" customHeight="1">
      <c r="A1330" s="735"/>
      <c r="B1330" s="732" t="s">
        <v>44</v>
      </c>
      <c r="C1330" s="592"/>
      <c r="D1330" s="733" t="s">
        <v>43</v>
      </c>
      <c r="E1330" s="592"/>
      <c r="F1330" s="733" t="s">
        <v>42</v>
      </c>
      <c r="G1330" s="592"/>
      <c r="H1330" s="733" t="s">
        <v>41</v>
      </c>
      <c r="I1330" s="592"/>
      <c r="J1330" s="733" t="s">
        <v>40</v>
      </c>
      <c r="K1330" s="592"/>
      <c r="L1330" s="733" t="s">
        <v>39</v>
      </c>
      <c r="M1330" s="592"/>
      <c r="N1330" s="733" t="s">
        <v>38</v>
      </c>
      <c r="O1330" s="592"/>
      <c r="P1330" s="733" t="s">
        <v>14</v>
      </c>
      <c r="Q1330" s="592"/>
      <c r="R1330" s="731" t="s">
        <v>9</v>
      </c>
      <c r="S1330" s="663"/>
      <c r="T1330" s="1"/>
    </row>
    <row r="1331" spans="1:20" ht="15.75" thickBot="1">
      <c r="A1331" s="736"/>
      <c r="B1331" s="16" t="s">
        <v>7</v>
      </c>
      <c r="C1331" s="16" t="s">
        <v>8</v>
      </c>
      <c r="D1331" s="16" t="s">
        <v>7</v>
      </c>
      <c r="E1331" s="16" t="s">
        <v>8</v>
      </c>
      <c r="F1331" s="16" t="s">
        <v>7</v>
      </c>
      <c r="G1331" s="16" t="s">
        <v>8</v>
      </c>
      <c r="H1331" s="16" t="s">
        <v>7</v>
      </c>
      <c r="I1331" s="16" t="s">
        <v>8</v>
      </c>
      <c r="J1331" s="16" t="s">
        <v>7</v>
      </c>
      <c r="K1331" s="16" t="s">
        <v>8</v>
      </c>
      <c r="L1331" s="16" t="s">
        <v>7</v>
      </c>
      <c r="M1331" s="16" t="s">
        <v>8</v>
      </c>
      <c r="N1331" s="16" t="s">
        <v>7</v>
      </c>
      <c r="O1331" s="16" t="s">
        <v>8</v>
      </c>
      <c r="P1331" s="16" t="s">
        <v>7</v>
      </c>
      <c r="Q1331" s="16" t="s">
        <v>8</v>
      </c>
      <c r="R1331" s="16" t="s">
        <v>7</v>
      </c>
      <c r="S1331" s="15" t="s">
        <v>6</v>
      </c>
      <c r="T1331" s="1"/>
    </row>
    <row r="1332" spans="1:20" ht="15.75" customHeight="1">
      <c r="A1332" s="14" t="s">
        <v>5</v>
      </c>
      <c r="B1332" s="17">
        <v>70955.259864399588</v>
      </c>
      <c r="C1332" s="12">
        <v>0.36986589570463019</v>
      </c>
      <c r="D1332" s="17">
        <v>44288.255670299863</v>
      </c>
      <c r="E1332" s="12">
        <v>0.23085977535697569</v>
      </c>
      <c r="F1332" s="17">
        <v>4081.7353092999988</v>
      </c>
      <c r="G1332" s="12">
        <v>2.1276712805908832E-2</v>
      </c>
      <c r="H1332" s="17">
        <v>9491.7925034999989</v>
      </c>
      <c r="I1332" s="12">
        <v>4.94775206638478E-2</v>
      </c>
      <c r="J1332" s="17">
        <v>31252.444740600065</v>
      </c>
      <c r="K1332" s="12">
        <v>0.16290847907585651</v>
      </c>
      <c r="L1332" s="17">
        <v>14501.201650000001</v>
      </c>
      <c r="M1332" s="12">
        <v>7.5589885053211431E-2</v>
      </c>
      <c r="N1332" s="17">
        <v>11311.726927000009</v>
      </c>
      <c r="O1332" s="12">
        <v>5.8964226469138653E-2</v>
      </c>
      <c r="P1332" s="17">
        <v>5958.087389000003</v>
      </c>
      <c r="Q1332" s="12">
        <v>3.1057504870398017E-2</v>
      </c>
      <c r="R1332" s="17">
        <v>191840.50405410584</v>
      </c>
      <c r="S1332" s="10">
        <v>1</v>
      </c>
      <c r="T1332" s="1"/>
    </row>
    <row r="1333" spans="1:20">
      <c r="A1333" s="9" t="s">
        <v>2</v>
      </c>
      <c r="B1333" s="7">
        <v>3518.0155334000101</v>
      </c>
      <c r="C1333" s="8">
        <v>0.37860625273002441</v>
      </c>
      <c r="D1333" s="7">
        <v>2310.4781502999986</v>
      </c>
      <c r="E1333" s="8">
        <v>0.24865196477806947</v>
      </c>
      <c r="F1333" s="7">
        <v>225.50389129999996</v>
      </c>
      <c r="G1333" s="8">
        <v>2.4268563470104518E-2</v>
      </c>
      <c r="H1333" s="7">
        <v>525.9121895000003</v>
      </c>
      <c r="I1333" s="8">
        <v>5.6598284300127262E-2</v>
      </c>
      <c r="J1333" s="7">
        <v>1380.8438325999978</v>
      </c>
      <c r="K1333" s="8">
        <v>0.14860540100025951</v>
      </c>
      <c r="L1333" s="7">
        <v>633.58971500000064</v>
      </c>
      <c r="M1333" s="8">
        <v>6.8186460658574685E-2</v>
      </c>
      <c r="N1333" s="7">
        <v>569.82464300000049</v>
      </c>
      <c r="O1333" s="8">
        <v>6.1324110354609933E-2</v>
      </c>
      <c r="P1333" s="7">
        <v>127.84850800000001</v>
      </c>
      <c r="Q1333" s="8">
        <v>1.3758962708224298E-2</v>
      </c>
      <c r="R1333" s="7">
        <v>9292.0164631000625</v>
      </c>
      <c r="S1333" s="6">
        <v>4.8436155382907999E-2</v>
      </c>
      <c r="T1333" s="1"/>
    </row>
    <row r="1334" spans="1:20">
      <c r="A1334" s="9" t="s">
        <v>1</v>
      </c>
      <c r="B1334" s="7">
        <v>24458.241722000064</v>
      </c>
      <c r="C1334" s="8">
        <v>0.37319183738903516</v>
      </c>
      <c r="D1334" s="7">
        <v>14669.084121999991</v>
      </c>
      <c r="E1334" s="8">
        <v>0.22382567473684417</v>
      </c>
      <c r="F1334" s="7">
        <v>1238.1868480000001</v>
      </c>
      <c r="G1334" s="8">
        <v>1.8892659173468645E-2</v>
      </c>
      <c r="H1334" s="7">
        <v>3234.4848669999969</v>
      </c>
      <c r="I1334" s="8">
        <v>4.9352826104298107E-2</v>
      </c>
      <c r="J1334" s="7">
        <v>10863.444855000009</v>
      </c>
      <c r="K1334" s="8">
        <v>0.16575798832526981</v>
      </c>
      <c r="L1334" s="7">
        <v>4741.0379919999987</v>
      </c>
      <c r="M1334" s="8">
        <v>7.2340305549201026E-2</v>
      </c>
      <c r="N1334" s="7">
        <v>4769.6080139999976</v>
      </c>
      <c r="O1334" s="8">
        <v>7.2776236272497227E-2</v>
      </c>
      <c r="P1334" s="7">
        <v>1563.8984049999999</v>
      </c>
      <c r="Q1334" s="8">
        <v>2.3862472449389341E-2</v>
      </c>
      <c r="R1334" s="7">
        <v>65537.986824999825</v>
      </c>
      <c r="S1334" s="6">
        <v>0.34162747407354488</v>
      </c>
      <c r="T1334" s="1"/>
    </row>
    <row r="1335" spans="1:20" ht="15.75" thickBot="1">
      <c r="A1335" s="9" t="s">
        <v>0</v>
      </c>
      <c r="B1335" s="7">
        <v>42979.002609000017</v>
      </c>
      <c r="C1335" s="8">
        <v>0.36730893661373643</v>
      </c>
      <c r="D1335" s="7">
        <v>27308.693398000029</v>
      </c>
      <c r="E1335" s="8">
        <v>0.23338668939305424</v>
      </c>
      <c r="F1335" s="7">
        <v>2618.0445700000005</v>
      </c>
      <c r="G1335" s="8">
        <v>2.2374441207081354E-2</v>
      </c>
      <c r="H1335" s="7">
        <v>5731.3954470000008</v>
      </c>
      <c r="I1335" s="8">
        <v>4.8981889740492557E-2</v>
      </c>
      <c r="J1335" s="7">
        <v>19008.156053000002</v>
      </c>
      <c r="K1335" s="8">
        <v>0.16244829249139792</v>
      </c>
      <c r="L1335" s="7">
        <v>9126.5739429999976</v>
      </c>
      <c r="M1335" s="8">
        <v>7.7997905173071244E-2</v>
      </c>
      <c r="N1335" s="7">
        <v>5972.2942700000003</v>
      </c>
      <c r="O1335" s="8">
        <v>5.1040669263894098E-2</v>
      </c>
      <c r="P1335" s="7">
        <v>4266.3404759999994</v>
      </c>
      <c r="Q1335" s="8">
        <v>3.6461176117278039E-2</v>
      </c>
      <c r="R1335" s="7">
        <v>117010.50076599936</v>
      </c>
      <c r="S1335" s="6">
        <v>0.6099363705435128</v>
      </c>
      <c r="T1335" s="1"/>
    </row>
    <row r="1336" spans="1:20" ht="15" customHeight="1">
      <c r="A1336" s="13" t="s">
        <v>4</v>
      </c>
      <c r="B1336" s="11">
        <v>61116.562441239272</v>
      </c>
      <c r="C1336" s="12">
        <v>0.36396793536988092</v>
      </c>
      <c r="D1336" s="11">
        <v>48967.957805886916</v>
      </c>
      <c r="E1336" s="12">
        <v>0.29161925654807347</v>
      </c>
      <c r="F1336" s="11">
        <v>3049.6137259938059</v>
      </c>
      <c r="G1336" s="10">
        <v>1.8161388127691108E-2</v>
      </c>
      <c r="H1336" s="11">
        <v>8948.0046149637565</v>
      </c>
      <c r="I1336" s="12">
        <v>5.3288120851361261E-2</v>
      </c>
      <c r="J1336" s="11">
        <v>22781.640146247635</v>
      </c>
      <c r="K1336" s="12">
        <v>0.13567167715529665</v>
      </c>
      <c r="L1336" s="11">
        <v>11838.234588410174</v>
      </c>
      <c r="M1336" s="10">
        <v>7.0500329689036648E-2</v>
      </c>
      <c r="N1336" s="11">
        <v>5886.1781783502456</v>
      </c>
      <c r="O1336" s="12">
        <v>3.505400227398562E-2</v>
      </c>
      <c r="P1336" s="11">
        <v>5329.2443552559671</v>
      </c>
      <c r="Q1336" s="12">
        <v>3.1737289984674982E-2</v>
      </c>
      <c r="R1336" s="11">
        <v>167917.43585634767</v>
      </c>
      <c r="S1336" s="10">
        <v>1</v>
      </c>
      <c r="T1336" s="1"/>
    </row>
    <row r="1337" spans="1:20">
      <c r="A1337" s="9" t="s">
        <v>2</v>
      </c>
      <c r="B1337" s="7">
        <v>3337.8755097909439</v>
      </c>
      <c r="C1337" s="8">
        <v>0.40417671302177488</v>
      </c>
      <c r="D1337" s="7">
        <v>1973.2379018205379</v>
      </c>
      <c r="E1337" s="8">
        <v>0.23893545664851942</v>
      </c>
      <c r="F1337" s="7">
        <v>142.36568012459151</v>
      </c>
      <c r="G1337" s="8">
        <v>1.7238777321407859E-2</v>
      </c>
      <c r="H1337" s="7">
        <v>473.77989336934849</v>
      </c>
      <c r="I1337" s="8">
        <v>5.7369065873227737E-2</v>
      </c>
      <c r="J1337" s="7">
        <v>1177.7942047688762</v>
      </c>
      <c r="K1337" s="8">
        <v>0.14261675994303169</v>
      </c>
      <c r="L1337" s="7">
        <v>551.38493697390368</v>
      </c>
      <c r="M1337" s="8">
        <v>6.6766106399752681E-2</v>
      </c>
      <c r="N1337" s="7">
        <v>395.75661556948359</v>
      </c>
      <c r="O1337" s="8">
        <v>4.7921382199036626E-2</v>
      </c>
      <c r="P1337" s="7">
        <v>206.2610326213582</v>
      </c>
      <c r="Q1337" s="8">
        <v>2.497573859325837E-2</v>
      </c>
      <c r="R1337" s="7">
        <v>8258.4557750389667</v>
      </c>
      <c r="S1337" s="6">
        <v>4.9181645330173003E-2</v>
      </c>
      <c r="T1337" s="1"/>
    </row>
    <row r="1338" spans="1:20">
      <c r="A1338" s="9" t="s">
        <v>1</v>
      </c>
      <c r="B1338" s="7">
        <v>21824.848744245577</v>
      </c>
      <c r="C1338" s="8">
        <v>0.37878190586681676</v>
      </c>
      <c r="D1338" s="7">
        <v>15921.211673387799</v>
      </c>
      <c r="E1338" s="8">
        <v>0.27632113157003713</v>
      </c>
      <c r="F1338" s="7">
        <v>1257.1209072757877</v>
      </c>
      <c r="G1338" s="8">
        <v>2.1818004731349844E-2</v>
      </c>
      <c r="H1338" s="7">
        <v>2917.2841568934364</v>
      </c>
      <c r="I1338" s="8">
        <v>5.0631024565268426E-2</v>
      </c>
      <c r="J1338" s="7">
        <v>8222.6556223338885</v>
      </c>
      <c r="K1338" s="8">
        <v>0.14270857976669057</v>
      </c>
      <c r="L1338" s="7">
        <v>3949.294303884787</v>
      </c>
      <c r="M1338" s="8">
        <v>6.8542111827870664E-2</v>
      </c>
      <c r="N1338" s="7">
        <v>2445.4151040541678</v>
      </c>
      <c r="O1338" s="8">
        <v>4.2441485144008799E-2</v>
      </c>
      <c r="P1338" s="7">
        <v>1080.6787308649266</v>
      </c>
      <c r="Q1338" s="8">
        <v>1.8755756527965777E-2</v>
      </c>
      <c r="R1338" s="7">
        <v>57618.509242939908</v>
      </c>
      <c r="S1338" s="6">
        <v>0.34313595219636506</v>
      </c>
      <c r="T1338" s="1"/>
    </row>
    <row r="1339" spans="1:20" ht="15.75" thickBot="1">
      <c r="A1339" s="9" t="s">
        <v>0</v>
      </c>
      <c r="B1339" s="7">
        <v>35953.838187202833</v>
      </c>
      <c r="C1339" s="8">
        <v>0.35234880721154122</v>
      </c>
      <c r="D1339" s="7">
        <v>31073.508230678599</v>
      </c>
      <c r="E1339" s="8">
        <v>0.3045214117043733</v>
      </c>
      <c r="F1339" s="7">
        <v>1650.1271385934272</v>
      </c>
      <c r="G1339" s="8">
        <v>1.6171300710746773E-2</v>
      </c>
      <c r="H1339" s="7">
        <v>5556.9405647009789</v>
      </c>
      <c r="I1339" s="8">
        <v>5.4458201917778254E-2</v>
      </c>
      <c r="J1339" s="7">
        <v>13381.190319144807</v>
      </c>
      <c r="K1339" s="8">
        <v>0.13113610912615906</v>
      </c>
      <c r="L1339" s="7">
        <v>7337.5553475514871</v>
      </c>
      <c r="M1339" s="8">
        <v>7.1908285871928254E-2</v>
      </c>
      <c r="N1339" s="7">
        <v>3045.0064587266015</v>
      </c>
      <c r="O1339" s="8">
        <v>2.9841164331257389E-2</v>
      </c>
      <c r="P1339" s="7">
        <v>4042.304591769685</v>
      </c>
      <c r="Q1339" s="8">
        <v>3.9614719126225044E-2</v>
      </c>
      <c r="R1339" s="7">
        <v>102040.47083836747</v>
      </c>
      <c r="S1339" s="6">
        <v>0.60768240247345406</v>
      </c>
      <c r="T1339" s="1"/>
    </row>
    <row r="1340" spans="1:20" ht="15.75" customHeight="1">
      <c r="A1340" s="13" t="s">
        <v>3</v>
      </c>
      <c r="B1340" s="11">
        <v>37125.349100981235</v>
      </c>
      <c r="C1340" s="12">
        <v>0.34621348397417306</v>
      </c>
      <c r="D1340" s="11">
        <v>32010.837989950993</v>
      </c>
      <c r="E1340" s="12">
        <v>0.29851796720588503</v>
      </c>
      <c r="F1340" s="11">
        <v>2455.3716997822203</v>
      </c>
      <c r="G1340" s="10">
        <v>2.2897637630853201E-2</v>
      </c>
      <c r="H1340" s="11">
        <v>7771.3627387080323</v>
      </c>
      <c r="I1340" s="12">
        <v>7.2472061115893105E-2</v>
      </c>
      <c r="J1340" s="11">
        <v>12113.088962005908</v>
      </c>
      <c r="K1340" s="12">
        <v>0.11296095074603148</v>
      </c>
      <c r="L1340" s="11">
        <v>9362.8497283503621</v>
      </c>
      <c r="M1340" s="10">
        <v>8.7313517660447898E-2</v>
      </c>
      <c r="N1340" s="11">
        <v>3326.3347584684129</v>
      </c>
      <c r="O1340" s="12">
        <v>3.1019828054985245E-2</v>
      </c>
      <c r="P1340" s="11">
        <v>3067.3387602456032</v>
      </c>
      <c r="Q1340" s="12">
        <v>2.8604553611741888E-2</v>
      </c>
      <c r="R1340" s="11">
        <v>107232.53373849159</v>
      </c>
      <c r="S1340" s="10">
        <v>1</v>
      </c>
      <c r="T1340" s="1"/>
    </row>
    <row r="1341" spans="1:20">
      <c r="A1341" s="9" t="s">
        <v>2</v>
      </c>
      <c r="B1341" s="7">
        <v>2591.694566288842</v>
      </c>
      <c r="C1341" s="8">
        <v>0.38760742791409358</v>
      </c>
      <c r="D1341" s="7">
        <v>1858.6587480963799</v>
      </c>
      <c r="E1341" s="8">
        <v>0.27797640435357368</v>
      </c>
      <c r="F1341" s="7">
        <v>78.959316575272823</v>
      </c>
      <c r="G1341" s="8">
        <v>1.1808960054818908E-2</v>
      </c>
      <c r="H1341" s="7">
        <v>400.83568840791344</v>
      </c>
      <c r="I1341" s="8">
        <v>5.9947993957653295E-2</v>
      </c>
      <c r="J1341" s="7">
        <v>717.54118740890124</v>
      </c>
      <c r="K1341" s="8">
        <v>0.10731368491166257</v>
      </c>
      <c r="L1341" s="7">
        <v>569.64729741004317</v>
      </c>
      <c r="M1341" s="8">
        <v>8.5195040588248699E-2</v>
      </c>
      <c r="N1341" s="7">
        <v>339.60207281976932</v>
      </c>
      <c r="O1341" s="8">
        <v>5.0790045892041738E-2</v>
      </c>
      <c r="P1341" s="7">
        <v>129.45147478791571</v>
      </c>
      <c r="Q1341" s="8">
        <v>1.9360442327924391E-2</v>
      </c>
      <c r="R1341" s="7">
        <v>6686.3903517949248</v>
      </c>
      <c r="S1341" s="6">
        <v>6.2354120700915748E-2</v>
      </c>
      <c r="T1341" s="1"/>
    </row>
    <row r="1342" spans="1:20">
      <c r="A1342" s="9" t="s">
        <v>1</v>
      </c>
      <c r="B1342" s="7">
        <v>6671.5146791241323</v>
      </c>
      <c r="C1342" s="8">
        <v>0.38274918603035801</v>
      </c>
      <c r="D1342" s="7">
        <v>5025.9211654185256</v>
      </c>
      <c r="E1342" s="8">
        <v>0.28834040358721608</v>
      </c>
      <c r="F1342" s="7">
        <v>375.32348290188747</v>
      </c>
      <c r="G1342" s="8">
        <v>2.1532555122495224E-2</v>
      </c>
      <c r="H1342" s="7">
        <v>1135.7515012597219</v>
      </c>
      <c r="I1342" s="8">
        <v>6.515881078702597E-2</v>
      </c>
      <c r="J1342" s="7">
        <v>1898.6847614830197</v>
      </c>
      <c r="K1342" s="8">
        <v>0.10892879382546415</v>
      </c>
      <c r="L1342" s="7">
        <v>1310.7320668580546</v>
      </c>
      <c r="M1342" s="8">
        <v>7.5197560947234884E-2</v>
      </c>
      <c r="N1342" s="7">
        <v>711.74699462838021</v>
      </c>
      <c r="O1342" s="8">
        <v>4.0833393308119165E-2</v>
      </c>
      <c r="P1342" s="7">
        <v>300.83839086725169</v>
      </c>
      <c r="Q1342" s="8">
        <v>1.7259296392081104E-2</v>
      </c>
      <c r="R1342" s="7">
        <v>17430.513042541068</v>
      </c>
      <c r="S1342" s="6">
        <v>0.16254873810077947</v>
      </c>
      <c r="T1342" s="1"/>
    </row>
    <row r="1343" spans="1:20" ht="15.75" thickBot="1">
      <c r="A1343" s="5" t="s">
        <v>0</v>
      </c>
      <c r="B1343" s="3">
        <v>27862.139855568195</v>
      </c>
      <c r="C1343" s="4">
        <v>0.33522142273600553</v>
      </c>
      <c r="D1343" s="3">
        <v>25126.258076435948</v>
      </c>
      <c r="E1343" s="4">
        <v>0.30230484894833431</v>
      </c>
      <c r="F1343" s="3">
        <v>2001.088900305059</v>
      </c>
      <c r="G1343" s="4">
        <v>2.407596371487709E-2</v>
      </c>
      <c r="H1343" s="3">
        <v>6234.7755490404052</v>
      </c>
      <c r="I1343" s="4">
        <v>7.5013273956102702E-2</v>
      </c>
      <c r="J1343" s="3">
        <v>9496.8630131140271</v>
      </c>
      <c r="K1343" s="4">
        <v>0.11426085531434176</v>
      </c>
      <c r="L1343" s="3">
        <v>7482.4703640822872</v>
      </c>
      <c r="M1343" s="4">
        <v>9.0024828460057632E-2</v>
      </c>
      <c r="N1343" s="3">
        <v>2274.9856910202629</v>
      </c>
      <c r="O1343" s="4">
        <v>2.7371334147382735E-2</v>
      </c>
      <c r="P1343" s="3">
        <v>2637.0488945904349</v>
      </c>
      <c r="Q1343" s="4">
        <v>3.1727472722894667E-2</v>
      </c>
      <c r="R1343" s="3">
        <v>83115.630344156918</v>
      </c>
      <c r="S1343" s="2">
        <v>0.77509714119831719</v>
      </c>
      <c r="T1343" s="1"/>
    </row>
    <row r="1348" spans="1:20" ht="15.75" thickBot="1"/>
    <row r="1349" spans="1:20" ht="15" customHeight="1">
      <c r="A1349" s="734" t="s">
        <v>13</v>
      </c>
      <c r="B1349" s="642" t="s">
        <v>377</v>
      </c>
      <c r="C1349" s="589"/>
      <c r="D1349" s="589"/>
      <c r="E1349" s="589"/>
      <c r="F1349" s="589"/>
      <c r="G1349" s="589"/>
      <c r="H1349" s="589"/>
      <c r="I1349" s="589"/>
      <c r="J1349" s="589"/>
      <c r="K1349" s="589"/>
      <c r="L1349" s="589"/>
      <c r="M1349" s="589"/>
      <c r="N1349" s="589"/>
      <c r="O1349" s="589"/>
      <c r="P1349" s="589"/>
      <c r="Q1349" s="589"/>
      <c r="R1349" s="589"/>
      <c r="S1349" s="590"/>
      <c r="T1349" s="1"/>
    </row>
    <row r="1350" spans="1:20" ht="48" customHeight="1">
      <c r="A1350" s="735"/>
      <c r="B1350" s="732" t="s">
        <v>37</v>
      </c>
      <c r="C1350" s="592"/>
      <c r="D1350" s="733" t="s">
        <v>36</v>
      </c>
      <c r="E1350" s="592"/>
      <c r="F1350" s="733" t="s">
        <v>35</v>
      </c>
      <c r="G1350" s="592"/>
      <c r="H1350" s="733" t="s">
        <v>34</v>
      </c>
      <c r="I1350" s="592"/>
      <c r="J1350" s="733" t="s">
        <v>33</v>
      </c>
      <c r="K1350" s="592"/>
      <c r="L1350" s="733" t="s">
        <v>32</v>
      </c>
      <c r="M1350" s="592"/>
      <c r="N1350" s="733" t="s">
        <v>31</v>
      </c>
      <c r="O1350" s="592"/>
      <c r="P1350" s="733" t="s">
        <v>14</v>
      </c>
      <c r="Q1350" s="592"/>
      <c r="R1350" s="731" t="s">
        <v>9</v>
      </c>
      <c r="S1350" s="663"/>
      <c r="T1350" s="1"/>
    </row>
    <row r="1351" spans="1:20" ht="15.75" thickBot="1">
      <c r="A1351" s="736"/>
      <c r="B1351" s="16" t="s">
        <v>7</v>
      </c>
      <c r="C1351" s="16" t="s">
        <v>8</v>
      </c>
      <c r="D1351" s="16" t="s">
        <v>7</v>
      </c>
      <c r="E1351" s="16" t="s">
        <v>8</v>
      </c>
      <c r="F1351" s="16" t="s">
        <v>7</v>
      </c>
      <c r="G1351" s="16" t="s">
        <v>8</v>
      </c>
      <c r="H1351" s="16" t="s">
        <v>7</v>
      </c>
      <c r="I1351" s="16" t="s">
        <v>8</v>
      </c>
      <c r="J1351" s="16" t="s">
        <v>7</v>
      </c>
      <c r="K1351" s="16" t="s">
        <v>8</v>
      </c>
      <c r="L1351" s="16" t="s">
        <v>7</v>
      </c>
      <c r="M1351" s="16" t="s">
        <v>8</v>
      </c>
      <c r="N1351" s="16" t="s">
        <v>7</v>
      </c>
      <c r="O1351" s="16" t="s">
        <v>8</v>
      </c>
      <c r="P1351" s="16" t="s">
        <v>7</v>
      </c>
      <c r="Q1351" s="16" t="s">
        <v>8</v>
      </c>
      <c r="R1351" s="16" t="s">
        <v>7</v>
      </c>
      <c r="S1351" s="15" t="s">
        <v>6</v>
      </c>
      <c r="T1351" s="1"/>
    </row>
    <row r="1352" spans="1:20" ht="15.75" customHeight="1">
      <c r="A1352" s="14" t="s">
        <v>5</v>
      </c>
      <c r="B1352" s="11">
        <v>10801.703898000005</v>
      </c>
      <c r="C1352" s="12">
        <v>5.6305648023910221E-2</v>
      </c>
      <c r="D1352" s="11">
        <v>102959.28886229893</v>
      </c>
      <c r="E1352" s="12">
        <v>0.53669213063191679</v>
      </c>
      <c r="F1352" s="11">
        <v>6633.2444358000048</v>
      </c>
      <c r="G1352" s="10">
        <v>3.4576871388584313E-2</v>
      </c>
      <c r="H1352" s="11">
        <v>10953.768512000001</v>
      </c>
      <c r="I1352" s="12">
        <v>5.7098309692256904E-2</v>
      </c>
      <c r="J1352" s="11">
        <v>26092.635098500035</v>
      </c>
      <c r="K1352" s="12">
        <v>0.13601212750744746</v>
      </c>
      <c r="L1352" s="11">
        <v>5880.5605625000044</v>
      </c>
      <c r="M1352" s="10">
        <v>3.0653383608924827E-2</v>
      </c>
      <c r="N1352" s="11">
        <v>17934.807142000001</v>
      </c>
      <c r="O1352" s="12">
        <v>9.3488115194598043E-2</v>
      </c>
      <c r="P1352" s="11">
        <v>10584.495543000001</v>
      </c>
      <c r="Q1352" s="12">
        <v>5.5173413952325709E-2</v>
      </c>
      <c r="R1352" s="11">
        <v>191840.50405410584</v>
      </c>
      <c r="S1352" s="10">
        <v>1</v>
      </c>
      <c r="T1352" s="1"/>
    </row>
    <row r="1353" spans="1:20">
      <c r="A1353" s="9" t="s">
        <v>2</v>
      </c>
      <c r="B1353" s="7">
        <v>492.50645300000031</v>
      </c>
      <c r="C1353" s="8">
        <v>5.3003183426957375E-2</v>
      </c>
      <c r="D1353" s="7">
        <v>5513.4091463000195</v>
      </c>
      <c r="E1353" s="8">
        <v>0.59334905057417431</v>
      </c>
      <c r="F1353" s="7">
        <v>398.75986280000012</v>
      </c>
      <c r="G1353" s="8">
        <v>4.2914244113054799E-2</v>
      </c>
      <c r="H1353" s="7">
        <v>410.29936900000007</v>
      </c>
      <c r="I1353" s="8">
        <v>4.4156117310958073E-2</v>
      </c>
      <c r="J1353" s="7">
        <v>1212.2264244999988</v>
      </c>
      <c r="K1353" s="8">
        <v>0.13045891914999555</v>
      </c>
      <c r="L1353" s="7">
        <v>254.67040949999995</v>
      </c>
      <c r="M1353" s="8">
        <v>2.7407442777499683E-2</v>
      </c>
      <c r="N1353" s="7">
        <v>645.8192750000004</v>
      </c>
      <c r="O1353" s="8">
        <v>6.9502596940571718E-2</v>
      </c>
      <c r="P1353" s="7">
        <v>364.32552299999998</v>
      </c>
      <c r="Q1353" s="8">
        <v>3.9208445706783793E-2</v>
      </c>
      <c r="R1353" s="7">
        <v>9292.0164631000625</v>
      </c>
      <c r="S1353" s="6">
        <v>4.8436155382907999E-2</v>
      </c>
      <c r="T1353" s="1"/>
    </row>
    <row r="1354" spans="1:20">
      <c r="A1354" s="9" t="s">
        <v>1</v>
      </c>
      <c r="B1354" s="7">
        <v>3385.3657099999973</v>
      </c>
      <c r="C1354" s="8">
        <v>5.1655015266789228E-2</v>
      </c>
      <c r="D1354" s="7">
        <v>39278.485162000063</v>
      </c>
      <c r="E1354" s="8">
        <v>0.59932395035083785</v>
      </c>
      <c r="F1354" s="7">
        <v>1839.4303489999995</v>
      </c>
      <c r="G1354" s="8">
        <v>2.8066628807376471E-2</v>
      </c>
      <c r="H1354" s="7">
        <v>3204.4957729999983</v>
      </c>
      <c r="I1354" s="8">
        <v>4.8895242717123338E-2</v>
      </c>
      <c r="J1354" s="7">
        <v>8063.8970400000226</v>
      </c>
      <c r="K1354" s="8">
        <v>0.12304157375984585</v>
      </c>
      <c r="L1354" s="7">
        <v>1289.9380989999995</v>
      </c>
      <c r="M1354" s="8">
        <v>1.9682296657118944E-2</v>
      </c>
      <c r="N1354" s="7">
        <v>5286.0307490000023</v>
      </c>
      <c r="O1354" s="8">
        <v>8.0655982966257617E-2</v>
      </c>
      <c r="P1354" s="7">
        <v>3190.3439429999976</v>
      </c>
      <c r="Q1354" s="8">
        <v>4.8679309474654528E-2</v>
      </c>
      <c r="R1354" s="7">
        <v>65537.986824999825</v>
      </c>
      <c r="S1354" s="6">
        <v>0.34162747407354488</v>
      </c>
      <c r="T1354" s="1"/>
    </row>
    <row r="1355" spans="1:20" ht="15.75" thickBot="1">
      <c r="A1355" s="9" t="s">
        <v>0</v>
      </c>
      <c r="B1355" s="7">
        <v>6923.8317349999988</v>
      </c>
      <c r="C1355" s="8">
        <v>5.917273825574388E-2</v>
      </c>
      <c r="D1355" s="7">
        <v>58167.394554000093</v>
      </c>
      <c r="E1355" s="8">
        <v>0.49711260248620559</v>
      </c>
      <c r="F1355" s="7">
        <v>4395.0542240000004</v>
      </c>
      <c r="G1355" s="8">
        <v>3.7561194894715856E-2</v>
      </c>
      <c r="H1355" s="7">
        <v>7338.9733700000043</v>
      </c>
      <c r="I1355" s="8">
        <v>6.2720638933737013E-2</v>
      </c>
      <c r="J1355" s="7">
        <v>16816.511633999988</v>
      </c>
      <c r="K1355" s="8">
        <v>0.14371796995920977</v>
      </c>
      <c r="L1355" s="7">
        <v>4335.9520539999976</v>
      </c>
      <c r="M1355" s="8">
        <v>3.7056093475500519E-2</v>
      </c>
      <c r="N1355" s="7">
        <v>12002.957117999986</v>
      </c>
      <c r="O1355" s="8">
        <v>0.10258017049259376</v>
      </c>
      <c r="P1355" s="7">
        <v>7029.8260770000015</v>
      </c>
      <c r="Q1355" s="8">
        <v>6.0078591502299696E-2</v>
      </c>
      <c r="R1355" s="7">
        <v>117010.50076599936</v>
      </c>
      <c r="S1355" s="6">
        <v>0.6099363705435128</v>
      </c>
      <c r="T1355" s="1"/>
    </row>
    <row r="1356" spans="1:20" ht="15" customHeight="1">
      <c r="A1356" s="13" t="s">
        <v>4</v>
      </c>
      <c r="B1356" s="11">
        <v>9720.0493556376878</v>
      </c>
      <c r="C1356" s="12">
        <v>5.7885884846128367E-2</v>
      </c>
      <c r="D1356" s="11">
        <v>89147.492421567105</v>
      </c>
      <c r="E1356" s="12">
        <v>0.53090074873363502</v>
      </c>
      <c r="F1356" s="11">
        <v>6437.9761772961656</v>
      </c>
      <c r="G1356" s="10">
        <v>3.8340129150160523E-2</v>
      </c>
      <c r="H1356" s="11">
        <v>8334.3109907918624</v>
      </c>
      <c r="I1356" s="12">
        <v>4.963338648120981E-2</v>
      </c>
      <c r="J1356" s="11">
        <v>21057.316530496195</v>
      </c>
      <c r="K1356" s="12">
        <v>0.1254027994359716</v>
      </c>
      <c r="L1356" s="11">
        <v>6467.3791724256989</v>
      </c>
      <c r="M1356" s="10">
        <v>3.8515233033682705E-2</v>
      </c>
      <c r="N1356" s="11">
        <v>14831.286192866171</v>
      </c>
      <c r="O1356" s="12">
        <v>8.8324872978373992E-2</v>
      </c>
      <c r="P1356" s="11">
        <v>11921.625015266663</v>
      </c>
      <c r="Q1356" s="12">
        <v>7.0996945340837267E-2</v>
      </c>
      <c r="R1356" s="11">
        <v>167917.43585634767</v>
      </c>
      <c r="S1356" s="10">
        <v>1</v>
      </c>
      <c r="T1356" s="1"/>
    </row>
    <row r="1357" spans="1:20">
      <c r="A1357" s="9" t="s">
        <v>2</v>
      </c>
      <c r="B1357" s="7">
        <v>382.53957820848984</v>
      </c>
      <c r="C1357" s="8">
        <v>4.6320957407643783E-2</v>
      </c>
      <c r="D1357" s="7">
        <v>4749.2088184829508</v>
      </c>
      <c r="E1357" s="8">
        <v>0.5750722590096502</v>
      </c>
      <c r="F1357" s="7">
        <v>238.6817760912673</v>
      </c>
      <c r="G1357" s="8">
        <v>2.8901501999039417E-2</v>
      </c>
      <c r="H1357" s="7">
        <v>358.29305370749574</v>
      </c>
      <c r="I1357" s="8">
        <v>4.3384993934390256E-2</v>
      </c>
      <c r="J1357" s="7">
        <v>1096.9600132247131</v>
      </c>
      <c r="K1357" s="8">
        <v>0.1328287083089135</v>
      </c>
      <c r="L1357" s="7">
        <v>271.36446866395573</v>
      </c>
      <c r="M1357" s="8">
        <v>3.285898430117528E-2</v>
      </c>
      <c r="N1357" s="7">
        <v>749.70014707478515</v>
      </c>
      <c r="O1357" s="8">
        <v>9.0779701132594343E-2</v>
      </c>
      <c r="P1357" s="7">
        <v>411.70791958537649</v>
      </c>
      <c r="Q1357" s="8">
        <v>4.985289390660131E-2</v>
      </c>
      <c r="R1357" s="7">
        <v>8258.4557750389667</v>
      </c>
      <c r="S1357" s="6">
        <v>4.9181645330173003E-2</v>
      </c>
      <c r="T1357" s="1"/>
    </row>
    <row r="1358" spans="1:20">
      <c r="A1358" s="9" t="s">
        <v>1</v>
      </c>
      <c r="B1358" s="7">
        <v>2778.3793095774467</v>
      </c>
      <c r="C1358" s="8">
        <v>4.8220256755738371E-2</v>
      </c>
      <c r="D1358" s="7">
        <v>34000.207860919669</v>
      </c>
      <c r="E1358" s="8">
        <v>0.59009176578246458</v>
      </c>
      <c r="F1358" s="7">
        <v>2239.5190910464121</v>
      </c>
      <c r="G1358" s="8">
        <v>3.8868049876191899E-2</v>
      </c>
      <c r="H1358" s="7">
        <v>2839.931804372985</v>
      </c>
      <c r="I1358" s="8">
        <v>4.9288533176011777E-2</v>
      </c>
      <c r="J1358" s="7">
        <v>6594.5630031360588</v>
      </c>
      <c r="K1358" s="8">
        <v>0.11445216285154239</v>
      </c>
      <c r="L1358" s="7">
        <v>1813.1178349852153</v>
      </c>
      <c r="M1358" s="8">
        <v>3.1467628350821647E-2</v>
      </c>
      <c r="N1358" s="7">
        <v>4434.1293364638086</v>
      </c>
      <c r="O1358" s="8">
        <v>7.6956682752203104E-2</v>
      </c>
      <c r="P1358" s="7">
        <v>2918.661002438942</v>
      </c>
      <c r="Q1358" s="8">
        <v>5.0654920455037118E-2</v>
      </c>
      <c r="R1358" s="7">
        <v>57618.509242939908</v>
      </c>
      <c r="S1358" s="6">
        <v>0.34313595219636506</v>
      </c>
      <c r="T1358" s="1"/>
    </row>
    <row r="1359" spans="1:20" ht="15.75" thickBot="1">
      <c r="A1359" s="9" t="s">
        <v>0</v>
      </c>
      <c r="B1359" s="7">
        <v>6559.1304678517572</v>
      </c>
      <c r="C1359" s="8">
        <v>6.427969622211413E-2</v>
      </c>
      <c r="D1359" s="7">
        <v>50398.075742164787</v>
      </c>
      <c r="E1359" s="8">
        <v>0.49390281452146129</v>
      </c>
      <c r="F1359" s="7">
        <v>3959.7753101584899</v>
      </c>
      <c r="G1359" s="8">
        <v>3.8805929428048114E-2</v>
      </c>
      <c r="H1359" s="7">
        <v>5136.0861327113907</v>
      </c>
      <c r="I1359" s="8">
        <v>5.0333814519995433E-2</v>
      </c>
      <c r="J1359" s="7">
        <v>13365.793514135399</v>
      </c>
      <c r="K1359" s="8">
        <v>0.13098521992618861</v>
      </c>
      <c r="L1359" s="7">
        <v>4382.8968687765355</v>
      </c>
      <c r="M1359" s="8">
        <v>4.2952534742014888E-2</v>
      </c>
      <c r="N1359" s="7">
        <v>9647.45670932758</v>
      </c>
      <c r="O1359" s="8">
        <v>9.4545395861698758E-2</v>
      </c>
      <c r="P1359" s="7">
        <v>8591.2560932423421</v>
      </c>
      <c r="Q1359" s="8">
        <v>8.4194594778486745E-2</v>
      </c>
      <c r="R1359" s="7">
        <v>102040.47083836747</v>
      </c>
      <c r="S1359" s="6">
        <v>0.60768240247345406</v>
      </c>
      <c r="T1359" s="1"/>
    </row>
    <row r="1360" spans="1:20" ht="15.75" customHeight="1">
      <c r="A1360" s="13" t="s">
        <v>3</v>
      </c>
      <c r="B1360" s="11">
        <v>5971.6687989199409</v>
      </c>
      <c r="C1360" s="12">
        <v>5.5688964819977801E-2</v>
      </c>
      <c r="D1360" s="11">
        <v>51766.503664430122</v>
      </c>
      <c r="E1360" s="12">
        <v>0.4827499813692111</v>
      </c>
      <c r="F1360" s="11">
        <v>3557.9643282587249</v>
      </c>
      <c r="G1360" s="10">
        <v>3.3179896102572257E-2</v>
      </c>
      <c r="H1360" s="11">
        <v>6414.0525944120345</v>
      </c>
      <c r="I1360" s="12">
        <v>5.9814427308544353E-2</v>
      </c>
      <c r="J1360" s="11">
        <v>14962.747478996622</v>
      </c>
      <c r="K1360" s="12">
        <v>0.13953552114590834</v>
      </c>
      <c r="L1360" s="11">
        <v>5587.3880168580945</v>
      </c>
      <c r="M1360" s="10">
        <v>5.2105343612266777E-2</v>
      </c>
      <c r="N1360" s="11">
        <v>10484.788927649182</v>
      </c>
      <c r="O1360" s="12">
        <v>9.7776193120816104E-2</v>
      </c>
      <c r="P1360" s="11">
        <v>8487.4199289677526</v>
      </c>
      <c r="Q1360" s="12">
        <v>7.9149672520711464E-2</v>
      </c>
      <c r="R1360" s="11">
        <v>107232.53373849159</v>
      </c>
      <c r="S1360" s="10">
        <v>1</v>
      </c>
      <c r="T1360" s="1"/>
    </row>
    <row r="1361" spans="1:20">
      <c r="A1361" s="9" t="s">
        <v>2</v>
      </c>
      <c r="B1361" s="7">
        <v>298.09479834494164</v>
      </c>
      <c r="C1361" s="8">
        <v>4.4582320603660193E-2</v>
      </c>
      <c r="D1361" s="7">
        <v>3806.1482713746336</v>
      </c>
      <c r="E1361" s="8">
        <v>0.56923811969082749</v>
      </c>
      <c r="F1361" s="7">
        <v>284.4489134956255</v>
      </c>
      <c r="G1361" s="8">
        <v>4.2541475823239479E-2</v>
      </c>
      <c r="H1361" s="7">
        <v>325.47514042640159</v>
      </c>
      <c r="I1361" s="8">
        <v>4.8677256830964043E-2</v>
      </c>
      <c r="J1361" s="7">
        <v>901.08270906802568</v>
      </c>
      <c r="K1361" s="8">
        <v>0.13476370083989114</v>
      </c>
      <c r="L1361" s="7">
        <v>205.99466077255241</v>
      </c>
      <c r="M1361" s="8">
        <v>3.0808051868711831E-2</v>
      </c>
      <c r="N1361" s="7">
        <v>515.73860347572156</v>
      </c>
      <c r="O1361" s="8">
        <v>7.7132589684548461E-2</v>
      </c>
      <c r="P1361" s="7">
        <v>349.40725483713709</v>
      </c>
      <c r="Q1361" s="8">
        <v>5.2256484658174437E-2</v>
      </c>
      <c r="R1361" s="7">
        <v>6686.3903517949248</v>
      </c>
      <c r="S1361" s="6">
        <v>6.2354120700915748E-2</v>
      </c>
      <c r="T1361" s="1"/>
    </row>
    <row r="1362" spans="1:20">
      <c r="A1362" s="9" t="s">
        <v>1</v>
      </c>
      <c r="B1362" s="7">
        <v>684.22905960890739</v>
      </c>
      <c r="C1362" s="8">
        <v>3.9254671273242031E-2</v>
      </c>
      <c r="D1362" s="7">
        <v>9463.8317208257831</v>
      </c>
      <c r="E1362" s="8">
        <v>0.54294625165239085</v>
      </c>
      <c r="F1362" s="7">
        <v>593.06145054061471</v>
      </c>
      <c r="G1362" s="8">
        <v>3.4024325565930477E-2</v>
      </c>
      <c r="H1362" s="7">
        <v>929.7105313167018</v>
      </c>
      <c r="I1362" s="8">
        <v>5.3338104796321367E-2</v>
      </c>
      <c r="J1362" s="7">
        <v>2291.2958399103804</v>
      </c>
      <c r="K1362" s="8">
        <v>0.1314531496759862</v>
      </c>
      <c r="L1362" s="7">
        <v>769.92265073307374</v>
      </c>
      <c r="M1362" s="8">
        <v>4.4170968969989212E-2</v>
      </c>
      <c r="N1362" s="7">
        <v>1684.3229628518657</v>
      </c>
      <c r="O1362" s="8">
        <v>9.6630716419022877E-2</v>
      </c>
      <c r="P1362" s="7">
        <v>1014.1388267536861</v>
      </c>
      <c r="Q1362" s="8">
        <v>5.8181811647113869E-2</v>
      </c>
      <c r="R1362" s="7">
        <v>17430.513042541068</v>
      </c>
      <c r="S1362" s="6">
        <v>0.16254873810077947</v>
      </c>
      <c r="T1362" s="1"/>
    </row>
    <row r="1363" spans="1:20" ht="15.75" thickBot="1">
      <c r="A1363" s="5" t="s">
        <v>0</v>
      </c>
      <c r="B1363" s="3">
        <v>4989.3449409660989</v>
      </c>
      <c r="C1363" s="4">
        <v>6.0028961102824061E-2</v>
      </c>
      <c r="D1363" s="3">
        <v>38496.523672229807</v>
      </c>
      <c r="E1363" s="4">
        <v>0.46316828149924677</v>
      </c>
      <c r="F1363" s="3">
        <v>2680.4539642224822</v>
      </c>
      <c r="G1363" s="4">
        <v>3.2249697838102477E-2</v>
      </c>
      <c r="H1363" s="3">
        <v>5158.8669226689381</v>
      </c>
      <c r="I1363" s="4">
        <v>6.2068553186778661E-2</v>
      </c>
      <c r="J1363" s="3">
        <v>11770.36893001825</v>
      </c>
      <c r="K1363" s="4">
        <v>0.14161438566104448</v>
      </c>
      <c r="L1363" s="3">
        <v>4611.4707053524717</v>
      </c>
      <c r="M1363" s="4">
        <v>5.5482593180822354E-2</v>
      </c>
      <c r="N1363" s="3">
        <v>8284.7273613216239</v>
      </c>
      <c r="O1363" s="4">
        <v>9.9677128441630652E-2</v>
      </c>
      <c r="P1363" s="3">
        <v>7123.8738473769436</v>
      </c>
      <c r="Q1363" s="4">
        <v>8.5710399089546904E-2</v>
      </c>
      <c r="R1363" s="3">
        <v>83115.630344156918</v>
      </c>
      <c r="S1363" s="2">
        <v>0.77509714119831719</v>
      </c>
      <c r="T1363" s="1"/>
    </row>
    <row r="1366" spans="1:20" ht="15.75" thickBot="1"/>
    <row r="1367" spans="1:20" ht="25.5" customHeight="1">
      <c r="A1367" s="734" t="s">
        <v>13</v>
      </c>
      <c r="B1367" s="642" t="s">
        <v>378</v>
      </c>
      <c r="C1367" s="589"/>
      <c r="D1367" s="589"/>
      <c r="E1367" s="589"/>
      <c r="F1367" s="589"/>
      <c r="G1367" s="589"/>
      <c r="H1367" s="589"/>
      <c r="I1367" s="590"/>
      <c r="J1367" s="1"/>
    </row>
    <row r="1368" spans="1:20">
      <c r="A1368" s="735"/>
      <c r="B1368" s="732" t="s">
        <v>30</v>
      </c>
      <c r="C1368" s="592"/>
      <c r="D1368" s="733" t="s">
        <v>29</v>
      </c>
      <c r="E1368" s="592"/>
      <c r="F1368" s="733" t="s">
        <v>28</v>
      </c>
      <c r="G1368" s="592"/>
      <c r="H1368" s="731" t="s">
        <v>9</v>
      </c>
      <c r="I1368" s="663"/>
      <c r="J1368" s="1"/>
    </row>
    <row r="1369" spans="1:20" ht="15.75" thickBot="1">
      <c r="A1369" s="736"/>
      <c r="B1369" s="16" t="s">
        <v>7</v>
      </c>
      <c r="C1369" s="16" t="s">
        <v>8</v>
      </c>
      <c r="D1369" s="16" t="s">
        <v>7</v>
      </c>
      <c r="E1369" s="16" t="s">
        <v>8</v>
      </c>
      <c r="F1369" s="16" t="s">
        <v>7</v>
      </c>
      <c r="G1369" s="16" t="s">
        <v>8</v>
      </c>
      <c r="H1369" s="16" t="s">
        <v>7</v>
      </c>
      <c r="I1369" s="15" t="s">
        <v>6</v>
      </c>
      <c r="J1369" s="1"/>
    </row>
    <row r="1370" spans="1:20" ht="15.75" customHeight="1">
      <c r="A1370" s="14" t="s">
        <v>5</v>
      </c>
      <c r="B1370" s="11">
        <v>8101.9700380000104</v>
      </c>
      <c r="C1370" s="12">
        <v>3.1642264135140527E-2</v>
      </c>
      <c r="D1370" s="11">
        <v>61937.524120999566</v>
      </c>
      <c r="E1370" s="12">
        <v>0.24189715450948493</v>
      </c>
      <c r="F1370" s="11">
        <v>186009.50421220477</v>
      </c>
      <c r="G1370" s="10">
        <v>0.72646058135535041</v>
      </c>
      <c r="H1370" s="11">
        <v>256048.9983712105</v>
      </c>
      <c r="I1370" s="10">
        <v>1</v>
      </c>
      <c r="J1370" s="1"/>
    </row>
    <row r="1371" spans="1:20">
      <c r="A1371" s="9" t="s">
        <v>2</v>
      </c>
      <c r="B1371" s="7">
        <v>507.26533900000032</v>
      </c>
      <c r="C1371" s="8">
        <v>4.1678198322805511E-2</v>
      </c>
      <c r="D1371" s="7">
        <v>4285.1842180000158</v>
      </c>
      <c r="E1371" s="8">
        <v>0.35208153200382725</v>
      </c>
      <c r="F1371" s="7">
        <v>7378.5501362000205</v>
      </c>
      <c r="G1371" s="8">
        <v>0.60624026967335898</v>
      </c>
      <c r="H1371" s="7">
        <v>12170.999693200138</v>
      </c>
      <c r="I1371" s="6">
        <v>4.7533869574272129E-2</v>
      </c>
      <c r="J1371" s="1"/>
    </row>
    <row r="1372" spans="1:20">
      <c r="A1372" s="9" t="s">
        <v>1</v>
      </c>
      <c r="B1372" s="7">
        <v>1755.2979439999988</v>
      </c>
      <c r="C1372" s="8">
        <v>2.0025075642655352E-2</v>
      </c>
      <c r="D1372" s="7">
        <v>20317.472611000037</v>
      </c>
      <c r="E1372" s="8">
        <v>0.23178909728322128</v>
      </c>
      <c r="F1372" s="7">
        <v>65582.22637599989</v>
      </c>
      <c r="G1372" s="8">
        <v>0.74818582707412173</v>
      </c>
      <c r="H1372" s="7">
        <v>87654.99693100006</v>
      </c>
      <c r="I1372" s="6">
        <v>0.34233680853506421</v>
      </c>
      <c r="J1372" s="1"/>
    </row>
    <row r="1373" spans="1:20" ht="15.75" thickBot="1">
      <c r="A1373" s="9" t="s">
        <v>0</v>
      </c>
      <c r="B1373" s="7">
        <v>5839.4067550000036</v>
      </c>
      <c r="C1373" s="8">
        <v>3.7378661846843741E-2</v>
      </c>
      <c r="D1373" s="7">
        <v>37334.867292000097</v>
      </c>
      <c r="E1373" s="8">
        <v>0.23898444450877396</v>
      </c>
      <c r="F1373" s="7">
        <v>113048.72769999948</v>
      </c>
      <c r="G1373" s="8">
        <v>0.72363689364437755</v>
      </c>
      <c r="H1373" s="7">
        <v>156223.00174700032</v>
      </c>
      <c r="I1373" s="6">
        <v>0.61012932189062463</v>
      </c>
      <c r="J1373" s="1"/>
    </row>
    <row r="1374" spans="1:20" ht="15" customHeight="1">
      <c r="A1374" s="13" t="s">
        <v>4</v>
      </c>
      <c r="B1374" s="11">
        <v>10395.728350462272</v>
      </c>
      <c r="C1374" s="12">
        <v>4.6280165031929797E-2</v>
      </c>
      <c r="D1374" s="11">
        <v>65284.178086342508</v>
      </c>
      <c r="E1374" s="12">
        <v>0.29063500256578689</v>
      </c>
      <c r="F1374" s="11">
        <v>148946.09356319543</v>
      </c>
      <c r="G1374" s="10">
        <v>0.66308483240228344</v>
      </c>
      <c r="H1374" s="11">
        <v>224626.0000000002</v>
      </c>
      <c r="I1374" s="10">
        <v>1</v>
      </c>
      <c r="J1374" s="1"/>
    </row>
    <row r="1375" spans="1:20">
      <c r="A1375" s="9" t="s">
        <v>2</v>
      </c>
      <c r="B1375" s="7">
        <v>698.06145234362225</v>
      </c>
      <c r="C1375" s="8">
        <v>6.6066766263829638E-2</v>
      </c>
      <c r="D1375" s="7">
        <v>3934.5579559323919</v>
      </c>
      <c r="E1375" s="8">
        <v>0.37237913646908971</v>
      </c>
      <c r="F1375" s="7">
        <v>5933.3805917239742</v>
      </c>
      <c r="G1375" s="8">
        <v>0.56155409726708216</v>
      </c>
      <c r="H1375" s="7">
        <v>10565.999999999973</v>
      </c>
      <c r="I1375" s="6">
        <v>4.7038187921255616E-2</v>
      </c>
      <c r="J1375" s="1"/>
    </row>
    <row r="1376" spans="1:20">
      <c r="A1376" s="9" t="s">
        <v>1</v>
      </c>
      <c r="B1376" s="7">
        <v>3284.0054514648</v>
      </c>
      <c r="C1376" s="8">
        <v>4.2793362758692298E-2</v>
      </c>
      <c r="D1376" s="7">
        <v>22895.477234709462</v>
      </c>
      <c r="E1376" s="8">
        <v>0.29834739232886592</v>
      </c>
      <c r="F1376" s="7">
        <v>50561.51731382549</v>
      </c>
      <c r="G1376" s="8">
        <v>0.6588592449124403</v>
      </c>
      <c r="H1376" s="7">
        <v>76740.999999999869</v>
      </c>
      <c r="I1376" s="6">
        <v>0.34163899103398448</v>
      </c>
      <c r="J1376" s="1"/>
    </row>
    <row r="1377" spans="1:10" ht="15.75" thickBot="1">
      <c r="A1377" s="9" t="s">
        <v>0</v>
      </c>
      <c r="B1377" s="7">
        <v>6413.6614466538431</v>
      </c>
      <c r="C1377" s="8">
        <v>4.6706292986796391E-2</v>
      </c>
      <c r="D1377" s="7">
        <v>38454.142895700839</v>
      </c>
      <c r="E1377" s="8">
        <v>0.28003512183820989</v>
      </c>
      <c r="F1377" s="7">
        <v>92451.195657644988</v>
      </c>
      <c r="G1377" s="8">
        <v>0.67325858517499926</v>
      </c>
      <c r="H1377" s="7">
        <v>137318.99999999892</v>
      </c>
      <c r="I1377" s="6">
        <v>0.61132282104475355</v>
      </c>
      <c r="J1377" s="1"/>
    </row>
    <row r="1378" spans="1:10" ht="15.75" customHeight="1">
      <c r="A1378" s="13" t="s">
        <v>3</v>
      </c>
      <c r="B1378" s="11">
        <v>8251.3820944425388</v>
      </c>
      <c r="C1378" s="12">
        <v>5.536316915776554E-2</v>
      </c>
      <c r="D1378" s="11">
        <v>42763.750551182915</v>
      </c>
      <c r="E1378" s="12">
        <v>0.2869260844410792</v>
      </c>
      <c r="F1378" s="11">
        <v>98025.867354373986</v>
      </c>
      <c r="G1378" s="10">
        <v>0.6577107464011509</v>
      </c>
      <c r="H1378" s="11">
        <v>149041.00000000009</v>
      </c>
      <c r="I1378" s="10">
        <v>1</v>
      </c>
      <c r="J1378" s="1"/>
    </row>
    <row r="1379" spans="1:10">
      <c r="A1379" s="9" t="s">
        <v>2</v>
      </c>
      <c r="B1379" s="7">
        <v>760.47290800228177</v>
      </c>
      <c r="C1379" s="8">
        <v>8.6633960811380584E-2</v>
      </c>
      <c r="D1379" s="7">
        <v>3663.7908309941722</v>
      </c>
      <c r="E1379" s="8">
        <v>0.41738332547211826</v>
      </c>
      <c r="F1379" s="7">
        <v>4353.7362610035843</v>
      </c>
      <c r="G1379" s="8">
        <v>0.49598271371652786</v>
      </c>
      <c r="H1379" s="7">
        <v>8777.9999999998035</v>
      </c>
      <c r="I1379" s="6">
        <v>5.8896545245937688E-2</v>
      </c>
      <c r="J1379" s="1"/>
    </row>
    <row r="1380" spans="1:10">
      <c r="A1380" s="9" t="s">
        <v>1</v>
      </c>
      <c r="B1380" s="7">
        <v>1295.1212681452157</v>
      </c>
      <c r="C1380" s="8">
        <v>5.5942346686761152E-2</v>
      </c>
      <c r="D1380" s="7">
        <v>7983.7631520705836</v>
      </c>
      <c r="E1380" s="8">
        <v>0.34485608190015699</v>
      </c>
      <c r="F1380" s="7">
        <v>13872.115579784224</v>
      </c>
      <c r="G1380" s="8">
        <v>0.59920157141307662</v>
      </c>
      <c r="H1380" s="7">
        <v>23151.000000000146</v>
      </c>
      <c r="I1380" s="6">
        <v>0.15533309626210326</v>
      </c>
      <c r="J1380" s="1"/>
    </row>
    <row r="1381" spans="1:10" ht="15.75" thickBot="1">
      <c r="A1381" s="5" t="s">
        <v>0</v>
      </c>
      <c r="B1381" s="3">
        <v>6195.7879182950546</v>
      </c>
      <c r="C1381" s="4">
        <v>5.2904808373992855E-2</v>
      </c>
      <c r="D1381" s="3">
        <v>31116.196568118183</v>
      </c>
      <c r="E1381" s="4">
        <v>0.26569605649393885</v>
      </c>
      <c r="F1381" s="3">
        <v>79800.015513587306</v>
      </c>
      <c r="G1381" s="4">
        <v>0.68139913513207251</v>
      </c>
      <c r="H1381" s="3">
        <v>117112.00000000006</v>
      </c>
      <c r="I1381" s="2">
        <v>0.78577035849195853</v>
      </c>
      <c r="J1381" s="1"/>
    </row>
    <row r="1386" spans="1:10" ht="15.75" thickBot="1"/>
    <row r="1387" spans="1:10" ht="30.75" customHeight="1">
      <c r="A1387" s="734" t="s">
        <v>13</v>
      </c>
      <c r="B1387" s="642" t="s">
        <v>379</v>
      </c>
      <c r="C1387" s="589"/>
      <c r="D1387" s="589"/>
      <c r="E1387" s="589"/>
      <c r="F1387" s="589"/>
      <c r="G1387" s="590"/>
      <c r="H1387" s="1"/>
    </row>
    <row r="1388" spans="1:10">
      <c r="A1388" s="735"/>
      <c r="B1388" s="591" t="s">
        <v>27</v>
      </c>
      <c r="C1388" s="592"/>
      <c r="D1388" s="661" t="s">
        <v>26</v>
      </c>
      <c r="E1388" s="592"/>
      <c r="F1388" s="662" t="s">
        <v>9</v>
      </c>
      <c r="G1388" s="663"/>
      <c r="H1388" s="1"/>
    </row>
    <row r="1389" spans="1:10" ht="15.75" thickBot="1">
      <c r="A1389" s="736"/>
      <c r="B1389" s="16" t="s">
        <v>7</v>
      </c>
      <c r="C1389" s="16" t="s">
        <v>8</v>
      </c>
      <c r="D1389" s="16" t="s">
        <v>7</v>
      </c>
      <c r="E1389" s="16" t="s">
        <v>8</v>
      </c>
      <c r="F1389" s="16" t="s">
        <v>7</v>
      </c>
      <c r="G1389" s="15" t="s">
        <v>6</v>
      </c>
      <c r="H1389" s="1"/>
    </row>
    <row r="1390" spans="1:10" ht="15.75" customHeight="1">
      <c r="A1390" s="14" t="s">
        <v>5</v>
      </c>
      <c r="B1390" s="11">
        <v>28380.295351000052</v>
      </c>
      <c r="C1390" s="12">
        <v>0.11083931408259343</v>
      </c>
      <c r="D1390" s="11">
        <v>227668.7030202079</v>
      </c>
      <c r="E1390" s="12">
        <v>0.88916068591739661</v>
      </c>
      <c r="F1390" s="11">
        <v>256048.9983712105</v>
      </c>
      <c r="G1390" s="10">
        <v>1</v>
      </c>
      <c r="H1390" s="1"/>
    </row>
    <row r="1391" spans="1:10">
      <c r="A1391" s="9" t="s">
        <v>2</v>
      </c>
      <c r="B1391" s="7">
        <v>1390.0958599999983</v>
      </c>
      <c r="C1391" s="8">
        <v>0.11421377824671514</v>
      </c>
      <c r="D1391" s="7">
        <v>10780.903833200096</v>
      </c>
      <c r="E1391" s="8">
        <v>0.88578622175328137</v>
      </c>
      <c r="F1391" s="7">
        <v>12170.999693200138</v>
      </c>
      <c r="G1391" s="6">
        <v>4.7533869574272129E-2</v>
      </c>
      <c r="H1391" s="1"/>
    </row>
    <row r="1392" spans="1:10">
      <c r="A1392" s="9" t="s">
        <v>1</v>
      </c>
      <c r="B1392" s="7">
        <v>9740.9724230000174</v>
      </c>
      <c r="C1392" s="8">
        <v>0.11112854673496686</v>
      </c>
      <c r="D1392" s="7">
        <v>77914.024508000075</v>
      </c>
      <c r="E1392" s="8">
        <v>0.88887145326503347</v>
      </c>
      <c r="F1392" s="7">
        <v>87654.99693100006</v>
      </c>
      <c r="G1392" s="6">
        <v>0.34233680853506421</v>
      </c>
      <c r="H1392" s="1"/>
    </row>
    <row r="1393" spans="1:8" ht="15.75" thickBot="1">
      <c r="A1393" s="9" t="s">
        <v>0</v>
      </c>
      <c r="B1393" s="7">
        <v>17249.227067999986</v>
      </c>
      <c r="C1393" s="8">
        <v>0.11041413156261537</v>
      </c>
      <c r="D1393" s="7">
        <v>138973.77467899956</v>
      </c>
      <c r="E1393" s="8">
        <v>0.88958586843737963</v>
      </c>
      <c r="F1393" s="7">
        <v>156223.00174700032</v>
      </c>
      <c r="G1393" s="6">
        <v>0.61012932189062463</v>
      </c>
      <c r="H1393" s="1"/>
    </row>
    <row r="1394" spans="1:8" ht="15" customHeight="1">
      <c r="A1394" s="13" t="s">
        <v>4</v>
      </c>
      <c r="B1394" s="11">
        <v>24874.230175655084</v>
      </c>
      <c r="C1394" s="12">
        <v>0.11073620229027389</v>
      </c>
      <c r="D1394" s="11">
        <v>199751.76982434493</v>
      </c>
      <c r="E1394" s="12">
        <v>0.8892637977097253</v>
      </c>
      <c r="F1394" s="11">
        <v>224626.0000000002</v>
      </c>
      <c r="G1394" s="10">
        <v>1</v>
      </c>
      <c r="H1394" s="1"/>
    </row>
    <row r="1395" spans="1:8">
      <c r="A1395" s="9" t="s">
        <v>2</v>
      </c>
      <c r="B1395" s="7">
        <v>1508.2306215362719</v>
      </c>
      <c r="C1395" s="8">
        <v>0.14274376505170128</v>
      </c>
      <c r="D1395" s="7">
        <v>9057.7693784636831</v>
      </c>
      <c r="E1395" s="8">
        <v>0.85725623494829706</v>
      </c>
      <c r="F1395" s="7">
        <v>10565.999999999973</v>
      </c>
      <c r="G1395" s="6">
        <v>4.7038187921255616E-2</v>
      </c>
      <c r="H1395" s="1"/>
    </row>
    <row r="1396" spans="1:8">
      <c r="A1396" s="9" t="s">
        <v>1</v>
      </c>
      <c r="B1396" s="7">
        <v>8151.0064800571181</v>
      </c>
      <c r="C1396" s="8">
        <v>0.10621449394791745</v>
      </c>
      <c r="D1396" s="7">
        <v>68589.993519942305</v>
      </c>
      <c r="E1396" s="8">
        <v>0.89378550605207674</v>
      </c>
      <c r="F1396" s="7">
        <v>76740.999999999869</v>
      </c>
      <c r="G1396" s="6">
        <v>0.34163899103398448</v>
      </c>
      <c r="H1396" s="1"/>
    </row>
    <row r="1397" spans="1:8" ht="15.75" thickBot="1">
      <c r="A1397" s="9" t="s">
        <v>0</v>
      </c>
      <c r="B1397" s="7">
        <v>15214.993074061598</v>
      </c>
      <c r="C1397" s="8">
        <v>0.11080034863392334</v>
      </c>
      <c r="D1397" s="7">
        <v>122104.00692593712</v>
      </c>
      <c r="E1397" s="8">
        <v>0.88919965136607515</v>
      </c>
      <c r="F1397" s="7">
        <v>137318.99999999892</v>
      </c>
      <c r="G1397" s="6">
        <v>0.61132282104475355</v>
      </c>
      <c r="H1397" s="1"/>
    </row>
    <row r="1398" spans="1:8" ht="15.75" customHeight="1">
      <c r="A1398" s="13" t="s">
        <v>3</v>
      </c>
      <c r="B1398" s="11">
        <v>19561.299101996137</v>
      </c>
      <c r="C1398" s="12">
        <v>0.13124777143199606</v>
      </c>
      <c r="D1398" s="11">
        <v>129479.70089800229</v>
      </c>
      <c r="E1398" s="12">
        <v>0.86875222856799283</v>
      </c>
      <c r="F1398" s="11">
        <v>149041.00000000009</v>
      </c>
      <c r="G1398" s="10">
        <v>1</v>
      </c>
      <c r="H1398" s="1"/>
    </row>
    <row r="1399" spans="1:8">
      <c r="A1399" s="9" t="s">
        <v>2</v>
      </c>
      <c r="B1399" s="7">
        <v>1410.3413906937203</v>
      </c>
      <c r="C1399" s="8">
        <v>0.1606677364654536</v>
      </c>
      <c r="D1399" s="7">
        <v>7367.6586093061542</v>
      </c>
      <c r="E1399" s="8">
        <v>0.83933226353455448</v>
      </c>
      <c r="F1399" s="7">
        <v>8777.9999999998035</v>
      </c>
      <c r="G1399" s="6">
        <v>5.8896545245937688E-2</v>
      </c>
      <c r="H1399" s="1"/>
    </row>
    <row r="1400" spans="1:8">
      <c r="A1400" s="9" t="s">
        <v>1</v>
      </c>
      <c r="B1400" s="7">
        <v>2967.3744671642089</v>
      </c>
      <c r="C1400" s="8">
        <v>0.12817478584787656</v>
      </c>
      <c r="D1400" s="7">
        <v>20183.625532835904</v>
      </c>
      <c r="E1400" s="8">
        <v>0.87182521415212211</v>
      </c>
      <c r="F1400" s="7">
        <v>23151.000000000146</v>
      </c>
      <c r="G1400" s="6">
        <v>0.15533309626210326</v>
      </c>
      <c r="H1400" s="1"/>
    </row>
    <row r="1401" spans="1:8" ht="15.75" thickBot="1">
      <c r="A1401" s="5" t="s">
        <v>0</v>
      </c>
      <c r="B1401" s="3">
        <v>15183.583244138219</v>
      </c>
      <c r="C1401" s="4">
        <v>0.12965010625843817</v>
      </c>
      <c r="D1401" s="3">
        <v>101928.41675586192</v>
      </c>
      <c r="E1401" s="4">
        <v>0.87034989374156257</v>
      </c>
      <c r="F1401" s="3">
        <v>117112.00000000006</v>
      </c>
      <c r="G1401" s="2">
        <v>0.78577035849195853</v>
      </c>
      <c r="H1401" s="1"/>
    </row>
    <row r="1406" spans="1:8" ht="15.75" thickBot="1"/>
    <row r="1407" spans="1:8" ht="27" customHeight="1">
      <c r="A1407" s="734" t="s">
        <v>13</v>
      </c>
      <c r="B1407" s="642" t="s">
        <v>380</v>
      </c>
      <c r="C1407" s="589"/>
      <c r="D1407" s="589"/>
      <c r="E1407" s="589"/>
      <c r="F1407" s="589"/>
      <c r="G1407" s="590"/>
      <c r="H1407" s="1"/>
    </row>
    <row r="1408" spans="1:8">
      <c r="A1408" s="735"/>
      <c r="B1408" s="591" t="s">
        <v>27</v>
      </c>
      <c r="C1408" s="592"/>
      <c r="D1408" s="661" t="s">
        <v>26</v>
      </c>
      <c r="E1408" s="592"/>
      <c r="F1408" s="662" t="s">
        <v>9</v>
      </c>
      <c r="G1408" s="663"/>
      <c r="H1408" s="1"/>
    </row>
    <row r="1409" spans="1:8" ht="15.75" thickBot="1">
      <c r="A1409" s="736"/>
      <c r="B1409" s="16" t="s">
        <v>7</v>
      </c>
      <c r="C1409" s="16" t="s">
        <v>8</v>
      </c>
      <c r="D1409" s="16" t="s">
        <v>7</v>
      </c>
      <c r="E1409" s="16" t="s">
        <v>8</v>
      </c>
      <c r="F1409" s="16" t="s">
        <v>7</v>
      </c>
      <c r="G1409" s="15" t="s">
        <v>6</v>
      </c>
      <c r="H1409" s="1"/>
    </row>
    <row r="1410" spans="1:8" ht="15.75" customHeight="1">
      <c r="A1410" s="14" t="s">
        <v>5</v>
      </c>
      <c r="B1410" s="11">
        <v>244172.00318620933</v>
      </c>
      <c r="C1410" s="12">
        <v>0.95361436576376546</v>
      </c>
      <c r="D1410" s="11">
        <v>11876.995185000011</v>
      </c>
      <c r="E1410" s="12">
        <v>4.6385634236229961E-2</v>
      </c>
      <c r="F1410" s="11">
        <v>256048.9983712105</v>
      </c>
      <c r="G1410" s="10">
        <v>1</v>
      </c>
      <c r="H1410" s="1"/>
    </row>
    <row r="1411" spans="1:8">
      <c r="A1411" s="9" t="s">
        <v>2</v>
      </c>
      <c r="B1411" s="7">
        <v>11066.406589200107</v>
      </c>
      <c r="C1411" s="8">
        <v>0.90924384751918452</v>
      </c>
      <c r="D1411" s="7">
        <v>1104.5931039999996</v>
      </c>
      <c r="E1411" s="8">
        <v>9.0756152480812965E-2</v>
      </c>
      <c r="F1411" s="7">
        <v>12170.999693200138</v>
      </c>
      <c r="G1411" s="6">
        <v>4.7533869574272129E-2</v>
      </c>
      <c r="H1411" s="1"/>
    </row>
    <row r="1412" spans="1:8">
      <c r="A1412" s="9" t="s">
        <v>1</v>
      </c>
      <c r="B1412" s="7">
        <v>84546.645616000053</v>
      </c>
      <c r="C1412" s="8">
        <v>0.96453880070925313</v>
      </c>
      <c r="D1412" s="7">
        <v>3108.3513149999967</v>
      </c>
      <c r="E1412" s="8">
        <v>3.5461199290746849E-2</v>
      </c>
      <c r="F1412" s="7">
        <v>87654.99693100006</v>
      </c>
      <c r="G1412" s="6">
        <v>0.34233680853506421</v>
      </c>
      <c r="H1412" s="1"/>
    </row>
    <row r="1413" spans="1:8" ht="15.75" thickBot="1">
      <c r="A1413" s="9" t="s">
        <v>0</v>
      </c>
      <c r="B1413" s="7">
        <v>148558.95098099983</v>
      </c>
      <c r="C1413" s="8">
        <v>0.9509415983543047</v>
      </c>
      <c r="D1413" s="7">
        <v>7664.0507660000058</v>
      </c>
      <c r="E1413" s="8">
        <v>4.905840164569214E-2</v>
      </c>
      <c r="F1413" s="7">
        <v>156223.00174700032</v>
      </c>
      <c r="G1413" s="6">
        <v>0.61012932189062463</v>
      </c>
      <c r="H1413" s="1"/>
    </row>
    <row r="1414" spans="1:8" ht="15" customHeight="1">
      <c r="A1414" s="13" t="s">
        <v>4</v>
      </c>
      <c r="B1414" s="11">
        <v>212422.31441158982</v>
      </c>
      <c r="C1414" s="12">
        <v>0.94567109066443611</v>
      </c>
      <c r="D1414" s="11">
        <v>12203.685588410159</v>
      </c>
      <c r="E1414" s="12">
        <v>5.4328909335562878E-2</v>
      </c>
      <c r="F1414" s="11">
        <v>224626.0000000002</v>
      </c>
      <c r="G1414" s="10">
        <v>1</v>
      </c>
      <c r="H1414" s="1"/>
    </row>
    <row r="1415" spans="1:8">
      <c r="A1415" s="9" t="s">
        <v>2</v>
      </c>
      <c r="B1415" s="7">
        <v>9528.491005838694</v>
      </c>
      <c r="C1415" s="8">
        <v>0.90180683379128512</v>
      </c>
      <c r="D1415" s="7">
        <v>1037.5089941612616</v>
      </c>
      <c r="E1415" s="8">
        <v>9.8193166208713267E-2</v>
      </c>
      <c r="F1415" s="7">
        <v>10565.999999999973</v>
      </c>
      <c r="G1415" s="6">
        <v>4.7038187921255616E-2</v>
      </c>
      <c r="H1415" s="1"/>
    </row>
    <row r="1416" spans="1:8">
      <c r="A1416" s="9" t="s">
        <v>1</v>
      </c>
      <c r="B1416" s="7">
        <v>72389.07455881458</v>
      </c>
      <c r="C1416" s="8">
        <v>0.94329073844248457</v>
      </c>
      <c r="D1416" s="7">
        <v>4351.9254411850998</v>
      </c>
      <c r="E1416" s="8">
        <v>5.6709261557513033E-2</v>
      </c>
      <c r="F1416" s="7">
        <v>76740.999999999869</v>
      </c>
      <c r="G1416" s="6">
        <v>0.34163899103398448</v>
      </c>
      <c r="H1416" s="1"/>
    </row>
    <row r="1417" spans="1:8" ht="15.75" thickBot="1">
      <c r="A1417" s="9" t="s">
        <v>0</v>
      </c>
      <c r="B1417" s="7">
        <v>130504.74884693473</v>
      </c>
      <c r="C1417" s="8">
        <v>0.9503764872081486</v>
      </c>
      <c r="D1417" s="7">
        <v>6814.2511530638012</v>
      </c>
      <c r="E1417" s="8">
        <v>4.9623512791848574E-2</v>
      </c>
      <c r="F1417" s="7">
        <v>137318.99999999892</v>
      </c>
      <c r="G1417" s="6">
        <v>0.61132282104475355</v>
      </c>
      <c r="H1417" s="1"/>
    </row>
    <row r="1418" spans="1:8" ht="15.75" customHeight="1">
      <c r="A1418" s="13" t="s">
        <v>3</v>
      </c>
      <c r="B1418" s="11">
        <v>140518.07725744502</v>
      </c>
      <c r="C1418" s="12">
        <v>0.94281491171855347</v>
      </c>
      <c r="D1418" s="11">
        <v>8522.9227425541885</v>
      </c>
      <c r="E1418" s="12">
        <v>5.718508828144056E-2</v>
      </c>
      <c r="F1418" s="11">
        <v>149041.00000000009</v>
      </c>
      <c r="G1418" s="10">
        <v>1</v>
      </c>
      <c r="H1418" s="1"/>
    </row>
    <row r="1419" spans="1:8">
      <c r="A1419" s="9" t="s">
        <v>2</v>
      </c>
      <c r="B1419" s="7">
        <v>7778.7269753852461</v>
      </c>
      <c r="C1419" s="8">
        <v>0.88616165133121672</v>
      </c>
      <c r="D1419" s="7">
        <v>999.27302461461204</v>
      </c>
      <c r="E1419" s="8">
        <v>0.11383834866878953</v>
      </c>
      <c r="F1419" s="7">
        <v>8777.9999999998035</v>
      </c>
      <c r="G1419" s="6">
        <v>5.8896545245937688E-2</v>
      </c>
      <c r="H1419" s="1"/>
    </row>
    <row r="1420" spans="1:8">
      <c r="A1420" s="9" t="s">
        <v>1</v>
      </c>
      <c r="B1420" s="7">
        <v>21659.880085988068</v>
      </c>
      <c r="C1420" s="8">
        <v>0.93559155483512302</v>
      </c>
      <c r="D1420" s="7">
        <v>1491.1199140120768</v>
      </c>
      <c r="E1420" s="8">
        <v>6.4408445164876996E-2</v>
      </c>
      <c r="F1420" s="7">
        <v>23151.000000000146</v>
      </c>
      <c r="G1420" s="6">
        <v>0.15533309626210326</v>
      </c>
      <c r="H1420" s="1"/>
    </row>
    <row r="1421" spans="1:8" ht="15.75" thickBot="1">
      <c r="A1421" s="5" t="s">
        <v>0</v>
      </c>
      <c r="B1421" s="3">
        <v>111079.47019607255</v>
      </c>
      <c r="C1421" s="4">
        <v>0.94848922566494043</v>
      </c>
      <c r="D1421" s="3">
        <v>6032.5298039275249</v>
      </c>
      <c r="E1421" s="4">
        <v>5.1510774335059788E-2</v>
      </c>
      <c r="F1421" s="3">
        <v>117112.00000000006</v>
      </c>
      <c r="G1421" s="2">
        <v>0.78577035849195853</v>
      </c>
      <c r="H1421" s="1"/>
    </row>
    <row r="1426" spans="1:18" ht="15.75" thickBot="1"/>
    <row r="1427" spans="1:18" ht="15" customHeight="1">
      <c r="A1427" s="734" t="s">
        <v>13</v>
      </c>
      <c r="B1427" s="642" t="s">
        <v>381</v>
      </c>
      <c r="C1427" s="589"/>
      <c r="D1427" s="589"/>
      <c r="E1427" s="589"/>
      <c r="F1427" s="589"/>
      <c r="G1427" s="589"/>
      <c r="H1427" s="589"/>
      <c r="I1427" s="589"/>
      <c r="J1427" s="589"/>
      <c r="K1427" s="589"/>
      <c r="L1427" s="589"/>
      <c r="M1427" s="589"/>
      <c r="N1427" s="589"/>
      <c r="O1427" s="589"/>
      <c r="P1427" s="589"/>
      <c r="Q1427" s="590"/>
      <c r="R1427" s="1"/>
    </row>
    <row r="1428" spans="1:18" ht="30.75" customHeight="1">
      <c r="A1428" s="735"/>
      <c r="B1428" s="732" t="s">
        <v>25</v>
      </c>
      <c r="C1428" s="592"/>
      <c r="D1428" s="733" t="s">
        <v>24</v>
      </c>
      <c r="E1428" s="592"/>
      <c r="F1428" s="733" t="s">
        <v>23</v>
      </c>
      <c r="G1428" s="592"/>
      <c r="H1428" s="733" t="s">
        <v>22</v>
      </c>
      <c r="I1428" s="592"/>
      <c r="J1428" s="733" t="s">
        <v>21</v>
      </c>
      <c r="K1428" s="592"/>
      <c r="L1428" s="733" t="s">
        <v>20</v>
      </c>
      <c r="M1428" s="592"/>
      <c r="N1428" s="733" t="s">
        <v>14</v>
      </c>
      <c r="O1428" s="592"/>
      <c r="P1428" s="731" t="s">
        <v>9</v>
      </c>
      <c r="Q1428" s="663"/>
      <c r="R1428" s="1"/>
    </row>
    <row r="1429" spans="1:18" ht="15.75" thickBot="1">
      <c r="A1429" s="736"/>
      <c r="B1429" s="16" t="s">
        <v>7</v>
      </c>
      <c r="C1429" s="16" t="s">
        <v>8</v>
      </c>
      <c r="D1429" s="16" t="s">
        <v>7</v>
      </c>
      <c r="E1429" s="16" t="s">
        <v>8</v>
      </c>
      <c r="F1429" s="16" t="s">
        <v>7</v>
      </c>
      <c r="G1429" s="16" t="s">
        <v>8</v>
      </c>
      <c r="H1429" s="16" t="s">
        <v>7</v>
      </c>
      <c r="I1429" s="16" t="s">
        <v>8</v>
      </c>
      <c r="J1429" s="16" t="s">
        <v>7</v>
      </c>
      <c r="K1429" s="16" t="s">
        <v>8</v>
      </c>
      <c r="L1429" s="16" t="s">
        <v>7</v>
      </c>
      <c r="M1429" s="16" t="s">
        <v>8</v>
      </c>
      <c r="N1429" s="16" t="s">
        <v>7</v>
      </c>
      <c r="O1429" s="16" t="s">
        <v>8</v>
      </c>
      <c r="P1429" s="16" t="s">
        <v>7</v>
      </c>
      <c r="Q1429" s="15" t="s">
        <v>6</v>
      </c>
      <c r="R1429" s="1"/>
    </row>
    <row r="1430" spans="1:18" ht="15.75" customHeight="1">
      <c r="A1430" s="14" t="s">
        <v>5</v>
      </c>
      <c r="B1430" s="11">
        <v>165883.65798050232</v>
      </c>
      <c r="C1430" s="12">
        <v>0.67937214674852342</v>
      </c>
      <c r="D1430" s="11">
        <v>29472.231414100068</v>
      </c>
      <c r="E1430" s="12">
        <v>0.12070274654553285</v>
      </c>
      <c r="F1430" s="11">
        <v>5590.9043735000168</v>
      </c>
      <c r="G1430" s="10">
        <v>2.2897401424176823E-2</v>
      </c>
      <c r="H1430" s="11">
        <v>5582.3621878000095</v>
      </c>
      <c r="I1430" s="12">
        <v>2.2862417127908041E-2</v>
      </c>
      <c r="J1430" s="11">
        <v>23423.377351800053</v>
      </c>
      <c r="K1430" s="12">
        <v>9.5929824247446685E-2</v>
      </c>
      <c r="L1430" s="11">
        <v>7471.3536920000097</v>
      </c>
      <c r="M1430" s="10">
        <v>3.0598732018847552E-2</v>
      </c>
      <c r="N1430" s="11">
        <v>6748.1161865000058</v>
      </c>
      <c r="O1430" s="12">
        <v>2.7636731887536622E-2</v>
      </c>
      <c r="P1430" s="11">
        <v>244172.00318620933</v>
      </c>
      <c r="Q1430" s="10">
        <v>1</v>
      </c>
      <c r="R1430" s="1"/>
    </row>
    <row r="1431" spans="1:18">
      <c r="A1431" s="9" t="s">
        <v>2</v>
      </c>
      <c r="B1431" s="7">
        <v>6728.9834605000169</v>
      </c>
      <c r="C1431" s="8">
        <v>0.60805496402661963</v>
      </c>
      <c r="D1431" s="7">
        <v>849.86793009999997</v>
      </c>
      <c r="E1431" s="8">
        <v>7.6797099695342874E-2</v>
      </c>
      <c r="F1431" s="7">
        <v>670.87225150000052</v>
      </c>
      <c r="G1431" s="8">
        <v>6.062241126715117E-2</v>
      </c>
      <c r="H1431" s="7">
        <v>414.35605580000026</v>
      </c>
      <c r="I1431" s="8">
        <v>3.7442692210891415E-2</v>
      </c>
      <c r="J1431" s="7">
        <v>1496.0585607999969</v>
      </c>
      <c r="K1431" s="8">
        <v>0.13518919160805332</v>
      </c>
      <c r="L1431" s="7">
        <v>560.14645900000039</v>
      </c>
      <c r="M1431" s="8">
        <v>5.0616833430524484E-2</v>
      </c>
      <c r="N1431" s="7">
        <v>346.12187149999994</v>
      </c>
      <c r="O1431" s="8">
        <v>3.1276807761408849E-2</v>
      </c>
      <c r="P1431" s="7">
        <v>11066.406589200107</v>
      </c>
      <c r="Q1431" s="6">
        <v>4.532217635434925E-2</v>
      </c>
      <c r="R1431" s="1"/>
    </row>
    <row r="1432" spans="1:18">
      <c r="A1432" s="9" t="s">
        <v>1</v>
      </c>
      <c r="B1432" s="7">
        <v>56659.433921999967</v>
      </c>
      <c r="C1432" s="8">
        <v>0.67015590635422484</v>
      </c>
      <c r="D1432" s="7">
        <v>9783.1266800000049</v>
      </c>
      <c r="E1432" s="8">
        <v>0.11571277143783686</v>
      </c>
      <c r="F1432" s="7">
        <v>1905.5279239999995</v>
      </c>
      <c r="G1432" s="8">
        <v>2.2538184810485105E-2</v>
      </c>
      <c r="H1432" s="7">
        <v>2656.1003679999976</v>
      </c>
      <c r="I1432" s="8">
        <v>3.1415798328223013E-2</v>
      </c>
      <c r="J1432" s="7">
        <v>8238.0190360000233</v>
      </c>
      <c r="K1432" s="8">
        <v>9.7437562140738759E-2</v>
      </c>
      <c r="L1432" s="7">
        <v>3269.4011979999959</v>
      </c>
      <c r="M1432" s="8">
        <v>3.8669791973169387E-2</v>
      </c>
      <c r="N1432" s="7">
        <v>2035.036488</v>
      </c>
      <c r="O1432" s="8">
        <v>2.4069984955321266E-2</v>
      </c>
      <c r="P1432" s="7">
        <v>84546.645616000053</v>
      </c>
      <c r="Q1432" s="6">
        <v>0.34625855754446788</v>
      </c>
      <c r="R1432" s="1"/>
    </row>
    <row r="1433" spans="1:18" ht="15.75" thickBot="1">
      <c r="A1433" s="9" t="s">
        <v>0</v>
      </c>
      <c r="B1433" s="7">
        <v>102495.24059799926</v>
      </c>
      <c r="C1433" s="8">
        <v>0.68992975462722572</v>
      </c>
      <c r="D1433" s="7">
        <v>18839.236804000007</v>
      </c>
      <c r="E1433" s="8">
        <v>0.12681320566412374</v>
      </c>
      <c r="F1433" s="7">
        <v>3014.5041980000001</v>
      </c>
      <c r="G1433" s="8">
        <v>2.0291636270274586E-2</v>
      </c>
      <c r="H1433" s="7">
        <v>2511.9057640000001</v>
      </c>
      <c r="I1433" s="8">
        <v>1.6908478064854297E-2</v>
      </c>
      <c r="J1433" s="7">
        <v>13689.299754999985</v>
      </c>
      <c r="K1433" s="8">
        <v>9.2147256456804133E-2</v>
      </c>
      <c r="L1433" s="7">
        <v>3641.8060350000005</v>
      </c>
      <c r="M1433" s="8">
        <v>2.4514214801272898E-2</v>
      </c>
      <c r="N1433" s="7">
        <v>4366.9578270000011</v>
      </c>
      <c r="O1433" s="8">
        <v>2.9395454115440808E-2</v>
      </c>
      <c r="P1433" s="7">
        <v>148558.95098099983</v>
      </c>
      <c r="Q1433" s="6">
        <v>0.60841926610114461</v>
      </c>
      <c r="R1433" s="1"/>
    </row>
    <row r="1434" spans="1:18" ht="15" customHeight="1">
      <c r="A1434" s="13" t="s">
        <v>4</v>
      </c>
      <c r="B1434" s="11">
        <v>139621.2766943954</v>
      </c>
      <c r="C1434" s="12">
        <v>0.65728159059535041</v>
      </c>
      <c r="D1434" s="11">
        <v>26151.705487464624</v>
      </c>
      <c r="E1434" s="12">
        <v>0.12311185649165386</v>
      </c>
      <c r="F1434" s="11">
        <v>4912.7671604785255</v>
      </c>
      <c r="G1434" s="10">
        <v>2.3127359166982525E-2</v>
      </c>
      <c r="H1434" s="11">
        <v>4669.1829243366856</v>
      </c>
      <c r="I1434" s="12">
        <v>2.1980661199697077E-2</v>
      </c>
      <c r="J1434" s="11">
        <v>21377.380413730316</v>
      </c>
      <c r="K1434" s="12">
        <v>0.10063622775670106</v>
      </c>
      <c r="L1434" s="11">
        <v>8707.668252193258</v>
      </c>
      <c r="M1434" s="10">
        <v>4.0992248278216507E-2</v>
      </c>
      <c r="N1434" s="11">
        <v>6982.3334789914306</v>
      </c>
      <c r="O1434" s="12">
        <v>3.2870056511400444E-2</v>
      </c>
      <c r="P1434" s="11">
        <v>212422.31441158982</v>
      </c>
      <c r="Q1434" s="10">
        <v>1</v>
      </c>
      <c r="R1434" s="1"/>
    </row>
    <row r="1435" spans="1:18">
      <c r="A1435" s="9" t="s">
        <v>2</v>
      </c>
      <c r="B1435" s="7">
        <v>5541.2507825749817</v>
      </c>
      <c r="C1435" s="8">
        <v>0.58154547023023018</v>
      </c>
      <c r="D1435" s="7">
        <v>734.70073097374404</v>
      </c>
      <c r="E1435" s="8">
        <v>7.7105675024885634E-2</v>
      </c>
      <c r="F1435" s="7">
        <v>454.69876998930312</v>
      </c>
      <c r="G1435" s="8">
        <v>4.7719913857365362E-2</v>
      </c>
      <c r="H1435" s="7">
        <v>500.71704246405614</v>
      </c>
      <c r="I1435" s="8">
        <v>5.2549458477447894E-2</v>
      </c>
      <c r="J1435" s="7">
        <v>1416.5173891237951</v>
      </c>
      <c r="K1435" s="8">
        <v>0.14866125058582808</v>
      </c>
      <c r="L1435" s="7">
        <v>530.30041548612962</v>
      </c>
      <c r="M1435" s="8">
        <v>5.5654186498279933E-2</v>
      </c>
      <c r="N1435" s="7">
        <v>350.30587522671607</v>
      </c>
      <c r="O1435" s="8">
        <v>3.6764045325966312E-2</v>
      </c>
      <c r="P1435" s="7">
        <v>9528.491005838694</v>
      </c>
      <c r="Q1435" s="6">
        <v>4.4856356227134755E-2</v>
      </c>
      <c r="R1435" s="1"/>
    </row>
    <row r="1436" spans="1:18">
      <c r="A1436" s="9" t="s">
        <v>1</v>
      </c>
      <c r="B1436" s="7">
        <v>44115.893847160769</v>
      </c>
      <c r="C1436" s="8">
        <v>0.60942751535409589</v>
      </c>
      <c r="D1436" s="7">
        <v>8754.4059533564559</v>
      </c>
      <c r="E1436" s="8">
        <v>0.12093545893094251</v>
      </c>
      <c r="F1436" s="7">
        <v>2327.672667729968</v>
      </c>
      <c r="G1436" s="8">
        <v>3.2155027287146538E-2</v>
      </c>
      <c r="H1436" s="7">
        <v>2070.1378357423446</v>
      </c>
      <c r="I1436" s="8">
        <v>2.8597379485220547E-2</v>
      </c>
      <c r="J1436" s="7">
        <v>8622.2327612943791</v>
      </c>
      <c r="K1436" s="8">
        <v>0.11910958682430729</v>
      </c>
      <c r="L1436" s="7">
        <v>4135.1734438436133</v>
      </c>
      <c r="M1436" s="8">
        <v>5.7124275576749817E-2</v>
      </c>
      <c r="N1436" s="7">
        <v>2363.5580496872581</v>
      </c>
      <c r="O1436" s="8">
        <v>3.2650756541540225E-2</v>
      </c>
      <c r="P1436" s="7">
        <v>72389.07455881458</v>
      </c>
      <c r="Q1436" s="6">
        <v>0.34077905025812583</v>
      </c>
      <c r="R1436" s="1"/>
    </row>
    <row r="1437" spans="1:18" ht="15.75" thickBot="1">
      <c r="A1437" s="9" t="s">
        <v>0</v>
      </c>
      <c r="B1437" s="7">
        <v>89964.132064658756</v>
      </c>
      <c r="C1437" s="8">
        <v>0.6893552369513779</v>
      </c>
      <c r="D1437" s="7">
        <v>16662.598803134337</v>
      </c>
      <c r="E1437" s="8">
        <v>0.12767810329015247</v>
      </c>
      <c r="F1437" s="7">
        <v>2130.3957227592614</v>
      </c>
      <c r="G1437" s="8">
        <v>1.632427740432604E-2</v>
      </c>
      <c r="H1437" s="7">
        <v>2098.3280461302857</v>
      </c>
      <c r="I1437" s="8">
        <v>1.6078557023172804E-2</v>
      </c>
      <c r="J1437" s="7">
        <v>11338.630263312098</v>
      </c>
      <c r="K1437" s="8">
        <v>8.6882894021050913E-2</v>
      </c>
      <c r="L1437" s="7">
        <v>4042.1943928635201</v>
      </c>
      <c r="M1437" s="8">
        <v>3.0973542561309349E-2</v>
      </c>
      <c r="N1437" s="7">
        <v>4268.4695540774719</v>
      </c>
      <c r="O1437" s="8">
        <v>3.2707388748618157E-2</v>
      </c>
      <c r="P1437" s="7">
        <v>130504.74884693473</v>
      </c>
      <c r="Q1437" s="6">
        <v>0.61436459351473083</v>
      </c>
      <c r="R1437" s="1"/>
    </row>
    <row r="1438" spans="1:18" ht="15.75" customHeight="1">
      <c r="A1438" s="13" t="s">
        <v>3</v>
      </c>
      <c r="B1438" s="11">
        <v>96438.554681050955</v>
      </c>
      <c r="C1438" s="12">
        <v>0.68630710413411511</v>
      </c>
      <c r="D1438" s="11">
        <v>18103.772721415127</v>
      </c>
      <c r="E1438" s="12">
        <v>0.12883589837517465</v>
      </c>
      <c r="F1438" s="11">
        <v>3038.4467107910696</v>
      </c>
      <c r="G1438" s="10">
        <v>2.1623173118319086E-2</v>
      </c>
      <c r="H1438" s="11">
        <v>2776.5803198246526</v>
      </c>
      <c r="I1438" s="12">
        <v>1.9759595163956329E-2</v>
      </c>
      <c r="J1438" s="11">
        <v>10836.760194064425</v>
      </c>
      <c r="K1438" s="12">
        <v>7.7120043239776573E-2</v>
      </c>
      <c r="L1438" s="11">
        <v>4871.2073429834118</v>
      </c>
      <c r="M1438" s="10">
        <v>3.4666054631951791E-2</v>
      </c>
      <c r="N1438" s="11">
        <v>4452.755287315561</v>
      </c>
      <c r="O1438" s="12">
        <v>3.1688131336707726E-2</v>
      </c>
      <c r="P1438" s="11">
        <v>140518.07725744502</v>
      </c>
      <c r="Q1438" s="10">
        <v>1</v>
      </c>
      <c r="R1438" s="1"/>
    </row>
    <row r="1439" spans="1:18">
      <c r="A1439" s="9" t="s">
        <v>2</v>
      </c>
      <c r="B1439" s="7">
        <v>4643.1568448725639</v>
      </c>
      <c r="C1439" s="8">
        <v>0.59690446258947261</v>
      </c>
      <c r="D1439" s="7">
        <v>619.77698552442462</v>
      </c>
      <c r="E1439" s="8">
        <v>7.9675888803608486E-2</v>
      </c>
      <c r="F1439" s="7">
        <v>398.35143230925934</v>
      </c>
      <c r="G1439" s="8">
        <v>5.1210363028525087E-2</v>
      </c>
      <c r="H1439" s="7">
        <v>297.06841771918903</v>
      </c>
      <c r="I1439" s="8">
        <v>3.8189850172042648E-2</v>
      </c>
      <c r="J1439" s="7">
        <v>1123.088933501509</v>
      </c>
      <c r="K1439" s="8">
        <v>0.14437952855979849</v>
      </c>
      <c r="L1439" s="7">
        <v>489.6471222812616</v>
      </c>
      <c r="M1439" s="8">
        <v>6.2946947981422308E-2</v>
      </c>
      <c r="N1439" s="7">
        <v>207.63723917717655</v>
      </c>
      <c r="O1439" s="8">
        <v>2.6692958865148136E-2</v>
      </c>
      <c r="P1439" s="7">
        <v>7778.7269753852461</v>
      </c>
      <c r="Q1439" s="6">
        <v>5.5357482305523849E-2</v>
      </c>
      <c r="R1439" s="1"/>
    </row>
    <row r="1440" spans="1:18">
      <c r="A1440" s="9" t="s">
        <v>1</v>
      </c>
      <c r="B1440" s="7">
        <v>13284.458010851333</v>
      </c>
      <c r="C1440" s="8">
        <v>0.61332093982575386</v>
      </c>
      <c r="D1440" s="7">
        <v>2389.2735087070641</v>
      </c>
      <c r="E1440" s="8">
        <v>0.11030871358575536</v>
      </c>
      <c r="F1440" s="7">
        <v>753.46705142962605</v>
      </c>
      <c r="G1440" s="8">
        <v>3.4786298374617927E-2</v>
      </c>
      <c r="H1440" s="7">
        <v>504.37846109861982</v>
      </c>
      <c r="I1440" s="8">
        <v>2.3286299790039277E-2</v>
      </c>
      <c r="J1440" s="7">
        <v>2904.7197447108324</v>
      </c>
      <c r="K1440" s="8">
        <v>0.13410599380879842</v>
      </c>
      <c r="L1440" s="7">
        <v>991.05118166422233</v>
      </c>
      <c r="M1440" s="8">
        <v>4.5755155510087075E-2</v>
      </c>
      <c r="N1440" s="7">
        <v>832.53212752628156</v>
      </c>
      <c r="O1440" s="8">
        <v>3.8436599104943917E-2</v>
      </c>
      <c r="P1440" s="7">
        <v>21659.880085988068</v>
      </c>
      <c r="Q1440" s="6">
        <v>0.1541430149681362</v>
      </c>
      <c r="R1440" s="1"/>
    </row>
    <row r="1441" spans="1:18" ht="15.75" thickBot="1">
      <c r="A1441" s="5" t="s">
        <v>0</v>
      </c>
      <c r="B1441" s="3">
        <v>78510.939825327951</v>
      </c>
      <c r="C1441" s="4">
        <v>0.70679973254053097</v>
      </c>
      <c r="D1441" s="3">
        <v>15094.722227183638</v>
      </c>
      <c r="E1441" s="4">
        <v>0.13589119754117573</v>
      </c>
      <c r="F1441" s="3">
        <v>1886.6282270521831</v>
      </c>
      <c r="G1441" s="4">
        <v>1.6984490686910828E-2</v>
      </c>
      <c r="H1441" s="3">
        <v>1975.1334410068407</v>
      </c>
      <c r="I1441" s="4">
        <v>1.7781264508377855E-2</v>
      </c>
      <c r="J1441" s="3">
        <v>6808.9515158521172</v>
      </c>
      <c r="K1441" s="4">
        <v>6.1298019371475741E-2</v>
      </c>
      <c r="L1441" s="3">
        <v>3390.5090390379337</v>
      </c>
      <c r="M1441" s="4">
        <v>3.0523273410047395E-2</v>
      </c>
      <c r="N1441" s="3">
        <v>3412.5859206121063</v>
      </c>
      <c r="O1441" s="4">
        <v>3.0722021941483529E-2</v>
      </c>
      <c r="P1441" s="3">
        <v>111079.47019607255</v>
      </c>
      <c r="Q1441" s="2">
        <v>0.79049950272634595</v>
      </c>
      <c r="R1441" s="1"/>
    </row>
    <row r="1446" spans="1:18" ht="15.75" thickBot="1"/>
    <row r="1447" spans="1:18" ht="15" customHeight="1">
      <c r="A1447" s="734" t="s">
        <v>13</v>
      </c>
      <c r="B1447" s="642" t="s">
        <v>382</v>
      </c>
      <c r="C1447" s="589"/>
      <c r="D1447" s="589"/>
      <c r="E1447" s="589"/>
      <c r="F1447" s="589"/>
      <c r="G1447" s="589"/>
      <c r="H1447" s="589"/>
      <c r="I1447" s="589"/>
      <c r="J1447" s="589"/>
      <c r="K1447" s="589"/>
      <c r="L1447" s="589"/>
      <c r="M1447" s="589"/>
      <c r="N1447" s="589"/>
      <c r="O1447" s="590"/>
      <c r="P1447" s="1"/>
    </row>
    <row r="1448" spans="1:18" ht="42" customHeight="1">
      <c r="A1448" s="735"/>
      <c r="B1448" s="732" t="s">
        <v>19</v>
      </c>
      <c r="C1448" s="592"/>
      <c r="D1448" s="733" t="s">
        <v>18</v>
      </c>
      <c r="E1448" s="592"/>
      <c r="F1448" s="733" t="s">
        <v>17</v>
      </c>
      <c r="G1448" s="592"/>
      <c r="H1448" s="733" t="s">
        <v>16</v>
      </c>
      <c r="I1448" s="592"/>
      <c r="J1448" s="733" t="s">
        <v>15</v>
      </c>
      <c r="K1448" s="592"/>
      <c r="L1448" s="733" t="s">
        <v>14</v>
      </c>
      <c r="M1448" s="592"/>
      <c r="N1448" s="731" t="s">
        <v>9</v>
      </c>
      <c r="O1448" s="663"/>
      <c r="P1448" s="1"/>
    </row>
    <row r="1449" spans="1:18" ht="15.75" thickBot="1">
      <c r="A1449" s="736"/>
      <c r="B1449" s="16" t="s">
        <v>7</v>
      </c>
      <c r="C1449" s="16" t="s">
        <v>8</v>
      </c>
      <c r="D1449" s="16" t="s">
        <v>7</v>
      </c>
      <c r="E1449" s="16" t="s">
        <v>8</v>
      </c>
      <c r="F1449" s="16" t="s">
        <v>7</v>
      </c>
      <c r="G1449" s="16" t="s">
        <v>8</v>
      </c>
      <c r="H1449" s="16" t="s">
        <v>7</v>
      </c>
      <c r="I1449" s="16" t="s">
        <v>8</v>
      </c>
      <c r="J1449" s="16" t="s">
        <v>7</v>
      </c>
      <c r="K1449" s="16" t="s">
        <v>8</v>
      </c>
      <c r="L1449" s="16" t="s">
        <v>7</v>
      </c>
      <c r="M1449" s="16" t="s">
        <v>8</v>
      </c>
      <c r="N1449" s="16" t="s">
        <v>7</v>
      </c>
      <c r="O1449" s="15" t="s">
        <v>6</v>
      </c>
      <c r="P1449" s="1"/>
    </row>
    <row r="1450" spans="1:18" ht="15.75" customHeight="1">
      <c r="A1450" s="14" t="s">
        <v>5</v>
      </c>
      <c r="B1450" s="11">
        <v>4618.9650624767228</v>
      </c>
      <c r="C1450" s="12">
        <v>0.38890013705981852</v>
      </c>
      <c r="D1450" s="11">
        <v>2673.22548793551</v>
      </c>
      <c r="E1450" s="12">
        <v>0.22507590869121435</v>
      </c>
      <c r="F1450" s="11">
        <v>707.90660244671278</v>
      </c>
      <c r="G1450" s="10">
        <v>5.9603173220248724E-2</v>
      </c>
      <c r="H1450" s="11">
        <v>1140.2789814562539</v>
      </c>
      <c r="I1450" s="12">
        <v>9.6007362293618156E-2</v>
      </c>
      <c r="J1450" s="11">
        <v>365.71940733051923</v>
      </c>
      <c r="K1450" s="12">
        <v>3.0792250149649467E-2</v>
      </c>
      <c r="L1450" s="11">
        <v>2370.8996617945213</v>
      </c>
      <c r="M1450" s="10">
        <v>0.19962116858544943</v>
      </c>
      <c r="N1450" s="11">
        <v>11876.995203440256</v>
      </c>
      <c r="O1450" s="10">
        <v>1</v>
      </c>
      <c r="P1450" s="1"/>
    </row>
    <row r="1451" spans="1:18">
      <c r="A1451" s="9" t="s">
        <v>2</v>
      </c>
      <c r="B1451" s="7">
        <v>427.83783574384665</v>
      </c>
      <c r="C1451" s="8">
        <v>0.38732617386820289</v>
      </c>
      <c r="D1451" s="7">
        <v>267.869615723496</v>
      </c>
      <c r="E1451" s="8">
        <v>0.24250523138829172</v>
      </c>
      <c r="F1451" s="7">
        <v>34.777301485420871</v>
      </c>
      <c r="G1451" s="8">
        <v>3.1484263420484E-2</v>
      </c>
      <c r="H1451" s="7">
        <v>141.75889184086125</v>
      </c>
      <c r="I1451" s="8">
        <v>0.12833584269856593</v>
      </c>
      <c r="J1451" s="7">
        <v>39.210140478955807</v>
      </c>
      <c r="K1451" s="8">
        <v>3.5497360026945965E-2</v>
      </c>
      <c r="L1451" s="7">
        <v>193.13935768766902</v>
      </c>
      <c r="M1451" s="8">
        <v>0.17485112859750862</v>
      </c>
      <c r="N1451" s="7">
        <v>1104.5931429602506</v>
      </c>
      <c r="O1451" s="6">
        <v>9.3002743879217642E-2</v>
      </c>
      <c r="P1451" s="1"/>
    </row>
    <row r="1452" spans="1:18">
      <c r="A1452" s="9" t="s">
        <v>1</v>
      </c>
      <c r="B1452" s="7">
        <v>1283.2499254362938</v>
      </c>
      <c r="C1452" s="8">
        <v>0.41283939976278949</v>
      </c>
      <c r="D1452" s="7">
        <v>600.31849145851197</v>
      </c>
      <c r="E1452" s="8">
        <v>0.19313083193515368</v>
      </c>
      <c r="F1452" s="7">
        <v>242.8534631437123</v>
      </c>
      <c r="G1452" s="8">
        <v>7.8129346409646236E-2</v>
      </c>
      <c r="H1452" s="7">
        <v>211.05455612441241</v>
      </c>
      <c r="I1452" s="8">
        <v>6.7899194490878612E-2</v>
      </c>
      <c r="J1452" s="7">
        <v>53.27326396262476</v>
      </c>
      <c r="K1452" s="8">
        <v>1.7138752071430761E-2</v>
      </c>
      <c r="L1452" s="7">
        <v>717.60169795715035</v>
      </c>
      <c r="M1452" s="8">
        <v>0.2308624753300996</v>
      </c>
      <c r="N1452" s="7">
        <v>3108.3513980827106</v>
      </c>
      <c r="O1452" s="6">
        <v>0.26171193511826585</v>
      </c>
      <c r="P1452" s="1"/>
    </row>
    <row r="1453" spans="1:18" ht="15.75" thickBot="1">
      <c r="A1453" s="9" t="s">
        <v>0</v>
      </c>
      <c r="B1453" s="7">
        <v>2907.8773012965812</v>
      </c>
      <c r="C1453" s="8">
        <v>0.37941780781326545</v>
      </c>
      <c r="D1453" s="7">
        <v>1805.0373807535038</v>
      </c>
      <c r="E1453" s="8">
        <v>0.23552002201782105</v>
      </c>
      <c r="F1453" s="7">
        <v>430.2758378175796</v>
      </c>
      <c r="G1453" s="8">
        <v>5.6142092056968629E-2</v>
      </c>
      <c r="H1453" s="7">
        <v>787.46553349098008</v>
      </c>
      <c r="I1453" s="8">
        <v>0.10274795511916204</v>
      </c>
      <c r="J1453" s="7">
        <v>273.23600288893857</v>
      </c>
      <c r="K1453" s="8">
        <v>3.5651643618372371E-2</v>
      </c>
      <c r="L1453" s="7">
        <v>1460.1586061497019</v>
      </c>
      <c r="M1453" s="8">
        <v>0.19052047937441097</v>
      </c>
      <c r="N1453" s="7">
        <v>7664.0506623972815</v>
      </c>
      <c r="O1453" s="6">
        <v>0.64528532100251534</v>
      </c>
      <c r="P1453" s="1"/>
    </row>
    <row r="1454" spans="1:18" ht="15" customHeight="1">
      <c r="A1454" s="13" t="s">
        <v>4</v>
      </c>
      <c r="B1454" s="11">
        <v>4251.4127008368177</v>
      </c>
      <c r="C1454" s="12">
        <v>0.34837120884811917</v>
      </c>
      <c r="D1454" s="11">
        <v>3274.7090362604858</v>
      </c>
      <c r="E1454" s="12">
        <v>0.26833770933679885</v>
      </c>
      <c r="F1454" s="11">
        <v>668.46793973138927</v>
      </c>
      <c r="G1454" s="10">
        <v>5.4775906416847819E-2</v>
      </c>
      <c r="H1454" s="11">
        <v>1363.0075219395869</v>
      </c>
      <c r="I1454" s="12">
        <v>0.11168818731564466</v>
      </c>
      <c r="J1454" s="11">
        <v>519.25650580377646</v>
      </c>
      <c r="K1454" s="12">
        <v>4.254915468298482E-2</v>
      </c>
      <c r="L1454" s="11">
        <v>2126.8318838381174</v>
      </c>
      <c r="M1454" s="10">
        <v>0.1742778333996059</v>
      </c>
      <c r="N1454" s="11">
        <v>12203.685588410159</v>
      </c>
      <c r="O1454" s="10">
        <v>1</v>
      </c>
      <c r="P1454" s="1"/>
    </row>
    <row r="1455" spans="1:18">
      <c r="A1455" s="9" t="s">
        <v>2</v>
      </c>
      <c r="B1455" s="7">
        <v>386.63320187581081</v>
      </c>
      <c r="C1455" s="8">
        <v>0.37265527725701408</v>
      </c>
      <c r="D1455" s="7">
        <v>274.74527558624357</v>
      </c>
      <c r="E1455" s="8">
        <v>0.26481242777885688</v>
      </c>
      <c r="F1455" s="7">
        <v>45.179572695863953</v>
      </c>
      <c r="G1455" s="8">
        <v>4.3546198587307502E-2</v>
      </c>
      <c r="H1455" s="7">
        <v>85.452271568752408</v>
      </c>
      <c r="I1455" s="8">
        <v>8.2362921236970421E-2</v>
      </c>
      <c r="J1455" s="7">
        <v>18.206817892188099</v>
      </c>
      <c r="K1455" s="8">
        <v>1.754858800709171E-2</v>
      </c>
      <c r="L1455" s="7">
        <v>227.29185454240283</v>
      </c>
      <c r="M1455" s="8">
        <v>0.21907458713275937</v>
      </c>
      <c r="N1455" s="7">
        <v>1037.5089941612616</v>
      </c>
      <c r="O1455" s="6">
        <v>8.5016037708033385E-2</v>
      </c>
      <c r="P1455" s="1"/>
    </row>
    <row r="1456" spans="1:18">
      <c r="A1456" s="9" t="s">
        <v>1</v>
      </c>
      <c r="B1456" s="7">
        <v>1662.3300157454762</v>
      </c>
      <c r="C1456" s="8">
        <v>0.38197575721628096</v>
      </c>
      <c r="D1456" s="7">
        <v>962.21540163936425</v>
      </c>
      <c r="E1456" s="8">
        <v>0.22110107690111011</v>
      </c>
      <c r="F1456" s="7">
        <v>191.94137854938265</v>
      </c>
      <c r="G1456" s="8">
        <v>4.4104932665646475E-2</v>
      </c>
      <c r="H1456" s="7">
        <v>359.13861210299905</v>
      </c>
      <c r="I1456" s="8">
        <v>8.2524072840089779E-2</v>
      </c>
      <c r="J1456" s="7">
        <v>124.20169012700576</v>
      </c>
      <c r="K1456" s="8">
        <v>2.8539480238242234E-2</v>
      </c>
      <c r="L1456" s="7">
        <v>1052.0983430208755</v>
      </c>
      <c r="M1456" s="8">
        <v>0.24175468013863124</v>
      </c>
      <c r="N1456" s="7">
        <v>4351.9254411850998</v>
      </c>
      <c r="O1456" s="6">
        <v>0.35660746990385628</v>
      </c>
      <c r="P1456" s="1"/>
    </row>
    <row r="1457" spans="1:16" ht="15.75" thickBot="1">
      <c r="A1457" s="9" t="s">
        <v>0</v>
      </c>
      <c r="B1457" s="7">
        <v>2202.4494832155337</v>
      </c>
      <c r="C1457" s="8">
        <v>0.3232122552784506</v>
      </c>
      <c r="D1457" s="7">
        <v>2037.7483590348788</v>
      </c>
      <c r="E1457" s="8">
        <v>0.29904215639581661</v>
      </c>
      <c r="F1457" s="7">
        <v>431.34698848614266</v>
      </c>
      <c r="G1457" s="8">
        <v>6.3300717686667868E-2</v>
      </c>
      <c r="H1457" s="7">
        <v>918.41663826783508</v>
      </c>
      <c r="I1457" s="8">
        <v>0.13477880659783131</v>
      </c>
      <c r="J1457" s="7">
        <v>376.8479977845825</v>
      </c>
      <c r="K1457" s="8">
        <v>5.530292167396051E-2</v>
      </c>
      <c r="L1457" s="7">
        <v>847.44168627483975</v>
      </c>
      <c r="M1457" s="8">
        <v>0.12436314236727476</v>
      </c>
      <c r="N1457" s="7">
        <v>6814.2511530638012</v>
      </c>
      <c r="O1457" s="6">
        <v>0.55837649238811071</v>
      </c>
      <c r="P1457" s="1"/>
    </row>
    <row r="1458" spans="1:16" ht="15.75" customHeight="1">
      <c r="A1458" s="13" t="s">
        <v>3</v>
      </c>
      <c r="B1458" s="11">
        <v>2909.8807045467961</v>
      </c>
      <c r="C1458" s="12">
        <v>0.34141817219790377</v>
      </c>
      <c r="D1458" s="11">
        <v>2338.5695722390064</v>
      </c>
      <c r="E1458" s="12">
        <v>0.27438587006810922</v>
      </c>
      <c r="F1458" s="11">
        <v>463.50156213312647</v>
      </c>
      <c r="G1458" s="10">
        <v>5.4382936010777705E-2</v>
      </c>
      <c r="H1458" s="11">
        <v>751.40410599281074</v>
      </c>
      <c r="I1458" s="12">
        <v>8.8162726413219428E-2</v>
      </c>
      <c r="J1458" s="11">
        <v>373.5351382345462</v>
      </c>
      <c r="K1458" s="12">
        <v>4.3827117705704258E-2</v>
      </c>
      <c r="L1458" s="11">
        <v>1686.0316594079293</v>
      </c>
      <c r="M1458" s="10">
        <v>0.19782317760428877</v>
      </c>
      <c r="N1458" s="11">
        <v>8522.9227425541885</v>
      </c>
      <c r="O1458" s="10">
        <v>1</v>
      </c>
      <c r="P1458" s="1"/>
    </row>
    <row r="1459" spans="1:16">
      <c r="A1459" s="9" t="s">
        <v>2</v>
      </c>
      <c r="B1459" s="7">
        <v>398.97855953014704</v>
      </c>
      <c r="C1459" s="8">
        <v>0.39926881813308268</v>
      </c>
      <c r="D1459" s="7">
        <v>256.86143522997509</v>
      </c>
      <c r="E1459" s="8">
        <v>0.25704830301912573</v>
      </c>
      <c r="F1459" s="7">
        <v>41.61585951061614</v>
      </c>
      <c r="G1459" s="8">
        <v>4.1646135225821848E-2</v>
      </c>
      <c r="H1459" s="7">
        <v>134.75716742903361</v>
      </c>
      <c r="I1459" s="8">
        <v>0.13485520384281882</v>
      </c>
      <c r="J1459" s="7">
        <v>10.070292014569405</v>
      </c>
      <c r="K1459" s="8">
        <v>1.0077618194940465E-2</v>
      </c>
      <c r="L1459" s="7">
        <v>156.98971090027183</v>
      </c>
      <c r="M1459" s="8">
        <v>0.15710392158421146</v>
      </c>
      <c r="N1459" s="7">
        <v>999.27302461461204</v>
      </c>
      <c r="O1459" s="6">
        <v>0.11724534585129248</v>
      </c>
      <c r="P1459" s="1"/>
    </row>
    <row r="1460" spans="1:16">
      <c r="A1460" s="9" t="s">
        <v>1</v>
      </c>
      <c r="B1460" s="7">
        <v>666.01403216909841</v>
      </c>
      <c r="C1460" s="8">
        <v>0.44665356951547236</v>
      </c>
      <c r="D1460" s="7">
        <v>462.82436930707985</v>
      </c>
      <c r="E1460" s="8">
        <v>0.310387088897353</v>
      </c>
      <c r="F1460" s="7">
        <v>62.222967478663932</v>
      </c>
      <c r="G1460" s="8">
        <v>4.1729016488850926E-2</v>
      </c>
      <c r="H1460" s="7">
        <v>81.312668475341681</v>
      </c>
      <c r="I1460" s="8">
        <v>5.4531273917842071E-2</v>
      </c>
      <c r="J1460" s="7">
        <v>34.590919945822641</v>
      </c>
      <c r="K1460" s="8">
        <v>2.3197946470147189E-2</v>
      </c>
      <c r="L1460" s="7">
        <v>184.1549566360685</v>
      </c>
      <c r="M1460" s="8">
        <v>0.12350110471033318</v>
      </c>
      <c r="N1460" s="7">
        <v>1491.1199140120768</v>
      </c>
      <c r="O1460" s="6">
        <v>0.1749540573173389</v>
      </c>
      <c r="P1460" s="1"/>
    </row>
    <row r="1461" spans="1:16" ht="15.75" thickBot="1">
      <c r="A1461" s="5" t="s">
        <v>0</v>
      </c>
      <c r="B1461" s="3">
        <v>1844.8881128475471</v>
      </c>
      <c r="C1461" s="4">
        <v>0.30582329019682897</v>
      </c>
      <c r="D1461" s="3">
        <v>1618.8837677019501</v>
      </c>
      <c r="E1461" s="4">
        <v>0.26835901691657843</v>
      </c>
      <c r="F1461" s="3">
        <v>359.66273514384642</v>
      </c>
      <c r="G1461" s="4">
        <v>5.9620548399062237E-2</v>
      </c>
      <c r="H1461" s="3">
        <v>535.33427008843569</v>
      </c>
      <c r="I1461" s="4">
        <v>8.8741255739822819E-2</v>
      </c>
      <c r="J1461" s="3">
        <v>328.87392627415414</v>
      </c>
      <c r="K1461" s="4">
        <v>5.4516751174613055E-2</v>
      </c>
      <c r="L1461" s="3">
        <v>1344.8869918715886</v>
      </c>
      <c r="M1461" s="4">
        <v>0.22293913757309408</v>
      </c>
      <c r="N1461" s="3">
        <v>6032.5298039275249</v>
      </c>
      <c r="O1461" s="2">
        <v>0.70780059683137153</v>
      </c>
      <c r="P1461" s="1"/>
    </row>
    <row r="1466" spans="1:16" ht="15.75" thickBot="1"/>
    <row r="1467" spans="1:16" ht="15" customHeight="1">
      <c r="A1467" s="734" t="s">
        <v>13</v>
      </c>
      <c r="B1467" s="642" t="s">
        <v>383</v>
      </c>
      <c r="C1467" s="589"/>
      <c r="D1467" s="589"/>
      <c r="E1467" s="589"/>
      <c r="F1467" s="589"/>
      <c r="G1467" s="589"/>
      <c r="H1467" s="589"/>
      <c r="I1467" s="590"/>
      <c r="J1467" s="1"/>
    </row>
    <row r="1468" spans="1:16" ht="26.25" customHeight="1">
      <c r="A1468" s="735"/>
      <c r="B1468" s="732" t="s">
        <v>12</v>
      </c>
      <c r="C1468" s="592"/>
      <c r="D1468" s="733" t="s">
        <v>11</v>
      </c>
      <c r="E1468" s="592"/>
      <c r="F1468" s="733" t="s">
        <v>10</v>
      </c>
      <c r="G1468" s="592"/>
      <c r="H1468" s="731" t="s">
        <v>9</v>
      </c>
      <c r="I1468" s="663"/>
      <c r="J1468" s="1"/>
    </row>
    <row r="1469" spans="1:16" ht="15.75" thickBot="1">
      <c r="A1469" s="736"/>
      <c r="B1469" s="16" t="s">
        <v>7</v>
      </c>
      <c r="C1469" s="16" t="s">
        <v>8</v>
      </c>
      <c r="D1469" s="16" t="s">
        <v>7</v>
      </c>
      <c r="E1469" s="16" t="s">
        <v>8</v>
      </c>
      <c r="F1469" s="16" t="s">
        <v>7</v>
      </c>
      <c r="G1469" s="16" t="s">
        <v>8</v>
      </c>
      <c r="H1469" s="16" t="s">
        <v>7</v>
      </c>
      <c r="I1469" s="15" t="s">
        <v>6</v>
      </c>
      <c r="J1469" s="1"/>
    </row>
    <row r="1470" spans="1:16" ht="15.75" customHeight="1">
      <c r="A1470" s="14" t="s">
        <v>5</v>
      </c>
      <c r="B1470" s="11">
        <v>188928.20687340476</v>
      </c>
      <c r="C1470" s="12">
        <v>0.73785958185824863</v>
      </c>
      <c r="D1470" s="11">
        <v>46933.829311299727</v>
      </c>
      <c r="E1470" s="12">
        <v>0.18330018711206505</v>
      </c>
      <c r="F1470" s="11">
        <v>20186.962186500044</v>
      </c>
      <c r="G1470" s="10">
        <v>7.8840231029663019E-2</v>
      </c>
      <c r="H1470" s="11">
        <v>256048.9983712105</v>
      </c>
      <c r="I1470" s="10">
        <v>1</v>
      </c>
      <c r="J1470" s="1"/>
    </row>
    <row r="1471" spans="1:16">
      <c r="A1471" s="9" t="s">
        <v>2</v>
      </c>
      <c r="B1471" s="7">
        <v>7156.3232104000281</v>
      </c>
      <c r="C1471" s="8">
        <v>0.58798154554208248</v>
      </c>
      <c r="D1471" s="7">
        <v>3226.9962773000107</v>
      </c>
      <c r="E1471" s="8">
        <v>0.26513814465897273</v>
      </c>
      <c r="F1471" s="7">
        <v>1787.680205499996</v>
      </c>
      <c r="G1471" s="8">
        <v>0.1468803097989364</v>
      </c>
      <c r="H1471" s="7">
        <v>12170.999693200138</v>
      </c>
      <c r="I1471" s="6">
        <v>4.7533869574272129E-2</v>
      </c>
      <c r="J1471" s="1"/>
    </row>
    <row r="1472" spans="1:16">
      <c r="A1472" s="9" t="s">
        <v>1</v>
      </c>
      <c r="B1472" s="7">
        <v>62852.363019999779</v>
      </c>
      <c r="C1472" s="8">
        <v>0.71704255570821218</v>
      </c>
      <c r="D1472" s="7">
        <v>11838.156392000017</v>
      </c>
      <c r="E1472" s="8">
        <v>0.13505398216280509</v>
      </c>
      <c r="F1472" s="7">
        <v>12964.477518999996</v>
      </c>
      <c r="G1472" s="8">
        <v>0.14790346212897967</v>
      </c>
      <c r="H1472" s="7">
        <v>87654.99693100006</v>
      </c>
      <c r="I1472" s="6">
        <v>0.34233680853506421</v>
      </c>
      <c r="J1472" s="1"/>
    </row>
    <row r="1473" spans="1:10" ht="15.75" thickBot="1">
      <c r="A1473" s="9" t="s">
        <v>0</v>
      </c>
      <c r="B1473" s="7">
        <v>118919.52064299953</v>
      </c>
      <c r="C1473" s="8">
        <v>0.76121646180878699</v>
      </c>
      <c r="D1473" s="7">
        <v>31868.676642000075</v>
      </c>
      <c r="E1473" s="8">
        <v>0.2039947785257045</v>
      </c>
      <c r="F1473" s="7">
        <v>5434.8044620000037</v>
      </c>
      <c r="G1473" s="8">
        <v>3.4788759665503988E-2</v>
      </c>
      <c r="H1473" s="7">
        <v>156223.00174700032</v>
      </c>
      <c r="I1473" s="6">
        <v>0.61012932189062463</v>
      </c>
      <c r="J1473" s="1"/>
    </row>
    <row r="1474" spans="1:10" ht="15" customHeight="1">
      <c r="A1474" s="13" t="s">
        <v>4</v>
      </c>
      <c r="B1474" s="11">
        <v>164939.51974037147</v>
      </c>
      <c r="C1474" s="12">
        <v>0.73428507715211655</v>
      </c>
      <c r="D1474" s="11">
        <v>47349.709092361605</v>
      </c>
      <c r="E1474" s="12">
        <v>0.21079353722348063</v>
      </c>
      <c r="F1474" s="11">
        <v>12336.771167267008</v>
      </c>
      <c r="G1474" s="10">
        <v>5.4921385624402325E-2</v>
      </c>
      <c r="H1474" s="11">
        <v>224626.0000000002</v>
      </c>
      <c r="I1474" s="10">
        <v>1</v>
      </c>
      <c r="J1474" s="1"/>
    </row>
    <row r="1475" spans="1:10">
      <c r="A1475" s="9" t="s">
        <v>2</v>
      </c>
      <c r="B1475" s="7">
        <v>6656.871647018017</v>
      </c>
      <c r="C1475" s="8">
        <v>0.63002760240564404</v>
      </c>
      <c r="D1475" s="7">
        <v>3329.6800092637714</v>
      </c>
      <c r="E1475" s="8">
        <v>0.3151315549180182</v>
      </c>
      <c r="F1475" s="7">
        <v>579.44834371818058</v>
      </c>
      <c r="G1475" s="8">
        <v>5.4840842676337508E-2</v>
      </c>
      <c r="H1475" s="7">
        <v>10565.999999999973</v>
      </c>
      <c r="I1475" s="6">
        <v>4.7038187921255616E-2</v>
      </c>
      <c r="J1475" s="1"/>
    </row>
    <row r="1476" spans="1:10">
      <c r="A1476" s="9" t="s">
        <v>1</v>
      </c>
      <c r="B1476" s="7">
        <v>55939.860957598881</v>
      </c>
      <c r="C1476" s="8">
        <v>0.72894360195461327</v>
      </c>
      <c r="D1476" s="7">
        <v>14597.641880599151</v>
      </c>
      <c r="E1476" s="8">
        <v>0.19021959422732537</v>
      </c>
      <c r="F1476" s="7">
        <v>6203.4971618014906</v>
      </c>
      <c r="G1476" s="8">
        <v>8.0836803818056857E-2</v>
      </c>
      <c r="H1476" s="7">
        <v>76740.999999999869</v>
      </c>
      <c r="I1476" s="6">
        <v>0.34163899103398448</v>
      </c>
      <c r="J1476" s="1"/>
    </row>
    <row r="1477" spans="1:10" ht="15.75" thickBot="1">
      <c r="A1477" s="9" t="s">
        <v>0</v>
      </c>
      <c r="B1477" s="7">
        <v>102342.78713575345</v>
      </c>
      <c r="C1477" s="8">
        <v>0.74529225479179317</v>
      </c>
      <c r="D1477" s="7">
        <v>29422.387202498543</v>
      </c>
      <c r="E1477" s="8">
        <v>0.2142630459186185</v>
      </c>
      <c r="F1477" s="7">
        <v>5553.8256617473498</v>
      </c>
      <c r="G1477" s="8">
        <v>4.0444699289591338E-2</v>
      </c>
      <c r="H1477" s="7">
        <v>137318.99999999892</v>
      </c>
      <c r="I1477" s="6">
        <v>0.61132282104475355</v>
      </c>
      <c r="J1477" s="1"/>
    </row>
    <row r="1478" spans="1:10" ht="15.75" customHeight="1">
      <c r="A1478" s="13" t="s">
        <v>3</v>
      </c>
      <c r="B1478" s="11">
        <v>110436.91772921149</v>
      </c>
      <c r="C1478" s="12">
        <v>0.74098347252911223</v>
      </c>
      <c r="D1478" s="11">
        <v>31922.164214267523</v>
      </c>
      <c r="E1478" s="12">
        <v>0.21418377637205538</v>
      </c>
      <c r="F1478" s="11">
        <v>6681.9180565200422</v>
      </c>
      <c r="G1478" s="10">
        <v>4.483275109882541E-2</v>
      </c>
      <c r="H1478" s="11">
        <v>149041.00000000009</v>
      </c>
      <c r="I1478" s="10">
        <v>1</v>
      </c>
      <c r="J1478" s="1"/>
    </row>
    <row r="1479" spans="1:10">
      <c r="A1479" s="9" t="s">
        <v>2</v>
      </c>
      <c r="B1479" s="7">
        <v>5472.213405335061</v>
      </c>
      <c r="C1479" s="8">
        <v>0.62340093476135605</v>
      </c>
      <c r="D1479" s="7">
        <v>2979.5458323509865</v>
      </c>
      <c r="E1479" s="8">
        <v>0.33943333701880307</v>
      </c>
      <c r="F1479" s="7">
        <v>326.24076231393906</v>
      </c>
      <c r="G1479" s="8">
        <v>3.7165728219861742E-2</v>
      </c>
      <c r="H1479" s="7">
        <v>8777.9999999998035</v>
      </c>
      <c r="I1479" s="6">
        <v>5.8896545245937688E-2</v>
      </c>
      <c r="J1479" s="1"/>
    </row>
    <row r="1480" spans="1:10">
      <c r="A1480" s="9" t="s">
        <v>1</v>
      </c>
      <c r="B1480" s="7">
        <v>16139.187298802632</v>
      </c>
      <c r="C1480" s="8">
        <v>0.69712700526122107</v>
      </c>
      <c r="D1480" s="7">
        <v>5786.3699749571406</v>
      </c>
      <c r="E1480" s="8">
        <v>0.2499403902620666</v>
      </c>
      <c r="F1480" s="7">
        <v>1225.4427262402742</v>
      </c>
      <c r="G1480" s="8">
        <v>5.293260447670798E-2</v>
      </c>
      <c r="H1480" s="7">
        <v>23151.000000000146</v>
      </c>
      <c r="I1480" s="6">
        <v>0.15533309626210326</v>
      </c>
      <c r="J1480" s="1"/>
    </row>
    <row r="1481" spans="1:10" ht="15.75" thickBot="1">
      <c r="A1481" s="5" t="s">
        <v>0</v>
      </c>
      <c r="B1481" s="3">
        <v>88825.517025075358</v>
      </c>
      <c r="C1481" s="4">
        <v>0.75846639989988485</v>
      </c>
      <c r="D1481" s="3">
        <v>23156.248406959276</v>
      </c>
      <c r="E1481" s="4">
        <v>0.19772737556321524</v>
      </c>
      <c r="F1481" s="3">
        <v>5130.2345679658429</v>
      </c>
      <c r="G1481" s="4">
        <v>4.3806224536903485E-2</v>
      </c>
      <c r="H1481" s="3">
        <v>117112.00000000006</v>
      </c>
      <c r="I1481" s="2">
        <v>0.78577035849195853</v>
      </c>
      <c r="J1481" s="1"/>
    </row>
  </sheetData>
  <mergeCells count="917">
    <mergeCell ref="BL148:BM148"/>
    <mergeCell ref="BN148:BO148"/>
    <mergeCell ref="B147:G147"/>
    <mergeCell ref="N147:S147"/>
    <mergeCell ref="N146:S146"/>
    <mergeCell ref="P148:Q148"/>
    <mergeCell ref="R148:S148"/>
    <mergeCell ref="N148:O148"/>
    <mergeCell ref="AF148:AG148"/>
    <mergeCell ref="AH148:AI148"/>
    <mergeCell ref="AJ148:AK148"/>
    <mergeCell ref="AL148:AM148"/>
    <mergeCell ref="AN148:AO148"/>
    <mergeCell ref="AP148:AQ148"/>
    <mergeCell ref="Z146:AE146"/>
    <mergeCell ref="Z147:AE147"/>
    <mergeCell ref="Z148:AA148"/>
    <mergeCell ref="AB148:AC148"/>
    <mergeCell ref="AD148:AE148"/>
    <mergeCell ref="AF146:AK146"/>
    <mergeCell ref="AF147:AK147"/>
    <mergeCell ref="AR146:AW146"/>
    <mergeCell ref="AX147:BC147"/>
    <mergeCell ref="AR147:AW147"/>
    <mergeCell ref="BP146:BU146"/>
    <mergeCell ref="BP147:BU147"/>
    <mergeCell ref="BP148:BQ148"/>
    <mergeCell ref="BR148:BS148"/>
    <mergeCell ref="BT148:BU148"/>
    <mergeCell ref="BD146:BI146"/>
    <mergeCell ref="BD147:BI147"/>
    <mergeCell ref="BD148:BE148"/>
    <mergeCell ref="T146:Y146"/>
    <mergeCell ref="T147:Y147"/>
    <mergeCell ref="T148:U148"/>
    <mergeCell ref="V148:W148"/>
    <mergeCell ref="X148:Y148"/>
    <mergeCell ref="AR148:AS148"/>
    <mergeCell ref="AT148:AU148"/>
    <mergeCell ref="AV148:AW148"/>
    <mergeCell ref="AX148:AY148"/>
    <mergeCell ref="AZ148:BA148"/>
    <mergeCell ref="BB148:BC148"/>
    <mergeCell ref="BF148:BG148"/>
    <mergeCell ref="BH148:BI148"/>
    <mergeCell ref="BJ146:BO146"/>
    <mergeCell ref="BJ147:BO147"/>
    <mergeCell ref="BJ148:BK148"/>
    <mergeCell ref="AL146:AQ146"/>
    <mergeCell ref="AL147:AQ147"/>
    <mergeCell ref="AX146:BC146"/>
    <mergeCell ref="AP129:AQ129"/>
    <mergeCell ref="A146:A149"/>
    <mergeCell ref="H146:M146"/>
    <mergeCell ref="H147:M147"/>
    <mergeCell ref="H148:I148"/>
    <mergeCell ref="J148:K148"/>
    <mergeCell ref="L148:M148"/>
    <mergeCell ref="B146:G146"/>
    <mergeCell ref="B148:C148"/>
    <mergeCell ref="D148:E148"/>
    <mergeCell ref="F148:G148"/>
    <mergeCell ref="AZ129:BA129"/>
    <mergeCell ref="BB129:BC129"/>
    <mergeCell ref="AL127:AQ127"/>
    <mergeCell ref="AL128:AQ128"/>
    <mergeCell ref="AL129:AM129"/>
    <mergeCell ref="AN129:AO129"/>
    <mergeCell ref="Z127:AE127"/>
    <mergeCell ref="Z128:AE128"/>
    <mergeCell ref="Z129:AA129"/>
    <mergeCell ref="AB129:AC129"/>
    <mergeCell ref="AD129:AE129"/>
    <mergeCell ref="AF127:AK127"/>
    <mergeCell ref="AF128:AK128"/>
    <mergeCell ref="AF129:AG129"/>
    <mergeCell ref="AH129:AI129"/>
    <mergeCell ref="AJ129:AK129"/>
    <mergeCell ref="T127:Y127"/>
    <mergeCell ref="T128:Y128"/>
    <mergeCell ref="T129:U129"/>
    <mergeCell ref="V129:W129"/>
    <mergeCell ref="X129:Y129"/>
    <mergeCell ref="N129:O129"/>
    <mergeCell ref="P129:Q129"/>
    <mergeCell ref="R129:S129"/>
    <mergeCell ref="N128:S128"/>
    <mergeCell ref="N127:S127"/>
    <mergeCell ref="BP128:BU128"/>
    <mergeCell ref="BP129:BQ129"/>
    <mergeCell ref="BR129:BS129"/>
    <mergeCell ref="BT129:BU129"/>
    <mergeCell ref="BD127:BI127"/>
    <mergeCell ref="BD128:BI128"/>
    <mergeCell ref="BD129:BE129"/>
    <mergeCell ref="BF129:BG129"/>
    <mergeCell ref="BH129:BI129"/>
    <mergeCell ref="BP127:BU127"/>
    <mergeCell ref="BJ127:BO127"/>
    <mergeCell ref="BJ128:BO128"/>
    <mergeCell ref="BJ129:BK129"/>
    <mergeCell ref="BL129:BM129"/>
    <mergeCell ref="BN129:BO129"/>
    <mergeCell ref="H127:M127"/>
    <mergeCell ref="H128:M128"/>
    <mergeCell ref="H129:I129"/>
    <mergeCell ref="J129:K129"/>
    <mergeCell ref="L129:M129"/>
    <mergeCell ref="B129:C129"/>
    <mergeCell ref="D129:E129"/>
    <mergeCell ref="F129:G129"/>
    <mergeCell ref="B128:G128"/>
    <mergeCell ref="B127:G127"/>
    <mergeCell ref="AX127:BC127"/>
    <mergeCell ref="AX128:BC128"/>
    <mergeCell ref="AR128:AW128"/>
    <mergeCell ref="AR127:AW127"/>
    <mergeCell ref="AV129:AW129"/>
    <mergeCell ref="AX129:AY129"/>
    <mergeCell ref="AX111:AY111"/>
    <mergeCell ref="AZ111:BA111"/>
    <mergeCell ref="BB111:BC111"/>
    <mergeCell ref="AR129:AS129"/>
    <mergeCell ref="AT129:AU129"/>
    <mergeCell ref="AL110:AQ110"/>
    <mergeCell ref="AL111:AM111"/>
    <mergeCell ref="AN111:AO111"/>
    <mergeCell ref="AP111:AQ111"/>
    <mergeCell ref="AX110:BC110"/>
    <mergeCell ref="AX109:BC109"/>
    <mergeCell ref="AR109:AW109"/>
    <mergeCell ref="AR110:AW110"/>
    <mergeCell ref="AR111:AS111"/>
    <mergeCell ref="AT111:AU111"/>
    <mergeCell ref="AV111:AW111"/>
    <mergeCell ref="BP110:BU110"/>
    <mergeCell ref="BP111:BQ111"/>
    <mergeCell ref="BR111:BS111"/>
    <mergeCell ref="BT111:BU111"/>
    <mergeCell ref="BD109:BI109"/>
    <mergeCell ref="BD110:BI110"/>
    <mergeCell ref="BD111:BE111"/>
    <mergeCell ref="BF111:BG111"/>
    <mergeCell ref="BH111:BI111"/>
    <mergeCell ref="BJ109:BO109"/>
    <mergeCell ref="BJ110:BO110"/>
    <mergeCell ref="BJ111:BK111"/>
    <mergeCell ref="BL111:BM111"/>
    <mergeCell ref="BN111:BO111"/>
    <mergeCell ref="Z110:AE110"/>
    <mergeCell ref="Z111:AA111"/>
    <mergeCell ref="AB111:AC111"/>
    <mergeCell ref="AD111:AE111"/>
    <mergeCell ref="AF109:AK109"/>
    <mergeCell ref="AF110:AK110"/>
    <mergeCell ref="BL91:BM91"/>
    <mergeCell ref="BN91:BO91"/>
    <mergeCell ref="B111:C111"/>
    <mergeCell ref="D111:E111"/>
    <mergeCell ref="F111:G111"/>
    <mergeCell ref="H109:M109"/>
    <mergeCell ref="H110:M110"/>
    <mergeCell ref="P111:Q111"/>
    <mergeCell ref="R111:S111"/>
    <mergeCell ref="T109:Y109"/>
    <mergeCell ref="T110:Y110"/>
    <mergeCell ref="T111:U111"/>
    <mergeCell ref="V111:W111"/>
    <mergeCell ref="X111:Y111"/>
    <mergeCell ref="AF111:AG111"/>
    <mergeCell ref="AH111:AI111"/>
    <mergeCell ref="AJ111:AK111"/>
    <mergeCell ref="AL109:AQ109"/>
    <mergeCell ref="AL91:AM91"/>
    <mergeCell ref="AN91:AO91"/>
    <mergeCell ref="AP91:AQ91"/>
    <mergeCell ref="AR89:AW89"/>
    <mergeCell ref="AX89:BC89"/>
    <mergeCell ref="AR91:AS91"/>
    <mergeCell ref="BB91:BC91"/>
    <mergeCell ref="BP91:BQ91"/>
    <mergeCell ref="Z109:AE109"/>
    <mergeCell ref="BP109:BU109"/>
    <mergeCell ref="BR91:BS91"/>
    <mergeCell ref="BT91:BU91"/>
    <mergeCell ref="A89:A92"/>
    <mergeCell ref="BD89:BI89"/>
    <mergeCell ref="BD91:BE91"/>
    <mergeCell ref="BF91:BG91"/>
    <mergeCell ref="BH91:BI91"/>
    <mergeCell ref="BJ89:BO89"/>
    <mergeCell ref="B90:G90"/>
    <mergeCell ref="N91:O91"/>
    <mergeCell ref="P91:Q91"/>
    <mergeCell ref="R91:S91"/>
    <mergeCell ref="B91:C91"/>
    <mergeCell ref="D91:E91"/>
    <mergeCell ref="F91:G91"/>
    <mergeCell ref="H91:I91"/>
    <mergeCell ref="J91:K91"/>
    <mergeCell ref="L91:M91"/>
    <mergeCell ref="AT91:AU91"/>
    <mergeCell ref="AV91:AW91"/>
    <mergeCell ref="AX91:AY91"/>
    <mergeCell ref="AZ91:BA91"/>
    <mergeCell ref="BJ91:BK91"/>
    <mergeCell ref="T91:U91"/>
    <mergeCell ref="A109:A112"/>
    <mergeCell ref="N111:O111"/>
    <mergeCell ref="B1387:G1387"/>
    <mergeCell ref="B1388:C1388"/>
    <mergeCell ref="D1388:E1388"/>
    <mergeCell ref="F1388:G1388"/>
    <mergeCell ref="A1387:A1389"/>
    <mergeCell ref="B847:S847"/>
    <mergeCell ref="N1428:O1428"/>
    <mergeCell ref="P1428:Q1428"/>
    <mergeCell ref="A1427:A1429"/>
    <mergeCell ref="B1407:G1407"/>
    <mergeCell ref="B1408:C1408"/>
    <mergeCell ref="D1408:E1408"/>
    <mergeCell ref="F1408:G1408"/>
    <mergeCell ref="A1407:A1409"/>
    <mergeCell ref="H111:I111"/>
    <mergeCell ref="J111:K111"/>
    <mergeCell ref="L111:M111"/>
    <mergeCell ref="B110:G110"/>
    <mergeCell ref="N110:S110"/>
    <mergeCell ref="N109:S109"/>
    <mergeCell ref="B109:G109"/>
    <mergeCell ref="A127:A130"/>
    <mergeCell ref="B1468:C1468"/>
    <mergeCell ref="D1468:E1468"/>
    <mergeCell ref="F1468:G1468"/>
    <mergeCell ref="H1468:I1468"/>
    <mergeCell ref="A1467:A1469"/>
    <mergeCell ref="B1447:O1447"/>
    <mergeCell ref="B1448:C1448"/>
    <mergeCell ref="D1448:E1448"/>
    <mergeCell ref="F1448:G1448"/>
    <mergeCell ref="H1448:I1448"/>
    <mergeCell ref="B1467:I1467"/>
    <mergeCell ref="J1448:K1448"/>
    <mergeCell ref="L1448:M1448"/>
    <mergeCell ref="N1448:O1448"/>
    <mergeCell ref="A1447:A1449"/>
    <mergeCell ref="A1367:A1369"/>
    <mergeCell ref="B1427:Q1427"/>
    <mergeCell ref="B1428:C1428"/>
    <mergeCell ref="D1428:E1428"/>
    <mergeCell ref="F1428:G1428"/>
    <mergeCell ref="H1428:I1428"/>
    <mergeCell ref="J1428:K1428"/>
    <mergeCell ref="L1428:M1428"/>
    <mergeCell ref="P1350:Q1350"/>
    <mergeCell ref="B1367:I1367"/>
    <mergeCell ref="B1368:C1368"/>
    <mergeCell ref="D1368:E1368"/>
    <mergeCell ref="F1368:G1368"/>
    <mergeCell ref="H1368:I1368"/>
    <mergeCell ref="R1350:S1350"/>
    <mergeCell ref="B1329:S1329"/>
    <mergeCell ref="B1330:C1330"/>
    <mergeCell ref="D1330:E1330"/>
    <mergeCell ref="F1330:G1330"/>
    <mergeCell ref="H1330:I1330"/>
    <mergeCell ref="J1330:K1330"/>
    <mergeCell ref="R1330:S1330"/>
    <mergeCell ref="A1329:A1331"/>
    <mergeCell ref="B1349:S1349"/>
    <mergeCell ref="B1350:C1350"/>
    <mergeCell ref="D1350:E1350"/>
    <mergeCell ref="F1350:G1350"/>
    <mergeCell ref="H1350:I1350"/>
    <mergeCell ref="J1350:K1350"/>
    <mergeCell ref="L1350:M1350"/>
    <mergeCell ref="N1350:O1350"/>
    <mergeCell ref="A1349:A1351"/>
    <mergeCell ref="L1330:M1330"/>
    <mergeCell ref="N1330:O1330"/>
    <mergeCell ref="P1330:Q1330"/>
    <mergeCell ref="B809:E809"/>
    <mergeCell ref="A809:A810"/>
    <mergeCell ref="A789:A791"/>
    <mergeCell ref="B789:AS789"/>
    <mergeCell ref="B790:C790"/>
    <mergeCell ref="D790:E790"/>
    <mergeCell ref="F790:G790"/>
    <mergeCell ref="A769:A771"/>
    <mergeCell ref="B769:Q769"/>
    <mergeCell ref="B770:C770"/>
    <mergeCell ref="D770:E770"/>
    <mergeCell ref="F770:G770"/>
    <mergeCell ref="H770:I770"/>
    <mergeCell ref="J770:K770"/>
    <mergeCell ref="L770:M770"/>
    <mergeCell ref="N770:O770"/>
    <mergeCell ref="P770:Q770"/>
    <mergeCell ref="T790:U790"/>
    <mergeCell ref="V790:W790"/>
    <mergeCell ref="X790:Y790"/>
    <mergeCell ref="Z790:AA790"/>
    <mergeCell ref="AB790:AC790"/>
    <mergeCell ref="AD790:AE790"/>
    <mergeCell ref="H790:I790"/>
    <mergeCell ref="AJ790:AK790"/>
    <mergeCell ref="AL790:AM790"/>
    <mergeCell ref="AN790:AO790"/>
    <mergeCell ref="AP790:AQ790"/>
    <mergeCell ref="AR790:AS790"/>
    <mergeCell ref="AF790:AG790"/>
    <mergeCell ref="AH790:AI790"/>
    <mergeCell ref="J732:K732"/>
    <mergeCell ref="L732:M732"/>
    <mergeCell ref="N732:O732"/>
    <mergeCell ref="P732:Q732"/>
    <mergeCell ref="R732:S732"/>
    <mergeCell ref="T732:U732"/>
    <mergeCell ref="J790:K790"/>
    <mergeCell ref="L790:M790"/>
    <mergeCell ref="N790:O790"/>
    <mergeCell ref="P790:Q790"/>
    <mergeCell ref="R790:S790"/>
    <mergeCell ref="B751:C751"/>
    <mergeCell ref="D751:E751"/>
    <mergeCell ref="F751:G751"/>
    <mergeCell ref="H751:I751"/>
    <mergeCell ref="A731:A733"/>
    <mergeCell ref="A750:A752"/>
    <mergeCell ref="B731:W731"/>
    <mergeCell ref="B732:C732"/>
    <mergeCell ref="D732:E732"/>
    <mergeCell ref="F732:G732"/>
    <mergeCell ref="V732:W732"/>
    <mergeCell ref="A713:A715"/>
    <mergeCell ref="B678:E678"/>
    <mergeCell ref="A678:A679"/>
    <mergeCell ref="B695:E695"/>
    <mergeCell ref="A695:A696"/>
    <mergeCell ref="B750:I750"/>
    <mergeCell ref="H732:I732"/>
    <mergeCell ref="Z640:AA640"/>
    <mergeCell ref="AB640:AC640"/>
    <mergeCell ref="A639:A641"/>
    <mergeCell ref="A658:A660"/>
    <mergeCell ref="B639:AS639"/>
    <mergeCell ref="AR640:AS640"/>
    <mergeCell ref="B713:G713"/>
    <mergeCell ref="B714:C714"/>
    <mergeCell ref="D714:E714"/>
    <mergeCell ref="F714:G714"/>
    <mergeCell ref="F640:G640"/>
    <mergeCell ref="H640:I640"/>
    <mergeCell ref="J640:K640"/>
    <mergeCell ref="L640:M640"/>
    <mergeCell ref="N640:O640"/>
    <mergeCell ref="B658:I658"/>
    <mergeCell ref="B659:C659"/>
    <mergeCell ref="D659:E659"/>
    <mergeCell ref="F659:G659"/>
    <mergeCell ref="H659:I659"/>
    <mergeCell ref="B640:C640"/>
    <mergeCell ref="D640:E640"/>
    <mergeCell ref="AP640:AQ640"/>
    <mergeCell ref="R640:S640"/>
    <mergeCell ref="T640:U640"/>
    <mergeCell ref="V640:W640"/>
    <mergeCell ref="X640:Y640"/>
    <mergeCell ref="AD640:AE640"/>
    <mergeCell ref="AF640:AG640"/>
    <mergeCell ref="P640:Q640"/>
    <mergeCell ref="A619:A621"/>
    <mergeCell ref="B619:O619"/>
    <mergeCell ref="B620:C620"/>
    <mergeCell ref="D620:E620"/>
    <mergeCell ref="F620:G620"/>
    <mergeCell ref="H620:I620"/>
    <mergeCell ref="J620:K620"/>
    <mergeCell ref="L620:M620"/>
    <mergeCell ref="N620:O620"/>
    <mergeCell ref="H601:I601"/>
    <mergeCell ref="J601:K601"/>
    <mergeCell ref="L601:M601"/>
    <mergeCell ref="N601:O601"/>
    <mergeCell ref="P601:Q601"/>
    <mergeCell ref="AH640:AI640"/>
    <mergeCell ref="AJ640:AK640"/>
    <mergeCell ref="AL640:AM640"/>
    <mergeCell ref="AN640:AO640"/>
    <mergeCell ref="A600:A602"/>
    <mergeCell ref="B581:K581"/>
    <mergeCell ref="B582:C582"/>
    <mergeCell ref="D582:E582"/>
    <mergeCell ref="F582:G582"/>
    <mergeCell ref="H582:I582"/>
    <mergeCell ref="J582:K582"/>
    <mergeCell ref="T564:U564"/>
    <mergeCell ref="B563:U563"/>
    <mergeCell ref="B564:C564"/>
    <mergeCell ref="D564:E564"/>
    <mergeCell ref="F564:G564"/>
    <mergeCell ref="H564:I564"/>
    <mergeCell ref="J564:K564"/>
    <mergeCell ref="L564:M564"/>
    <mergeCell ref="N564:O564"/>
    <mergeCell ref="P564:Q564"/>
    <mergeCell ref="R564:S564"/>
    <mergeCell ref="A563:A565"/>
    <mergeCell ref="A581:A583"/>
    <mergeCell ref="B600:Q600"/>
    <mergeCell ref="B601:C601"/>
    <mergeCell ref="D601:E601"/>
    <mergeCell ref="F601:G601"/>
    <mergeCell ref="A296:A298"/>
    <mergeCell ref="R316:S316"/>
    <mergeCell ref="B528:C528"/>
    <mergeCell ref="B545:W545"/>
    <mergeCell ref="B546:C546"/>
    <mergeCell ref="D546:E546"/>
    <mergeCell ref="F546:G546"/>
    <mergeCell ref="H546:I546"/>
    <mergeCell ref="J546:K546"/>
    <mergeCell ref="L546:M546"/>
    <mergeCell ref="N546:O546"/>
    <mergeCell ref="P546:Q546"/>
    <mergeCell ref="R546:S546"/>
    <mergeCell ref="T546:U546"/>
    <mergeCell ref="V546:W546"/>
    <mergeCell ref="B351:K351"/>
    <mergeCell ref="A258:A260"/>
    <mergeCell ref="B239:I239"/>
    <mergeCell ref="B240:C240"/>
    <mergeCell ref="D240:E240"/>
    <mergeCell ref="F240:G240"/>
    <mergeCell ref="H240:I240"/>
    <mergeCell ref="A239:A241"/>
    <mergeCell ref="B258:U258"/>
    <mergeCell ref="L259:M259"/>
    <mergeCell ref="N259:O259"/>
    <mergeCell ref="P259:Q259"/>
    <mergeCell ref="R259:S259"/>
    <mergeCell ref="T259:U259"/>
    <mergeCell ref="A277:A279"/>
    <mergeCell ref="A315:A317"/>
    <mergeCell ref="B315:S315"/>
    <mergeCell ref="B316:C316"/>
    <mergeCell ref="D316:E316"/>
    <mergeCell ref="F316:G316"/>
    <mergeCell ref="H316:I316"/>
    <mergeCell ref="J316:K316"/>
    <mergeCell ref="L316:M316"/>
    <mergeCell ref="N316:O316"/>
    <mergeCell ref="A61:A63"/>
    <mergeCell ref="A64:A66"/>
    <mergeCell ref="C38:E38"/>
    <mergeCell ref="AL90:AQ90"/>
    <mergeCell ref="BP90:BU90"/>
    <mergeCell ref="BJ90:BO90"/>
    <mergeCell ref="AX90:BC90"/>
    <mergeCell ref="BD90:BI90"/>
    <mergeCell ref="AR90:AW90"/>
    <mergeCell ref="N90:S90"/>
    <mergeCell ref="Z89:AE89"/>
    <mergeCell ref="B89:G89"/>
    <mergeCell ref="H89:M89"/>
    <mergeCell ref="N89:S89"/>
    <mergeCell ref="F38:F39"/>
    <mergeCell ref="A40:A42"/>
    <mergeCell ref="A43:A45"/>
    <mergeCell ref="A46:A48"/>
    <mergeCell ref="BP89:BU89"/>
    <mergeCell ref="AL89:AQ89"/>
    <mergeCell ref="B20:E20"/>
    <mergeCell ref="A20:A21"/>
    <mergeCell ref="A1:A3"/>
    <mergeCell ref="B1:G1"/>
    <mergeCell ref="B2:C2"/>
    <mergeCell ref="D2:E2"/>
    <mergeCell ref="F2:G2"/>
    <mergeCell ref="N71:O71"/>
    <mergeCell ref="P71:Q71"/>
    <mergeCell ref="L71:M71"/>
    <mergeCell ref="J71:K71"/>
    <mergeCell ref="A37:F37"/>
    <mergeCell ref="A38:B39"/>
    <mergeCell ref="A49:A51"/>
    <mergeCell ref="A52:A54"/>
    <mergeCell ref="A55:A57"/>
    <mergeCell ref="A58:A60"/>
    <mergeCell ref="A70:A72"/>
    <mergeCell ref="H71:I71"/>
    <mergeCell ref="B71:C71"/>
    <mergeCell ref="D71:E71"/>
    <mergeCell ref="F71:G71"/>
    <mergeCell ref="B70:AC70"/>
    <mergeCell ref="R71:S71"/>
    <mergeCell ref="V91:W91"/>
    <mergeCell ref="X91:Y91"/>
    <mergeCell ref="X71:Y71"/>
    <mergeCell ref="T71:U71"/>
    <mergeCell ref="V71:W71"/>
    <mergeCell ref="AF90:AK90"/>
    <mergeCell ref="Z91:AA91"/>
    <mergeCell ref="AB91:AC91"/>
    <mergeCell ref="AD91:AE91"/>
    <mergeCell ref="AF91:AG91"/>
    <mergeCell ref="AH91:AI91"/>
    <mergeCell ref="AJ91:AK91"/>
    <mergeCell ref="AF89:AK89"/>
    <mergeCell ref="T89:Y89"/>
    <mergeCell ref="Z90:AE90"/>
    <mergeCell ref="T90:Y90"/>
    <mergeCell ref="AB71:AC71"/>
    <mergeCell ref="Z71:AA71"/>
    <mergeCell ref="B352:C352"/>
    <mergeCell ref="D352:E352"/>
    <mergeCell ref="F352:G352"/>
    <mergeCell ref="H352:I352"/>
    <mergeCell ref="J352:K352"/>
    <mergeCell ref="H90:M90"/>
    <mergeCell ref="H334:I334"/>
    <mergeCell ref="J334:K334"/>
    <mergeCell ref="L334:M334"/>
    <mergeCell ref="A164:F164"/>
    <mergeCell ref="A167:A169"/>
    <mergeCell ref="A170:A172"/>
    <mergeCell ref="A173:A175"/>
    <mergeCell ref="A176:A178"/>
    <mergeCell ref="A179:A181"/>
    <mergeCell ref="F165:F166"/>
    <mergeCell ref="A351:A353"/>
    <mergeCell ref="A333:A335"/>
    <mergeCell ref="B259:C259"/>
    <mergeCell ref="D259:E259"/>
    <mergeCell ref="F259:G259"/>
    <mergeCell ref="H259:I259"/>
    <mergeCell ref="J259:K259"/>
    <mergeCell ref="B277:M277"/>
    <mergeCell ref="N334:O334"/>
    <mergeCell ref="P334:Q334"/>
    <mergeCell ref="B333:Q333"/>
    <mergeCell ref="B334:C334"/>
    <mergeCell ref="D334:E334"/>
    <mergeCell ref="F334:G334"/>
    <mergeCell ref="D198:E198"/>
    <mergeCell ref="F198:G198"/>
    <mergeCell ref="P316:Q316"/>
    <mergeCell ref="B297:C297"/>
    <mergeCell ref="D297:E297"/>
    <mergeCell ref="F297:G297"/>
    <mergeCell ref="B296:G296"/>
    <mergeCell ref="B278:C278"/>
    <mergeCell ref="D278:E278"/>
    <mergeCell ref="F278:G278"/>
    <mergeCell ref="H278:I278"/>
    <mergeCell ref="J278:K278"/>
    <mergeCell ref="L278:M278"/>
    <mergeCell ref="J371:K371"/>
    <mergeCell ref="L371:M371"/>
    <mergeCell ref="N371:O371"/>
    <mergeCell ref="A407:A409"/>
    <mergeCell ref="B427:G427"/>
    <mergeCell ref="B428:C428"/>
    <mergeCell ref="D428:E428"/>
    <mergeCell ref="F428:G428"/>
    <mergeCell ref="A427:A429"/>
    <mergeCell ref="B407:G407"/>
    <mergeCell ref="B408:C408"/>
    <mergeCell ref="D408:E408"/>
    <mergeCell ref="F408:G408"/>
    <mergeCell ref="B389:C389"/>
    <mergeCell ref="D389:E389"/>
    <mergeCell ref="F389:G389"/>
    <mergeCell ref="B388:G388"/>
    <mergeCell ref="A388:A390"/>
    <mergeCell ref="A370:A372"/>
    <mergeCell ref="B370:O370"/>
    <mergeCell ref="B371:C371"/>
    <mergeCell ref="D371:E371"/>
    <mergeCell ref="F371:G371"/>
    <mergeCell ref="H371:I371"/>
    <mergeCell ref="N448:O448"/>
    <mergeCell ref="P448:Q448"/>
    <mergeCell ref="R448:S448"/>
    <mergeCell ref="T448:U448"/>
    <mergeCell ref="V448:W448"/>
    <mergeCell ref="X448:Y448"/>
    <mergeCell ref="R468:S468"/>
    <mergeCell ref="T468:U468"/>
    <mergeCell ref="A447:A449"/>
    <mergeCell ref="B447:Y447"/>
    <mergeCell ref="B448:C448"/>
    <mergeCell ref="D448:E448"/>
    <mergeCell ref="F448:G448"/>
    <mergeCell ref="H448:I448"/>
    <mergeCell ref="J448:K448"/>
    <mergeCell ref="L448:M448"/>
    <mergeCell ref="F468:G468"/>
    <mergeCell ref="H468:I468"/>
    <mergeCell ref="J468:K468"/>
    <mergeCell ref="L468:M468"/>
    <mergeCell ref="N468:O468"/>
    <mergeCell ref="P468:Q468"/>
    <mergeCell ref="F906:G906"/>
    <mergeCell ref="H906:I906"/>
    <mergeCell ref="A507:A509"/>
    <mergeCell ref="A467:A469"/>
    <mergeCell ref="B487:G487"/>
    <mergeCell ref="B488:C488"/>
    <mergeCell ref="D488:E488"/>
    <mergeCell ref="F488:G488"/>
    <mergeCell ref="A487:A489"/>
    <mergeCell ref="B467:U467"/>
    <mergeCell ref="B468:C468"/>
    <mergeCell ref="D468:E468"/>
    <mergeCell ref="B507:M507"/>
    <mergeCell ref="B508:C508"/>
    <mergeCell ref="D508:E508"/>
    <mergeCell ref="F508:G508"/>
    <mergeCell ref="H508:I508"/>
    <mergeCell ref="J508:K508"/>
    <mergeCell ref="L508:M508"/>
    <mergeCell ref="D528:E528"/>
    <mergeCell ref="F528:G528"/>
    <mergeCell ref="A527:A529"/>
    <mergeCell ref="A545:A547"/>
    <mergeCell ref="B527:G527"/>
    <mergeCell ref="A885:A887"/>
    <mergeCell ref="A905:A907"/>
    <mergeCell ref="B885:W885"/>
    <mergeCell ref="B886:C886"/>
    <mergeCell ref="D886:E886"/>
    <mergeCell ref="F886:G886"/>
    <mergeCell ref="B827:G827"/>
    <mergeCell ref="B828:C828"/>
    <mergeCell ref="D828:E828"/>
    <mergeCell ref="F828:G828"/>
    <mergeCell ref="A827:A829"/>
    <mergeCell ref="B905:I905"/>
    <mergeCell ref="H886:I886"/>
    <mergeCell ref="B867:G867"/>
    <mergeCell ref="A847:A849"/>
    <mergeCell ref="A867:A869"/>
    <mergeCell ref="N848:O848"/>
    <mergeCell ref="P848:Q848"/>
    <mergeCell ref="R848:S848"/>
    <mergeCell ref="B868:C868"/>
    <mergeCell ref="D868:E868"/>
    <mergeCell ref="F868:G868"/>
    <mergeCell ref="V886:W886"/>
    <mergeCell ref="J886:K886"/>
    <mergeCell ref="B848:C848"/>
    <mergeCell ref="D848:E848"/>
    <mergeCell ref="F848:G848"/>
    <mergeCell ref="H848:I848"/>
    <mergeCell ref="J848:K848"/>
    <mergeCell ref="L848:M848"/>
    <mergeCell ref="Z926:AA926"/>
    <mergeCell ref="AB926:AC926"/>
    <mergeCell ref="AD926:AE926"/>
    <mergeCell ref="N926:O926"/>
    <mergeCell ref="P926:Q926"/>
    <mergeCell ref="R926:S926"/>
    <mergeCell ref="T926:U926"/>
    <mergeCell ref="V926:W926"/>
    <mergeCell ref="X926:Y926"/>
    <mergeCell ref="B926:C926"/>
    <mergeCell ref="D926:E926"/>
    <mergeCell ref="L886:M886"/>
    <mergeCell ref="N886:O886"/>
    <mergeCell ref="P886:Q886"/>
    <mergeCell ref="R886:S886"/>
    <mergeCell ref="T886:U886"/>
    <mergeCell ref="B906:C906"/>
    <mergeCell ref="D906:E906"/>
    <mergeCell ref="A961:A963"/>
    <mergeCell ref="B943:E943"/>
    <mergeCell ref="A943:A944"/>
    <mergeCell ref="A925:A927"/>
    <mergeCell ref="B925:AS925"/>
    <mergeCell ref="AL926:AM926"/>
    <mergeCell ref="AN926:AO926"/>
    <mergeCell ref="AP926:AQ926"/>
    <mergeCell ref="AR926:AS926"/>
    <mergeCell ref="AF926:AG926"/>
    <mergeCell ref="AH926:AI926"/>
    <mergeCell ref="AJ926:AK926"/>
    <mergeCell ref="L980:M980"/>
    <mergeCell ref="N980:O980"/>
    <mergeCell ref="P980:Q980"/>
    <mergeCell ref="R980:S980"/>
    <mergeCell ref="T980:U980"/>
    <mergeCell ref="P1000:Q1000"/>
    <mergeCell ref="R1000:S1000"/>
    <mergeCell ref="T1000:U1000"/>
    <mergeCell ref="F926:G926"/>
    <mergeCell ref="H926:I926"/>
    <mergeCell ref="J926:K926"/>
    <mergeCell ref="L926:M926"/>
    <mergeCell ref="B961:G961"/>
    <mergeCell ref="B962:C962"/>
    <mergeCell ref="D962:E962"/>
    <mergeCell ref="F962:G962"/>
    <mergeCell ref="V1000:W1000"/>
    <mergeCell ref="A979:A981"/>
    <mergeCell ref="B979:U979"/>
    <mergeCell ref="B980:C980"/>
    <mergeCell ref="D980:E980"/>
    <mergeCell ref="F980:G980"/>
    <mergeCell ref="H980:I980"/>
    <mergeCell ref="A999:A1001"/>
    <mergeCell ref="A1019:A1021"/>
    <mergeCell ref="B999:W999"/>
    <mergeCell ref="B1000:C1000"/>
    <mergeCell ref="D1000:E1000"/>
    <mergeCell ref="F1000:G1000"/>
    <mergeCell ref="H1000:I1000"/>
    <mergeCell ref="J1000:K1000"/>
    <mergeCell ref="L1000:M1000"/>
    <mergeCell ref="N1000:O1000"/>
    <mergeCell ref="B1019:K1019"/>
    <mergeCell ref="B1020:C1020"/>
    <mergeCell ref="D1020:E1020"/>
    <mergeCell ref="F1020:G1020"/>
    <mergeCell ref="H1020:I1020"/>
    <mergeCell ref="J1020:K1020"/>
    <mergeCell ref="J980:K980"/>
    <mergeCell ref="A1059:A1061"/>
    <mergeCell ref="B1039:K1039"/>
    <mergeCell ref="B1040:C1040"/>
    <mergeCell ref="D1040:E1040"/>
    <mergeCell ref="F1040:G1040"/>
    <mergeCell ref="H1040:I1040"/>
    <mergeCell ref="J1040:K1040"/>
    <mergeCell ref="A1039:A1041"/>
    <mergeCell ref="B1059:K1059"/>
    <mergeCell ref="B1060:C1060"/>
    <mergeCell ref="D1060:E1060"/>
    <mergeCell ref="F1060:G1060"/>
    <mergeCell ref="H1060:I1060"/>
    <mergeCell ref="J1060:K1060"/>
    <mergeCell ref="B1077:G1077"/>
    <mergeCell ref="B1078:C1078"/>
    <mergeCell ref="D1078:E1078"/>
    <mergeCell ref="F1078:G1078"/>
    <mergeCell ref="A1077:A1079"/>
    <mergeCell ref="F1098:G1098"/>
    <mergeCell ref="H1098:I1098"/>
    <mergeCell ref="J1098:K1098"/>
    <mergeCell ref="L1098:M1098"/>
    <mergeCell ref="B1115:I1115"/>
    <mergeCell ref="B1116:C1116"/>
    <mergeCell ref="D1116:E1116"/>
    <mergeCell ref="F1116:G1116"/>
    <mergeCell ref="H1116:I1116"/>
    <mergeCell ref="A1097:A1099"/>
    <mergeCell ref="A1115:A1117"/>
    <mergeCell ref="B1097:S1097"/>
    <mergeCell ref="B1098:C1098"/>
    <mergeCell ref="D1098:E1098"/>
    <mergeCell ref="R1098:S1098"/>
    <mergeCell ref="N1098:O1098"/>
    <mergeCell ref="P1098:Q1098"/>
    <mergeCell ref="B1135:I1135"/>
    <mergeCell ref="B1136:C1136"/>
    <mergeCell ref="D1136:E1136"/>
    <mergeCell ref="F1136:G1136"/>
    <mergeCell ref="H1136:I1136"/>
    <mergeCell ref="A1135:A1137"/>
    <mergeCell ref="B1153:I1153"/>
    <mergeCell ref="B1154:C1154"/>
    <mergeCell ref="D1154:E1154"/>
    <mergeCell ref="F1154:G1154"/>
    <mergeCell ref="H1154:I1154"/>
    <mergeCell ref="A1153:A1155"/>
    <mergeCell ref="A1190:A1192"/>
    <mergeCell ref="B1171:I1171"/>
    <mergeCell ref="B1172:C1172"/>
    <mergeCell ref="D1172:E1172"/>
    <mergeCell ref="F1172:G1172"/>
    <mergeCell ref="H1172:I1172"/>
    <mergeCell ref="A1171:A1173"/>
    <mergeCell ref="N1211:O1211"/>
    <mergeCell ref="P1211:Q1211"/>
    <mergeCell ref="A1210:A1212"/>
    <mergeCell ref="R1211:S1211"/>
    <mergeCell ref="T1211:U1211"/>
    <mergeCell ref="V1211:W1211"/>
    <mergeCell ref="B1190:G1190"/>
    <mergeCell ref="B1191:C1191"/>
    <mergeCell ref="D1191:E1191"/>
    <mergeCell ref="F1191:G1191"/>
    <mergeCell ref="T1230:U1230"/>
    <mergeCell ref="V1230:W1230"/>
    <mergeCell ref="B1210:W1210"/>
    <mergeCell ref="B1211:C1211"/>
    <mergeCell ref="D1211:E1211"/>
    <mergeCell ref="F1211:G1211"/>
    <mergeCell ref="H1211:I1211"/>
    <mergeCell ref="J1211:K1211"/>
    <mergeCell ref="L1211:M1211"/>
    <mergeCell ref="H1230:I1230"/>
    <mergeCell ref="J1230:K1230"/>
    <mergeCell ref="L1230:M1230"/>
    <mergeCell ref="N1230:O1230"/>
    <mergeCell ref="P1230:Q1230"/>
    <mergeCell ref="R1230:S1230"/>
    <mergeCell ref="R1250:S1250"/>
    <mergeCell ref="T1250:U1250"/>
    <mergeCell ref="V1250:W1250"/>
    <mergeCell ref="A1269:A1271"/>
    <mergeCell ref="B1269:Q1269"/>
    <mergeCell ref="A1229:A1231"/>
    <mergeCell ref="B1229:W1229"/>
    <mergeCell ref="B1230:C1230"/>
    <mergeCell ref="D1230:E1230"/>
    <mergeCell ref="F1230:G1230"/>
    <mergeCell ref="A1249:A1251"/>
    <mergeCell ref="B1249:W1249"/>
    <mergeCell ref="B1250:C1250"/>
    <mergeCell ref="D1250:E1250"/>
    <mergeCell ref="F1250:G1250"/>
    <mergeCell ref="H1250:I1250"/>
    <mergeCell ref="J1250:K1250"/>
    <mergeCell ref="L1250:M1250"/>
    <mergeCell ref="N1250:O1250"/>
    <mergeCell ref="P1250:Q1250"/>
    <mergeCell ref="B1270:C1270"/>
    <mergeCell ref="D1270:E1270"/>
    <mergeCell ref="F1270:G1270"/>
    <mergeCell ref="H1270:I1270"/>
    <mergeCell ref="J1270:K1270"/>
    <mergeCell ref="L1270:M1270"/>
    <mergeCell ref="N1270:O1270"/>
    <mergeCell ref="P1270:Q1270"/>
    <mergeCell ref="H1290:I1290"/>
    <mergeCell ref="J1290:K1290"/>
    <mergeCell ref="L1290:M1290"/>
    <mergeCell ref="N1290:O1290"/>
    <mergeCell ref="P1290:Q1290"/>
    <mergeCell ref="B1309:G1309"/>
    <mergeCell ref="B1310:C1310"/>
    <mergeCell ref="D1310:E1310"/>
    <mergeCell ref="F1310:G1310"/>
    <mergeCell ref="A1289:A1291"/>
    <mergeCell ref="A1309:A1311"/>
    <mergeCell ref="B1289:U1289"/>
    <mergeCell ref="B1290:C1290"/>
    <mergeCell ref="D1290:E1290"/>
    <mergeCell ref="F1290:G1290"/>
    <mergeCell ref="T1290:U1290"/>
    <mergeCell ref="R1290:S1290"/>
    <mergeCell ref="BV217:BW217"/>
    <mergeCell ref="BX217:BY217"/>
    <mergeCell ref="BZ217:CA217"/>
    <mergeCell ref="CB217:CC217"/>
    <mergeCell ref="CD217:CE217"/>
    <mergeCell ref="CF217:CG217"/>
    <mergeCell ref="CH217:CI217"/>
    <mergeCell ref="CJ217:CK217"/>
    <mergeCell ref="CL217:CM217"/>
    <mergeCell ref="CN217:CO217"/>
    <mergeCell ref="CP217:CQ217"/>
    <mergeCell ref="CR217:CS217"/>
    <mergeCell ref="CT217:CU217"/>
    <mergeCell ref="CV217:CW217"/>
    <mergeCell ref="CX217:CY217"/>
    <mergeCell ref="CZ217:DA217"/>
    <mergeCell ref="DB217:DC217"/>
    <mergeCell ref="DD217:DE217"/>
    <mergeCell ref="A185:A187"/>
    <mergeCell ref="A188:A190"/>
    <mergeCell ref="A191:A193"/>
    <mergeCell ref="A165:B166"/>
    <mergeCell ref="C165:E165"/>
    <mergeCell ref="B216:DE216"/>
    <mergeCell ref="A182:A184"/>
    <mergeCell ref="A197:A199"/>
    <mergeCell ref="B197:G197"/>
    <mergeCell ref="B198:C198"/>
    <mergeCell ref="BP217:BQ217"/>
    <mergeCell ref="BR217:BS217"/>
    <mergeCell ref="BT217:BU217"/>
    <mergeCell ref="Z217:AA217"/>
    <mergeCell ref="AB217:AC217"/>
    <mergeCell ref="AD217:AE217"/>
    <mergeCell ref="AF217:AG217"/>
    <mergeCell ref="AH217:AI217"/>
    <mergeCell ref="AJ217:AK217"/>
    <mergeCell ref="AL217:AM217"/>
    <mergeCell ref="AN217:AO217"/>
    <mergeCell ref="AP217:AQ217"/>
    <mergeCell ref="AR217:AS217"/>
    <mergeCell ref="AT217:AU217"/>
    <mergeCell ref="AV217:AW217"/>
    <mergeCell ref="AX217:AY217"/>
    <mergeCell ref="AZ217:BA217"/>
    <mergeCell ref="BB217:BC217"/>
    <mergeCell ref="BD217:BE217"/>
    <mergeCell ref="BF217:BG217"/>
    <mergeCell ref="BH217:BI217"/>
    <mergeCell ref="BJ217:BK217"/>
    <mergeCell ref="BL217:BM217"/>
    <mergeCell ref="BN217:BO217"/>
    <mergeCell ref="X217:Y217"/>
    <mergeCell ref="B217:C217"/>
    <mergeCell ref="D217:E217"/>
    <mergeCell ref="F217:G217"/>
    <mergeCell ref="H217:I217"/>
    <mergeCell ref="J217:K217"/>
    <mergeCell ref="L217:M217"/>
    <mergeCell ref="A216:A218"/>
    <mergeCell ref="N217:O217"/>
    <mergeCell ref="P217:Q217"/>
    <mergeCell ref="R217:S217"/>
    <mergeCell ref="T217:U217"/>
    <mergeCell ref="V217:W217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D2572"/>
  <sheetViews>
    <sheetView topLeftCell="A2562" zoomScale="80" zoomScaleNormal="80" workbookViewId="0">
      <selection activeCell="B2580" sqref="B2580:B2581"/>
    </sheetView>
  </sheetViews>
  <sheetFormatPr baseColWidth="10" defaultRowHeight="15"/>
  <cols>
    <col min="1" max="1" width="42.140625" customWidth="1"/>
    <col min="2" max="2" width="11.28515625" customWidth="1"/>
    <col min="3" max="7" width="10.7109375" customWidth="1"/>
    <col min="8" max="43" width="11.42578125" customWidth="1"/>
  </cols>
  <sheetData>
    <row r="1" spans="1:8" ht="15" customHeight="1">
      <c r="A1" s="674" t="s">
        <v>310</v>
      </c>
      <c r="B1" s="798" t="s">
        <v>301</v>
      </c>
      <c r="C1" s="799"/>
      <c r="D1" s="799"/>
      <c r="E1" s="799"/>
      <c r="F1" s="799"/>
      <c r="G1" s="800"/>
      <c r="H1" s="326"/>
    </row>
    <row r="2" spans="1:8" ht="15" customHeight="1">
      <c r="A2" s="675"/>
      <c r="B2" s="809" t="s">
        <v>300</v>
      </c>
      <c r="C2" s="810"/>
      <c r="D2" s="811" t="s">
        <v>299</v>
      </c>
      <c r="E2" s="810"/>
      <c r="F2" s="812" t="s">
        <v>9</v>
      </c>
      <c r="G2" s="813"/>
      <c r="H2" s="326"/>
    </row>
    <row r="3" spans="1:8" ht="15.75" customHeight="1" thickBot="1">
      <c r="A3" s="676"/>
      <c r="B3" s="124" t="s">
        <v>7</v>
      </c>
      <c r="C3" s="16" t="s">
        <v>8</v>
      </c>
      <c r="D3" s="16" t="s">
        <v>7</v>
      </c>
      <c r="E3" s="16" t="s">
        <v>8</v>
      </c>
      <c r="F3" s="16" t="s">
        <v>7</v>
      </c>
      <c r="G3" s="15" t="s">
        <v>6</v>
      </c>
      <c r="H3" s="326"/>
    </row>
    <row r="4" spans="1:8" s="240" customFormat="1" ht="15.75" customHeight="1">
      <c r="A4" s="290" t="s">
        <v>5</v>
      </c>
      <c r="B4" s="567">
        <v>183291.13498070484</v>
      </c>
      <c r="C4" s="303">
        <v>0.71584398356042778</v>
      </c>
      <c r="D4" s="566">
        <v>72757.863390499537</v>
      </c>
      <c r="E4" s="303">
        <v>0.28415601643954819</v>
      </c>
      <c r="F4" s="566">
        <v>256048.9983712105</v>
      </c>
      <c r="G4" s="301">
        <v>1</v>
      </c>
      <c r="H4" s="562"/>
    </row>
    <row r="5" spans="1:8" s="240" customFormat="1">
      <c r="A5" s="549" t="s">
        <v>309</v>
      </c>
      <c r="B5" s="564">
        <v>3414.5095021999991</v>
      </c>
      <c r="C5" s="565">
        <v>0.60156966095874775</v>
      </c>
      <c r="D5" s="564">
        <v>2261.4906749999996</v>
      </c>
      <c r="E5" s="565">
        <v>0.39843033904125114</v>
      </c>
      <c r="F5" s="564">
        <v>5676.0001772000051</v>
      </c>
      <c r="G5" s="563">
        <v>2.2167632809760682E-2</v>
      </c>
      <c r="H5" s="562"/>
    </row>
    <row r="6" spans="1:8" s="240" customFormat="1">
      <c r="A6" s="549" t="s">
        <v>308</v>
      </c>
      <c r="B6" s="564">
        <v>9219.6935500000109</v>
      </c>
      <c r="C6" s="565">
        <v>0.8768134604705462</v>
      </c>
      <c r="D6" s="564">
        <v>1295.3064650000008</v>
      </c>
      <c r="E6" s="565">
        <v>0.1231865395294532</v>
      </c>
      <c r="F6" s="564">
        <v>10515.000015000018</v>
      </c>
      <c r="G6" s="563">
        <v>4.1066358712154596E-2</v>
      </c>
      <c r="H6" s="562"/>
    </row>
    <row r="7" spans="1:8" s="240" customFormat="1">
      <c r="A7" s="549" t="s">
        <v>307</v>
      </c>
      <c r="B7" s="564">
        <v>11158.88021999999</v>
      </c>
      <c r="C7" s="565">
        <v>0.57884013131847212</v>
      </c>
      <c r="D7" s="564">
        <v>8119.1200709999966</v>
      </c>
      <c r="E7" s="565">
        <v>0.42115986868152661</v>
      </c>
      <c r="F7" s="564">
        <v>19278.000291000011</v>
      </c>
      <c r="G7" s="563">
        <v>7.5290278085960199E-2</v>
      </c>
      <c r="H7" s="562"/>
    </row>
    <row r="8" spans="1:8" s="240" customFormat="1">
      <c r="A8" s="549" t="s">
        <v>306</v>
      </c>
      <c r="B8" s="564">
        <v>13413.124189499984</v>
      </c>
      <c r="C8" s="565">
        <v>0.66725322891711314</v>
      </c>
      <c r="D8" s="564">
        <v>6688.8754834999982</v>
      </c>
      <c r="E8" s="565">
        <v>0.33274677108288736</v>
      </c>
      <c r="F8" s="564">
        <v>20101.999672999973</v>
      </c>
      <c r="G8" s="563">
        <v>7.8508409721864347E-2</v>
      </c>
      <c r="H8" s="562"/>
    </row>
    <row r="9" spans="1:8" s="240" customFormat="1">
      <c r="A9" s="549" t="s">
        <v>305</v>
      </c>
      <c r="B9" s="564">
        <v>23344.544926000035</v>
      </c>
      <c r="C9" s="565">
        <v>0.73577109242020922</v>
      </c>
      <c r="D9" s="564">
        <v>8383.454674000006</v>
      </c>
      <c r="E9" s="565">
        <v>0.2642289075797889</v>
      </c>
      <c r="F9" s="564">
        <v>31727.999600000101</v>
      </c>
      <c r="G9" s="563">
        <v>0.12391378135368453</v>
      </c>
      <c r="H9" s="562"/>
    </row>
    <row r="10" spans="1:8" s="240" customFormat="1" ht="24">
      <c r="A10" s="549" t="s">
        <v>304</v>
      </c>
      <c r="B10" s="564">
        <v>65635.203203998433</v>
      </c>
      <c r="C10" s="565">
        <v>0.68848355736256539</v>
      </c>
      <c r="D10" s="564">
        <v>29697.79713000005</v>
      </c>
      <c r="E10" s="565">
        <v>0.31151644263742662</v>
      </c>
      <c r="F10" s="564">
        <v>95333.000333999255</v>
      </c>
      <c r="G10" s="563">
        <v>0.37232326992269249</v>
      </c>
      <c r="H10" s="562"/>
    </row>
    <row r="11" spans="1:8" s="240" customFormat="1" ht="24">
      <c r="A11" s="549" t="s">
        <v>303</v>
      </c>
      <c r="B11" s="564">
        <v>54732.129345000867</v>
      </c>
      <c r="C11" s="565">
        <v>0.79381752535461458</v>
      </c>
      <c r="D11" s="564">
        <v>14215.868900000038</v>
      </c>
      <c r="E11" s="565">
        <v>0.20618247464538655</v>
      </c>
      <c r="F11" s="564">
        <v>68947.998245000825</v>
      </c>
      <c r="G11" s="563">
        <v>0.2692765786376658</v>
      </c>
      <c r="H11" s="562"/>
    </row>
    <row r="12" spans="1:8" s="559" customFormat="1" ht="15.75" thickBot="1">
      <c r="A12" s="553" t="s">
        <v>302</v>
      </c>
      <c r="B12" s="568">
        <v>2373.0500440000001</v>
      </c>
      <c r="C12" s="8">
        <v>0.5310024669688771</v>
      </c>
      <c r="D12" s="568">
        <v>2095.9499920000003</v>
      </c>
      <c r="E12" s="8">
        <v>0.46899753303112313</v>
      </c>
      <c r="F12" s="568">
        <v>4469.0000359999995</v>
      </c>
      <c r="G12" s="6">
        <v>1.7453690756177091E-2</v>
      </c>
      <c r="H12" s="560"/>
    </row>
    <row r="13" spans="1:8" s="240" customFormat="1" ht="15" customHeight="1">
      <c r="A13" s="257" t="s">
        <v>4</v>
      </c>
      <c r="B13" s="567">
        <v>141434.13681986704</v>
      </c>
      <c r="C13" s="303">
        <v>0.62964276984795575</v>
      </c>
      <c r="D13" s="566">
        <v>83191.863180132757</v>
      </c>
      <c r="E13" s="303">
        <v>0.37035723015204242</v>
      </c>
      <c r="F13" s="566">
        <v>224626.0000000002</v>
      </c>
      <c r="G13" s="301">
        <v>1</v>
      </c>
      <c r="H13" s="562"/>
    </row>
    <row r="14" spans="1:8" s="240" customFormat="1">
      <c r="A14" s="549" t="s">
        <v>309</v>
      </c>
      <c r="B14" s="564">
        <v>4001.0822006940457</v>
      </c>
      <c r="C14" s="565">
        <v>0.54741855256451677</v>
      </c>
      <c r="D14" s="564">
        <v>3307.9177993059598</v>
      </c>
      <c r="E14" s="565">
        <v>0.45258144743548584</v>
      </c>
      <c r="F14" s="564">
        <v>7308.9999999999864</v>
      </c>
      <c r="G14" s="563">
        <v>3.2538530713274422E-2</v>
      </c>
      <c r="H14" s="562"/>
    </row>
    <row r="15" spans="1:8" s="240" customFormat="1">
      <c r="A15" s="549" t="s">
        <v>308</v>
      </c>
      <c r="B15" s="564">
        <v>6929.2720802427311</v>
      </c>
      <c r="C15" s="565">
        <v>0.72368376817156677</v>
      </c>
      <c r="D15" s="564">
        <v>2645.727919757263</v>
      </c>
      <c r="E15" s="565">
        <v>0.27631623182843557</v>
      </c>
      <c r="F15" s="564">
        <v>9574.9999999999727</v>
      </c>
      <c r="G15" s="563">
        <v>4.2626410121713268E-2</v>
      </c>
      <c r="H15" s="562"/>
    </row>
    <row r="16" spans="1:8" s="240" customFormat="1">
      <c r="A16" s="549" t="s">
        <v>307</v>
      </c>
      <c r="B16" s="564">
        <v>11853.410505736498</v>
      </c>
      <c r="C16" s="565">
        <v>0.59865709624931707</v>
      </c>
      <c r="D16" s="564">
        <v>7946.5894942635186</v>
      </c>
      <c r="E16" s="565">
        <v>0.4013429037506821</v>
      </c>
      <c r="F16" s="564">
        <v>19800.000000000033</v>
      </c>
      <c r="G16" s="563">
        <v>8.8146519102864376E-2</v>
      </c>
      <c r="H16" s="562"/>
    </row>
    <row r="17" spans="1:8" s="240" customFormat="1">
      <c r="A17" s="549" t="s">
        <v>306</v>
      </c>
      <c r="B17" s="564">
        <v>12093.467437440608</v>
      </c>
      <c r="C17" s="565">
        <v>0.6089359233353806</v>
      </c>
      <c r="D17" s="564">
        <v>7766.5325625594023</v>
      </c>
      <c r="E17" s="565">
        <v>0.39106407666462412</v>
      </c>
      <c r="F17" s="564">
        <v>19859.999999999916</v>
      </c>
      <c r="G17" s="563">
        <v>8.8413629766811927E-2</v>
      </c>
      <c r="H17" s="562"/>
    </row>
    <row r="18" spans="1:8" s="240" customFormat="1">
      <c r="A18" s="549" t="s">
        <v>305</v>
      </c>
      <c r="B18" s="564">
        <v>18815.784996530339</v>
      </c>
      <c r="C18" s="565">
        <v>0.66189837114469374</v>
      </c>
      <c r="D18" s="564">
        <v>9611.2150034696588</v>
      </c>
      <c r="E18" s="565">
        <v>0.33810162885529921</v>
      </c>
      <c r="F18" s="564">
        <v>28427.0000000002</v>
      </c>
      <c r="G18" s="563">
        <v>0.12655258073419895</v>
      </c>
      <c r="H18" s="562"/>
    </row>
    <row r="19" spans="1:8" s="240" customFormat="1" ht="24">
      <c r="A19" s="549" t="s">
        <v>304</v>
      </c>
      <c r="B19" s="564">
        <v>44914.21030933228</v>
      </c>
      <c r="C19" s="565">
        <v>0.58311211047494638</v>
      </c>
      <c r="D19" s="564">
        <v>32110.789690668073</v>
      </c>
      <c r="E19" s="565">
        <v>0.41688788952506856</v>
      </c>
      <c r="F19" s="564">
        <v>77024.9999999992</v>
      </c>
      <c r="G19" s="563">
        <v>0.34290331484333569</v>
      </c>
      <c r="H19" s="562"/>
    </row>
    <row r="20" spans="1:8" s="240" customFormat="1" ht="24">
      <c r="A20" s="549" t="s">
        <v>303</v>
      </c>
      <c r="B20" s="564">
        <v>40297.869210525714</v>
      </c>
      <c r="C20" s="565">
        <v>0.68641188952997467</v>
      </c>
      <c r="D20" s="564">
        <v>18410.13078947426</v>
      </c>
      <c r="E20" s="565">
        <v>0.31358811047002588</v>
      </c>
      <c r="F20" s="564">
        <v>58707.999999999942</v>
      </c>
      <c r="G20" s="563">
        <v>0.26135888098439131</v>
      </c>
      <c r="H20" s="562"/>
    </row>
    <row r="21" spans="1:8" s="559" customFormat="1" ht="15.75" thickBot="1">
      <c r="A21" s="553" t="s">
        <v>302</v>
      </c>
      <c r="B21" s="568">
        <v>2529.0400793650792</v>
      </c>
      <c r="C21" s="8">
        <v>0.64483428846636404</v>
      </c>
      <c r="D21" s="568">
        <v>1392.9599206349208</v>
      </c>
      <c r="E21" s="8">
        <v>0.35516571153363619</v>
      </c>
      <c r="F21" s="568">
        <v>3921.9999999999991</v>
      </c>
      <c r="G21" s="6">
        <v>1.7460133733405728E-2</v>
      </c>
      <c r="H21" s="560"/>
    </row>
    <row r="22" spans="1:8" s="240" customFormat="1" ht="15.75" customHeight="1">
      <c r="A22" s="257" t="s">
        <v>3</v>
      </c>
      <c r="B22" s="567">
        <v>80611.072417784555</v>
      </c>
      <c r="C22" s="303">
        <v>0.54086508019796231</v>
      </c>
      <c r="D22" s="566">
        <v>68429.927582215299</v>
      </c>
      <c r="E22" s="303">
        <v>0.45913491980203608</v>
      </c>
      <c r="F22" s="566">
        <v>149041.00000000009</v>
      </c>
      <c r="G22" s="301">
        <v>1</v>
      </c>
      <c r="H22" s="562"/>
    </row>
    <row r="23" spans="1:8" s="240" customFormat="1">
      <c r="A23" s="549" t="s">
        <v>309</v>
      </c>
      <c r="B23" s="564">
        <v>1795.2787878787897</v>
      </c>
      <c r="C23" s="565">
        <v>0.62034512366233219</v>
      </c>
      <c r="D23" s="564">
        <v>1098.7212121212126</v>
      </c>
      <c r="E23" s="565">
        <v>0.37965487633766842</v>
      </c>
      <c r="F23" s="564">
        <v>2894.0000000000005</v>
      </c>
      <c r="G23" s="563">
        <v>1.9417475728155331E-2</v>
      </c>
      <c r="H23" s="562"/>
    </row>
    <row r="24" spans="1:8" s="240" customFormat="1">
      <c r="A24" s="549" t="s">
        <v>308</v>
      </c>
      <c r="B24" s="564">
        <v>5043.6398844452415</v>
      </c>
      <c r="C24" s="565">
        <v>0.67509568791932228</v>
      </c>
      <c r="D24" s="564">
        <v>2427.3601155547553</v>
      </c>
      <c r="E24" s="565">
        <v>0.32490431208068032</v>
      </c>
      <c r="F24" s="564">
        <v>7470.9999999999773</v>
      </c>
      <c r="G24" s="563">
        <v>5.0127146221509336E-2</v>
      </c>
      <c r="H24" s="562"/>
    </row>
    <row r="25" spans="1:8" s="240" customFormat="1">
      <c r="A25" s="549" t="s">
        <v>307</v>
      </c>
      <c r="B25" s="564">
        <v>6971.7141203703677</v>
      </c>
      <c r="C25" s="565">
        <v>0.43147135291313049</v>
      </c>
      <c r="D25" s="564">
        <v>9186.2858796296277</v>
      </c>
      <c r="E25" s="565">
        <v>0.56852864708686857</v>
      </c>
      <c r="F25" s="564">
        <v>16158.000000000011</v>
      </c>
      <c r="G25" s="563">
        <v>0.10841312122167727</v>
      </c>
      <c r="H25" s="562"/>
    </row>
    <row r="26" spans="1:8" s="240" customFormat="1">
      <c r="A26" s="549" t="s">
        <v>306</v>
      </c>
      <c r="B26" s="564">
        <v>7089.5066361021227</v>
      </c>
      <c r="C26" s="565">
        <v>0.53489562668644408</v>
      </c>
      <c r="D26" s="564">
        <v>6164.4933638978773</v>
      </c>
      <c r="E26" s="565">
        <v>0.46510437331355697</v>
      </c>
      <c r="F26" s="564">
        <v>13253.999999999985</v>
      </c>
      <c r="G26" s="563">
        <v>8.8928549862118317E-2</v>
      </c>
      <c r="H26" s="562"/>
    </row>
    <row r="27" spans="1:8" s="240" customFormat="1">
      <c r="A27" s="549" t="s">
        <v>305</v>
      </c>
      <c r="B27" s="564">
        <v>12112.009810758545</v>
      </c>
      <c r="C27" s="565">
        <v>0.52144006417937583</v>
      </c>
      <c r="D27" s="564">
        <v>11115.990189241402</v>
      </c>
      <c r="E27" s="565">
        <v>0.47855993582062162</v>
      </c>
      <c r="F27" s="564">
        <v>23228.000000000007</v>
      </c>
      <c r="G27" s="563">
        <v>0.15584973262390883</v>
      </c>
      <c r="H27" s="562"/>
    </row>
    <row r="28" spans="1:8" s="240" customFormat="1" ht="24">
      <c r="A28" s="549" t="s">
        <v>304</v>
      </c>
      <c r="B28" s="564">
        <v>23014.784273086243</v>
      </c>
      <c r="C28" s="565">
        <v>0.51715129930760362</v>
      </c>
      <c r="D28" s="564">
        <v>21488.215726913568</v>
      </c>
      <c r="E28" s="565">
        <v>0.48284870069239388</v>
      </c>
      <c r="F28" s="564">
        <v>44502.99999999992</v>
      </c>
      <c r="G28" s="563">
        <v>0.29859568843472528</v>
      </c>
      <c r="H28" s="562"/>
    </row>
    <row r="29" spans="1:8" s="240" customFormat="1" ht="24">
      <c r="A29" s="549" t="s">
        <v>303</v>
      </c>
      <c r="B29" s="564">
        <v>22591.27328981836</v>
      </c>
      <c r="C29" s="565">
        <v>0.58526614740461591</v>
      </c>
      <c r="D29" s="564">
        <v>16008.726710181865</v>
      </c>
      <c r="E29" s="565">
        <v>0.41473385259538176</v>
      </c>
      <c r="F29" s="564">
        <v>38600.000000000313</v>
      </c>
      <c r="G29" s="563">
        <v>0.25898913721727773</v>
      </c>
      <c r="H29" s="562"/>
    </row>
    <row r="30" spans="1:8" s="559" customFormat="1" ht="15.75" thickBot="1">
      <c r="A30" s="545" t="s">
        <v>302</v>
      </c>
      <c r="B30" s="561">
        <v>1992.865615325077</v>
      </c>
      <c r="C30" s="4">
        <v>0.6794632169536573</v>
      </c>
      <c r="D30" s="561">
        <v>940.13438467492256</v>
      </c>
      <c r="E30" s="4">
        <v>0.32053678304634248</v>
      </c>
      <c r="F30" s="561">
        <v>2933.0000000000005</v>
      </c>
      <c r="G30" s="2">
        <v>1.9679148690628746E-2</v>
      </c>
      <c r="H30" s="560"/>
    </row>
    <row r="35" spans="1:6" ht="15.75" thickBot="1"/>
    <row r="36" spans="1:6" ht="15" customHeight="1">
      <c r="A36" s="791" t="s">
        <v>310</v>
      </c>
      <c r="B36" s="798" t="s">
        <v>298</v>
      </c>
      <c r="C36" s="799"/>
      <c r="D36" s="799"/>
      <c r="E36" s="800"/>
      <c r="F36" s="326"/>
    </row>
    <row r="37" spans="1:6" ht="25.5" thickBot="1">
      <c r="A37" s="792"/>
      <c r="B37" s="558" t="s">
        <v>95</v>
      </c>
      <c r="C37" s="557" t="s">
        <v>94</v>
      </c>
      <c r="D37" s="557" t="s">
        <v>93</v>
      </c>
      <c r="E37" s="556" t="s">
        <v>297</v>
      </c>
      <c r="F37" s="326"/>
    </row>
    <row r="38" spans="1:6" ht="15.75" customHeight="1">
      <c r="A38" s="290" t="s">
        <v>5</v>
      </c>
      <c r="B38" s="552">
        <v>0.47601858055660845</v>
      </c>
      <c r="C38" s="551">
        <v>1.6056817769907184E-3</v>
      </c>
      <c r="D38" s="551">
        <v>0.81249560265818632</v>
      </c>
      <c r="E38" s="550">
        <v>256048.9983712105</v>
      </c>
      <c r="F38" s="326"/>
    </row>
    <row r="39" spans="1:6">
      <c r="A39" s="549" t="s">
        <v>309</v>
      </c>
      <c r="B39" s="555">
        <v>0.56170487844712746</v>
      </c>
      <c r="C39" s="554">
        <v>1.2864901260884258E-2</v>
      </c>
      <c r="D39" s="554">
        <v>0.96923180626662819</v>
      </c>
      <c r="E39" s="546">
        <v>5676.0001772000051</v>
      </c>
      <c r="F39" s="326"/>
    </row>
    <row r="40" spans="1:6">
      <c r="A40" s="549" t="s">
        <v>308</v>
      </c>
      <c r="B40" s="555">
        <v>0.18666012650500219</v>
      </c>
      <c r="C40" s="554">
        <v>6.7258716840372821E-3</v>
      </c>
      <c r="D40" s="554">
        <v>0.68968886824685327</v>
      </c>
      <c r="E40" s="546">
        <v>10515.000015000018</v>
      </c>
      <c r="F40" s="326"/>
    </row>
    <row r="41" spans="1:6">
      <c r="A41" s="549" t="s">
        <v>307</v>
      </c>
      <c r="B41" s="555">
        <v>0.74716181292540285</v>
      </c>
      <c r="C41" s="554">
        <v>6.5485137116963995E-3</v>
      </c>
      <c r="D41" s="554">
        <v>0.909229948990669</v>
      </c>
      <c r="E41" s="546">
        <v>19278.000291000011</v>
      </c>
      <c r="F41" s="326"/>
    </row>
    <row r="42" spans="1:6">
      <c r="A42" s="549" t="s">
        <v>306</v>
      </c>
      <c r="B42" s="555">
        <v>0.5490783065142083</v>
      </c>
      <c r="C42" s="554">
        <v>5.3852696716062548E-3</v>
      </c>
      <c r="D42" s="554">
        <v>0.76353172457831553</v>
      </c>
      <c r="E42" s="546">
        <v>20101.999672999973</v>
      </c>
      <c r="F42" s="326"/>
    </row>
    <row r="43" spans="1:6">
      <c r="A43" s="549" t="s">
        <v>305</v>
      </c>
      <c r="B43" s="555">
        <v>0.50165018988464782</v>
      </c>
      <c r="C43" s="554">
        <v>4.6725748959659079E-3</v>
      </c>
      <c r="D43" s="554">
        <v>0.83229563513266014</v>
      </c>
      <c r="E43" s="546">
        <v>31727.999600000101</v>
      </c>
      <c r="F43" s="326"/>
    </row>
    <row r="44" spans="1:6" ht="24">
      <c r="A44" s="549" t="s">
        <v>304</v>
      </c>
      <c r="B44" s="555">
        <v>0.51979142744264395</v>
      </c>
      <c r="C44" s="554">
        <v>2.7667901519697977E-3</v>
      </c>
      <c r="D44" s="554">
        <v>0.85427530449757516</v>
      </c>
      <c r="E44" s="546">
        <v>95333.000333999255</v>
      </c>
      <c r="F44" s="326"/>
    </row>
    <row r="45" spans="1:6" ht="24">
      <c r="A45" s="549" t="s">
        <v>303</v>
      </c>
      <c r="B45" s="555">
        <v>0.3143943815304599</v>
      </c>
      <c r="C45" s="554">
        <v>2.511332032612596E-3</v>
      </c>
      <c r="D45" s="554">
        <v>0.65942433061674</v>
      </c>
      <c r="E45" s="546">
        <v>68947.998245000825</v>
      </c>
      <c r="F45" s="326"/>
    </row>
    <row r="46" spans="1:6" ht="15.75" thickBot="1">
      <c r="A46" s="553" t="s">
        <v>302</v>
      </c>
      <c r="B46" s="555">
        <v>0.92755835771042738</v>
      </c>
      <c r="C46" s="554">
        <v>1.4415810104664377E-2</v>
      </c>
      <c r="D46" s="554">
        <v>0.96370526555219194</v>
      </c>
      <c r="E46" s="546">
        <v>4469.0000359999995</v>
      </c>
      <c r="F46" s="326"/>
    </row>
    <row r="47" spans="1:6" ht="15" customHeight="1">
      <c r="A47" s="257" t="s">
        <v>4</v>
      </c>
      <c r="B47" s="552">
        <v>0.54956785622942639</v>
      </c>
      <c r="C47" s="551">
        <v>1.8026374353160284E-3</v>
      </c>
      <c r="D47" s="551">
        <v>0.85435506323550348</v>
      </c>
      <c r="E47" s="550">
        <v>224626.0000000002</v>
      </c>
      <c r="F47" s="326"/>
    </row>
    <row r="48" spans="1:6">
      <c r="A48" s="549" t="s">
        <v>309</v>
      </c>
      <c r="B48" s="548">
        <v>0.8000191952195973</v>
      </c>
      <c r="C48" s="547">
        <v>1.2331660200415222E-2</v>
      </c>
      <c r="D48" s="547">
        <v>1.0542667995667745</v>
      </c>
      <c r="E48" s="546">
        <v>7308.9999999999864</v>
      </c>
      <c r="F48" s="326"/>
    </row>
    <row r="49" spans="1:6">
      <c r="A49" s="549" t="s">
        <v>308</v>
      </c>
      <c r="B49" s="548">
        <v>0.33661514196038117</v>
      </c>
      <c r="C49" s="547">
        <v>7.399786086771297E-3</v>
      </c>
      <c r="D49" s="547">
        <v>0.72408334243683592</v>
      </c>
      <c r="E49" s="546">
        <v>9574.9999999999727</v>
      </c>
      <c r="F49" s="326"/>
    </row>
    <row r="50" spans="1:6">
      <c r="A50" s="549" t="s">
        <v>307</v>
      </c>
      <c r="B50" s="548">
        <v>0.83196344002872746</v>
      </c>
      <c r="C50" s="547">
        <v>7.2770963693590505E-3</v>
      </c>
      <c r="D50" s="547">
        <v>1.0239782248978673</v>
      </c>
      <c r="E50" s="546">
        <v>19800.000000000033</v>
      </c>
      <c r="F50" s="326"/>
    </row>
    <row r="51" spans="1:6">
      <c r="A51" s="549" t="s">
        <v>306</v>
      </c>
      <c r="B51" s="548">
        <v>0.51973601917572509</v>
      </c>
      <c r="C51" s="547">
        <v>5.6272071364521616E-3</v>
      </c>
      <c r="D51" s="547">
        <v>0.79301704818297869</v>
      </c>
      <c r="E51" s="546">
        <v>19859.999999999916</v>
      </c>
      <c r="F51" s="326"/>
    </row>
    <row r="52" spans="1:6">
      <c r="A52" s="549" t="s">
        <v>305</v>
      </c>
      <c r="B52" s="548">
        <v>0.49027157278659822</v>
      </c>
      <c r="C52" s="547">
        <v>5.268350496374875E-3</v>
      </c>
      <c r="D52" s="547">
        <v>0.88826014230803108</v>
      </c>
      <c r="E52" s="546">
        <v>28427.0000000002</v>
      </c>
      <c r="F52" s="326"/>
    </row>
    <row r="53" spans="1:6" ht="24">
      <c r="A53" s="549" t="s">
        <v>304</v>
      </c>
      <c r="B53" s="548">
        <v>0.6197598253524027</v>
      </c>
      <c r="C53" s="547">
        <v>3.1655909479927202E-3</v>
      </c>
      <c r="D53" s="547">
        <v>0.87855842719894162</v>
      </c>
      <c r="E53" s="546">
        <v>77024.9999999992</v>
      </c>
      <c r="F53" s="326"/>
    </row>
    <row r="54" spans="1:6" ht="24">
      <c r="A54" s="549" t="s">
        <v>303</v>
      </c>
      <c r="B54" s="548">
        <v>0.41631341869817262</v>
      </c>
      <c r="C54" s="547">
        <v>2.9494483751156689E-3</v>
      </c>
      <c r="D54" s="547">
        <v>0.71464348984747117</v>
      </c>
      <c r="E54" s="546">
        <v>58707.999999999942</v>
      </c>
      <c r="F54" s="326"/>
    </row>
    <row r="55" spans="1:6" ht="15.75" thickBot="1">
      <c r="A55" s="553" t="s">
        <v>302</v>
      </c>
      <c r="B55" s="548">
        <v>0.37406598815796926</v>
      </c>
      <c r="C55" s="547">
        <v>1.0113110288497035E-2</v>
      </c>
      <c r="D55" s="547">
        <v>0.6333423630644397</v>
      </c>
      <c r="E55" s="546">
        <v>3921.9999999999991</v>
      </c>
      <c r="F55" s="326"/>
    </row>
    <row r="56" spans="1:6" ht="15.75" customHeight="1">
      <c r="A56" s="257" t="s">
        <v>3</v>
      </c>
      <c r="B56" s="552">
        <v>0.60531201095856391</v>
      </c>
      <c r="C56" s="551">
        <v>2.2345138848567001E-3</v>
      </c>
      <c r="D56" s="551">
        <v>0.86265259988326504</v>
      </c>
      <c r="E56" s="550">
        <v>149041.00000000009</v>
      </c>
      <c r="F56" s="326"/>
    </row>
    <row r="57" spans="1:6">
      <c r="A57" s="549" t="s">
        <v>309</v>
      </c>
      <c r="B57" s="548">
        <v>0.6668670115111025</v>
      </c>
      <c r="C57" s="547">
        <v>1.7805290173673233E-2</v>
      </c>
      <c r="D57" s="547">
        <v>0.95785179883958627</v>
      </c>
      <c r="E57" s="546">
        <v>2894.0000000000005</v>
      </c>
      <c r="F57" s="326"/>
    </row>
    <row r="58" spans="1:6">
      <c r="A58" s="549" t="s">
        <v>308</v>
      </c>
      <c r="B58" s="548">
        <v>0.32923404862296812</v>
      </c>
      <c r="C58" s="547">
        <v>7.2775454511602019E-3</v>
      </c>
      <c r="D58" s="547">
        <v>0.62903425271343572</v>
      </c>
      <c r="E58" s="546">
        <v>7470.9999999999773</v>
      </c>
      <c r="F58" s="326"/>
    </row>
    <row r="59" spans="1:6">
      <c r="A59" s="549" t="s">
        <v>307</v>
      </c>
      <c r="B59" s="548">
        <v>0.70666786791200775</v>
      </c>
      <c r="C59" s="547">
        <v>6.8041151571839572E-3</v>
      </c>
      <c r="D59" s="547">
        <v>0.86489912387569157</v>
      </c>
      <c r="E59" s="546">
        <v>16158.000000000011</v>
      </c>
      <c r="F59" s="326"/>
    </row>
    <row r="60" spans="1:6">
      <c r="A60" s="549" t="s">
        <v>306</v>
      </c>
      <c r="B60" s="548">
        <v>0.51133233353339103</v>
      </c>
      <c r="C60" s="547">
        <v>6.4500687552744027E-3</v>
      </c>
      <c r="D60" s="547">
        <v>0.74257073104567239</v>
      </c>
      <c r="E60" s="546">
        <v>13253.999999999985</v>
      </c>
      <c r="F60" s="326"/>
    </row>
    <row r="61" spans="1:6">
      <c r="A61" s="549" t="s">
        <v>305</v>
      </c>
      <c r="B61" s="548">
        <v>0.67529770814224144</v>
      </c>
      <c r="C61" s="547">
        <v>6.3460272390933933E-3</v>
      </c>
      <c r="D61" s="547">
        <v>0.96718118758392757</v>
      </c>
      <c r="E61" s="546">
        <v>23228.000000000007</v>
      </c>
      <c r="F61" s="326"/>
    </row>
    <row r="62" spans="1:6" ht="24">
      <c r="A62" s="549" t="s">
        <v>304</v>
      </c>
      <c r="B62" s="548">
        <v>0.73945352466516734</v>
      </c>
      <c r="C62" s="547">
        <v>4.3622011447715077E-3</v>
      </c>
      <c r="D62" s="547">
        <v>0.92023835728457948</v>
      </c>
      <c r="E62" s="546">
        <v>44502.99999999992</v>
      </c>
      <c r="F62" s="326"/>
    </row>
    <row r="63" spans="1:6" ht="24">
      <c r="A63" s="549" t="s">
        <v>303</v>
      </c>
      <c r="B63" s="548">
        <v>0.47729418082116137</v>
      </c>
      <c r="C63" s="547">
        <v>3.9333869826575227E-3</v>
      </c>
      <c r="D63" s="547">
        <v>0.7727879267924127</v>
      </c>
      <c r="E63" s="546">
        <v>38600.000000000313</v>
      </c>
      <c r="F63" s="326"/>
    </row>
    <row r="64" spans="1:6" ht="15.75" thickBot="1">
      <c r="A64" s="545" t="s">
        <v>302</v>
      </c>
      <c r="B64" s="544">
        <v>0.20930030880584871</v>
      </c>
      <c r="C64" s="543">
        <v>8.1519774503360891E-3</v>
      </c>
      <c r="D64" s="543">
        <v>0.44148809917919812</v>
      </c>
      <c r="E64" s="542">
        <v>2933.0000000000005</v>
      </c>
      <c r="F64" s="326"/>
    </row>
    <row r="68" spans="1:12" ht="27" customHeight="1" thickBot="1">
      <c r="A68" s="817" t="s">
        <v>295</v>
      </c>
      <c r="B68" s="817"/>
      <c r="C68" s="817"/>
      <c r="D68" s="817"/>
      <c r="E68" s="817"/>
      <c r="F68" s="817"/>
      <c r="G68" s="817"/>
      <c r="H68" s="817"/>
      <c r="I68" s="817"/>
      <c r="J68" s="817"/>
      <c r="K68" s="817"/>
      <c r="L68" s="326"/>
    </row>
    <row r="69" spans="1:12" s="205" customFormat="1" ht="15.75" customHeight="1" thickBot="1">
      <c r="A69" s="814" t="s">
        <v>315</v>
      </c>
      <c r="B69" s="777"/>
      <c r="C69" s="793" t="s">
        <v>313</v>
      </c>
      <c r="D69" s="794"/>
      <c r="E69" s="794"/>
      <c r="F69" s="794"/>
      <c r="G69" s="794"/>
      <c r="H69" s="794"/>
      <c r="I69" s="794"/>
      <c r="J69" s="795"/>
      <c r="K69" s="796" t="s">
        <v>260</v>
      </c>
      <c r="L69" s="522"/>
    </row>
    <row r="70" spans="1:12" s="205" customFormat="1" ht="65.25" customHeight="1" thickBot="1">
      <c r="A70" s="815"/>
      <c r="B70" s="816"/>
      <c r="C70" s="541" t="s">
        <v>309</v>
      </c>
      <c r="D70" s="540" t="s">
        <v>308</v>
      </c>
      <c r="E70" s="540" t="s">
        <v>307</v>
      </c>
      <c r="F70" s="540" t="s">
        <v>306</v>
      </c>
      <c r="G70" s="540" t="s">
        <v>305</v>
      </c>
      <c r="H70" s="540" t="s">
        <v>304</v>
      </c>
      <c r="I70" s="540" t="s">
        <v>303</v>
      </c>
      <c r="J70" s="540" t="s">
        <v>302</v>
      </c>
      <c r="K70" s="797"/>
      <c r="L70" s="522"/>
    </row>
    <row r="71" spans="1:12" s="205" customFormat="1">
      <c r="A71" s="801" t="s">
        <v>293</v>
      </c>
      <c r="B71" s="535" t="s">
        <v>7</v>
      </c>
      <c r="C71" s="534">
        <v>99.44418468731736</v>
      </c>
      <c r="D71" s="533">
        <v>105.91316321105796</v>
      </c>
      <c r="E71" s="533">
        <v>463.79264568931399</v>
      </c>
      <c r="F71" s="533">
        <v>37.6875</v>
      </c>
      <c r="G71" s="533">
        <v>227.9568838008029</v>
      </c>
      <c r="H71" s="533">
        <v>562.22328271164099</v>
      </c>
      <c r="I71" s="533">
        <v>459.39913183482031</v>
      </c>
      <c r="J71" s="533">
        <v>38.210526315789473</v>
      </c>
      <c r="K71" s="532">
        <v>1994.627318250743</v>
      </c>
      <c r="L71" s="522"/>
    </row>
    <row r="72" spans="1:12" s="205" customFormat="1" ht="22.5">
      <c r="A72" s="802"/>
      <c r="B72" s="531" t="s">
        <v>314</v>
      </c>
      <c r="C72" s="529">
        <v>4.9856022615055909E-2</v>
      </c>
      <c r="D72" s="321">
        <v>5.3099224221967514E-2</v>
      </c>
      <c r="E72" s="321">
        <v>0.23252095338594525</v>
      </c>
      <c r="F72" s="321">
        <v>1.8894507086692942E-2</v>
      </c>
      <c r="G72" s="321">
        <v>0.11428545158035713</v>
      </c>
      <c r="H72" s="321">
        <v>0.28186883713429833</v>
      </c>
      <c r="I72" s="321">
        <v>0.23031827932533591</v>
      </c>
      <c r="J72" s="321">
        <v>1.9156724650346967E-2</v>
      </c>
      <c r="K72" s="195"/>
      <c r="L72" s="522"/>
    </row>
    <row r="73" spans="1:12" s="205" customFormat="1" ht="15.75" thickBot="1">
      <c r="A73" s="803"/>
      <c r="B73" s="539" t="s">
        <v>246</v>
      </c>
      <c r="C73" s="538">
        <v>1.5791910113021525E-4</v>
      </c>
      <c r="D73" s="537">
        <v>1.6819195194509124E-4</v>
      </c>
      <c r="E73" s="537">
        <v>7.3651081708151183E-4</v>
      </c>
      <c r="F73" s="537">
        <v>5.9848407853697491E-5</v>
      </c>
      <c r="G73" s="537">
        <v>3.6199951057428533E-4</v>
      </c>
      <c r="H73" s="537">
        <v>8.9282038682775343E-4</v>
      </c>
      <c r="I73" s="537">
        <v>7.2953384038964826E-4</v>
      </c>
      <c r="J73" s="537">
        <v>6.0678982772850659E-5</v>
      </c>
      <c r="K73" s="536">
        <v>3.1675029985750534E-3</v>
      </c>
      <c r="L73" s="522"/>
    </row>
    <row r="74" spans="1:12" s="205" customFormat="1">
      <c r="A74" s="801" t="s">
        <v>292</v>
      </c>
      <c r="B74" s="535" t="s">
        <v>7</v>
      </c>
      <c r="C74" s="534">
        <v>0</v>
      </c>
      <c r="D74" s="533">
        <v>44.237373737373737</v>
      </c>
      <c r="E74" s="533">
        <v>0</v>
      </c>
      <c r="F74" s="533">
        <v>0</v>
      </c>
      <c r="G74" s="533">
        <v>134.88005860919853</v>
      </c>
      <c r="H74" s="533">
        <v>173.1638518144685</v>
      </c>
      <c r="I74" s="533">
        <v>0</v>
      </c>
      <c r="J74" s="533">
        <v>0</v>
      </c>
      <c r="K74" s="532">
        <v>352.28128416104079</v>
      </c>
      <c r="L74" s="522"/>
    </row>
    <row r="75" spans="1:12" s="205" customFormat="1" ht="22.5">
      <c r="A75" s="802"/>
      <c r="B75" s="531" t="s">
        <v>314</v>
      </c>
      <c r="C75" s="529">
        <v>0</v>
      </c>
      <c r="D75" s="321">
        <v>0.12557401067367291</v>
      </c>
      <c r="E75" s="321">
        <v>0</v>
      </c>
      <c r="F75" s="321">
        <v>0</v>
      </c>
      <c r="G75" s="321">
        <v>0.38287602740638321</v>
      </c>
      <c r="H75" s="321">
        <v>0.49154996191994377</v>
      </c>
      <c r="I75" s="321">
        <v>0</v>
      </c>
      <c r="J75" s="321">
        <v>0</v>
      </c>
      <c r="K75" s="195"/>
      <c r="L75" s="522"/>
    </row>
    <row r="76" spans="1:12" s="205" customFormat="1" ht="15.75" thickBot="1">
      <c r="A76" s="803"/>
      <c r="B76" s="539" t="s">
        <v>246</v>
      </c>
      <c r="C76" s="538">
        <v>0</v>
      </c>
      <c r="D76" s="537">
        <v>7.0249721679888278E-5</v>
      </c>
      <c r="E76" s="537">
        <v>0</v>
      </c>
      <c r="F76" s="537">
        <v>0</v>
      </c>
      <c r="G76" s="537">
        <v>2.1419188746862845E-4</v>
      </c>
      <c r="H76" s="537">
        <v>2.7498721934088343E-4</v>
      </c>
      <c r="I76" s="537">
        <v>0</v>
      </c>
      <c r="J76" s="537">
        <v>0</v>
      </c>
      <c r="K76" s="536">
        <v>5.5942882848940018E-4</v>
      </c>
      <c r="L76" s="522"/>
    </row>
    <row r="77" spans="1:12" s="205" customFormat="1">
      <c r="A77" s="801" t="s">
        <v>291</v>
      </c>
      <c r="B77" s="535" t="s">
        <v>7</v>
      </c>
      <c r="C77" s="534">
        <v>11.705882352941176</v>
      </c>
      <c r="D77" s="533">
        <v>0</v>
      </c>
      <c r="E77" s="533">
        <v>0</v>
      </c>
      <c r="F77" s="533">
        <v>0</v>
      </c>
      <c r="G77" s="533">
        <v>54.263157894736842</v>
      </c>
      <c r="H77" s="533">
        <v>209.02025532252091</v>
      </c>
      <c r="I77" s="533">
        <v>145.72131437721239</v>
      </c>
      <c r="J77" s="533">
        <v>68.266666666666666</v>
      </c>
      <c r="K77" s="532">
        <v>488.97727661407799</v>
      </c>
      <c r="L77" s="522"/>
    </row>
    <row r="78" spans="1:12" s="205" customFormat="1" ht="22.5">
      <c r="A78" s="802"/>
      <c r="B78" s="531" t="s">
        <v>314</v>
      </c>
      <c r="C78" s="529">
        <v>2.3939522167570913E-2</v>
      </c>
      <c r="D78" s="321">
        <v>0</v>
      </c>
      <c r="E78" s="321">
        <v>0</v>
      </c>
      <c r="F78" s="321">
        <v>0</v>
      </c>
      <c r="G78" s="321">
        <v>0.11097275986009401</v>
      </c>
      <c r="H78" s="321">
        <v>0.42746414878392952</v>
      </c>
      <c r="I78" s="321">
        <v>0.2980124462761527</v>
      </c>
      <c r="J78" s="321">
        <v>0.13961112291225278</v>
      </c>
      <c r="K78" s="195"/>
      <c r="L78" s="522"/>
    </row>
    <row r="79" spans="1:12" s="205" customFormat="1" ht="15.75" thickBot="1">
      <c r="A79" s="803"/>
      <c r="B79" s="539" t="s">
        <v>246</v>
      </c>
      <c r="C79" s="538">
        <v>1.8589145508357507E-5</v>
      </c>
      <c r="D79" s="537">
        <v>0</v>
      </c>
      <c r="E79" s="537">
        <v>0</v>
      </c>
      <c r="F79" s="537">
        <v>0</v>
      </c>
      <c r="G79" s="537">
        <v>8.6170841926734218E-5</v>
      </c>
      <c r="H79" s="537">
        <v>3.3192781400268566E-4</v>
      </c>
      <c r="I79" s="537">
        <v>2.3140799086764256E-4</v>
      </c>
      <c r="J79" s="537">
        <v>1.0840865829463568E-4</v>
      </c>
      <c r="K79" s="536">
        <v>7.7650445060005555E-4</v>
      </c>
      <c r="L79" s="522"/>
    </row>
    <row r="80" spans="1:12" s="205" customFormat="1">
      <c r="A80" s="801" t="s">
        <v>290</v>
      </c>
      <c r="B80" s="535" t="s">
        <v>7</v>
      </c>
      <c r="C80" s="534">
        <v>39.839285714285715</v>
      </c>
      <c r="D80" s="533">
        <v>0</v>
      </c>
      <c r="E80" s="533">
        <v>0</v>
      </c>
      <c r="F80" s="533">
        <v>16.238095238095237</v>
      </c>
      <c r="G80" s="533">
        <v>0</v>
      </c>
      <c r="H80" s="533">
        <v>194.28533823876583</v>
      </c>
      <c r="I80" s="533">
        <v>0</v>
      </c>
      <c r="J80" s="533">
        <v>0</v>
      </c>
      <c r="K80" s="532">
        <v>250.36271919114679</v>
      </c>
      <c r="L80" s="522"/>
    </row>
    <row r="81" spans="1:12" s="205" customFormat="1" ht="22.5">
      <c r="A81" s="802"/>
      <c r="B81" s="531" t="s">
        <v>314</v>
      </c>
      <c r="C81" s="529">
        <v>0.15912627024900317</v>
      </c>
      <c r="D81" s="321">
        <v>0</v>
      </c>
      <c r="E81" s="321">
        <v>0</v>
      </c>
      <c r="F81" s="321">
        <v>6.4858279581544984E-2</v>
      </c>
      <c r="G81" s="321">
        <v>0</v>
      </c>
      <c r="H81" s="321">
        <v>0.77601545016945184</v>
      </c>
      <c r="I81" s="321">
        <v>0</v>
      </c>
      <c r="J81" s="321">
        <v>0</v>
      </c>
      <c r="K81" s="195"/>
      <c r="L81" s="522"/>
    </row>
    <row r="82" spans="1:12" s="205" customFormat="1" ht="15.75" thickBot="1">
      <c r="A82" s="803"/>
      <c r="B82" s="539" t="s">
        <v>246</v>
      </c>
      <c r="C82" s="538">
        <v>6.3265481128452547E-5</v>
      </c>
      <c r="D82" s="537">
        <v>0</v>
      </c>
      <c r="E82" s="537">
        <v>0</v>
      </c>
      <c r="F82" s="537">
        <v>2.5786378681969002E-5</v>
      </c>
      <c r="G82" s="537">
        <v>0</v>
      </c>
      <c r="H82" s="537">
        <v>3.0852850846851683E-4</v>
      </c>
      <c r="I82" s="537">
        <v>0</v>
      </c>
      <c r="J82" s="537">
        <v>0</v>
      </c>
      <c r="K82" s="536">
        <v>3.9758036827893835E-4</v>
      </c>
      <c r="L82" s="522"/>
    </row>
    <row r="83" spans="1:12" s="205" customFormat="1">
      <c r="A83" s="801" t="s">
        <v>289</v>
      </c>
      <c r="B83" s="535" t="s">
        <v>7</v>
      </c>
      <c r="C83" s="534">
        <v>0</v>
      </c>
      <c r="D83" s="533">
        <v>71.606557377049185</v>
      </c>
      <c r="E83" s="533">
        <v>0</v>
      </c>
      <c r="F83" s="533">
        <v>0</v>
      </c>
      <c r="G83" s="533">
        <v>0</v>
      </c>
      <c r="H83" s="533">
        <v>0</v>
      </c>
      <c r="I83" s="533">
        <v>0</v>
      </c>
      <c r="J83" s="533">
        <v>0</v>
      </c>
      <c r="K83" s="532">
        <v>71.606557377049185</v>
      </c>
      <c r="L83" s="522"/>
    </row>
    <row r="84" spans="1:12" s="205" customFormat="1" ht="22.5">
      <c r="A84" s="802"/>
      <c r="B84" s="531" t="s">
        <v>314</v>
      </c>
      <c r="C84" s="529">
        <v>0</v>
      </c>
      <c r="D84" s="321">
        <v>1</v>
      </c>
      <c r="E84" s="321">
        <v>0</v>
      </c>
      <c r="F84" s="321">
        <v>0</v>
      </c>
      <c r="G84" s="321">
        <v>0</v>
      </c>
      <c r="H84" s="321">
        <v>0</v>
      </c>
      <c r="I84" s="321">
        <v>0</v>
      </c>
      <c r="J84" s="321">
        <v>0</v>
      </c>
      <c r="K84" s="195"/>
      <c r="L84" s="522"/>
    </row>
    <row r="85" spans="1:12" s="205" customFormat="1" ht="15.75" thickBot="1">
      <c r="A85" s="803"/>
      <c r="B85" s="539" t="s">
        <v>246</v>
      </c>
      <c r="C85" s="538">
        <v>0</v>
      </c>
      <c r="D85" s="537">
        <v>1.1371246304214475E-4</v>
      </c>
      <c r="E85" s="537">
        <v>0</v>
      </c>
      <c r="F85" s="537">
        <v>0</v>
      </c>
      <c r="G85" s="537">
        <v>0</v>
      </c>
      <c r="H85" s="537">
        <v>0</v>
      </c>
      <c r="I85" s="537">
        <v>0</v>
      </c>
      <c r="J85" s="537">
        <v>0</v>
      </c>
      <c r="K85" s="536">
        <v>1.1371246304214475E-4</v>
      </c>
      <c r="L85" s="522"/>
    </row>
    <row r="86" spans="1:12" s="205" customFormat="1">
      <c r="A86" s="801" t="s">
        <v>288</v>
      </c>
      <c r="B86" s="535" t="s">
        <v>7</v>
      </c>
      <c r="C86" s="534">
        <v>0</v>
      </c>
      <c r="D86" s="533">
        <v>0</v>
      </c>
      <c r="E86" s="533">
        <v>0</v>
      </c>
      <c r="F86" s="533">
        <v>0</v>
      </c>
      <c r="G86" s="533">
        <v>0</v>
      </c>
      <c r="H86" s="533">
        <v>20.604955880115625</v>
      </c>
      <c r="I86" s="533">
        <v>30.175720160440807</v>
      </c>
      <c r="J86" s="533">
        <v>0</v>
      </c>
      <c r="K86" s="532">
        <v>50.780676040556429</v>
      </c>
      <c r="L86" s="522"/>
    </row>
    <row r="87" spans="1:12" s="205" customFormat="1" ht="22.5">
      <c r="A87" s="802"/>
      <c r="B87" s="531" t="s">
        <v>314</v>
      </c>
      <c r="C87" s="529">
        <v>0</v>
      </c>
      <c r="D87" s="321">
        <v>0</v>
      </c>
      <c r="E87" s="321">
        <v>0</v>
      </c>
      <c r="F87" s="321">
        <v>0</v>
      </c>
      <c r="G87" s="321">
        <v>0</v>
      </c>
      <c r="H87" s="321">
        <v>0.40576371735695871</v>
      </c>
      <c r="I87" s="321">
        <v>0.5942362826430414</v>
      </c>
      <c r="J87" s="321">
        <v>0</v>
      </c>
      <c r="K87" s="195"/>
      <c r="L87" s="522"/>
    </row>
    <row r="88" spans="1:12" s="205" customFormat="1" ht="15.75" thickBot="1">
      <c r="A88" s="803"/>
      <c r="B88" s="539" t="s">
        <v>246</v>
      </c>
      <c r="C88" s="538">
        <v>0</v>
      </c>
      <c r="D88" s="537">
        <v>0</v>
      </c>
      <c r="E88" s="537">
        <v>0</v>
      </c>
      <c r="F88" s="537">
        <v>0</v>
      </c>
      <c r="G88" s="537">
        <v>0</v>
      </c>
      <c r="H88" s="537">
        <v>3.2721029607180159E-5</v>
      </c>
      <c r="I88" s="537">
        <v>4.7919570346695938E-5</v>
      </c>
      <c r="J88" s="537">
        <v>0</v>
      </c>
      <c r="K88" s="536">
        <v>8.064059995387609E-5</v>
      </c>
      <c r="L88" s="522"/>
    </row>
    <row r="89" spans="1:12" s="205" customFormat="1">
      <c r="A89" s="801" t="s">
        <v>287</v>
      </c>
      <c r="B89" s="535" t="s">
        <v>7</v>
      </c>
      <c r="C89" s="534">
        <v>87.046182266009851</v>
      </c>
      <c r="D89" s="533">
        <v>77.69004407570651</v>
      </c>
      <c r="E89" s="533">
        <v>257.85305286022322</v>
      </c>
      <c r="F89" s="533">
        <v>44.562358276643991</v>
      </c>
      <c r="G89" s="533">
        <v>513.01950595625499</v>
      </c>
      <c r="H89" s="533">
        <v>580.80179515387204</v>
      </c>
      <c r="I89" s="533">
        <v>273.43625652238291</v>
      </c>
      <c r="J89" s="533">
        <v>0</v>
      </c>
      <c r="K89" s="532">
        <v>1834.4091951110936</v>
      </c>
      <c r="L89" s="522"/>
    </row>
    <row r="90" spans="1:12" s="205" customFormat="1" ht="22.5">
      <c r="A90" s="802"/>
      <c r="B90" s="531" t="s">
        <v>314</v>
      </c>
      <c r="C90" s="529">
        <v>4.7451889413767497E-2</v>
      </c>
      <c r="D90" s="321">
        <v>4.2351534370171716E-2</v>
      </c>
      <c r="E90" s="321">
        <v>0.14056463167946964</v>
      </c>
      <c r="F90" s="321">
        <v>2.4292485229254014E-2</v>
      </c>
      <c r="G90" s="321">
        <v>0.27966470475808208</v>
      </c>
      <c r="H90" s="321">
        <v>0.31661517871899791</v>
      </c>
      <c r="I90" s="321">
        <v>0.14905957583025709</v>
      </c>
      <c r="J90" s="321">
        <v>0</v>
      </c>
      <c r="K90" s="195"/>
      <c r="L90" s="522"/>
    </row>
    <row r="91" spans="1:12" s="205" customFormat="1" ht="15.75" thickBot="1">
      <c r="A91" s="803"/>
      <c r="B91" s="539" t="s">
        <v>246</v>
      </c>
      <c r="C91" s="538">
        <v>1.382308568719986E-4</v>
      </c>
      <c r="D91" s="537">
        <v>1.2337314610984062E-4</v>
      </c>
      <c r="E91" s="537">
        <v>4.0947514889285992E-4</v>
      </c>
      <c r="F91" s="537">
        <v>7.0765802801013103E-5</v>
      </c>
      <c r="G91" s="537">
        <v>8.1468393046427428E-4</v>
      </c>
      <c r="H91" s="537">
        <v>9.2232338888301418E-4</v>
      </c>
      <c r="I91" s="537">
        <v>4.3422154832079132E-4</v>
      </c>
      <c r="J91" s="537">
        <v>0</v>
      </c>
      <c r="K91" s="536">
        <v>2.913073822343792E-3</v>
      </c>
      <c r="L91" s="522"/>
    </row>
    <row r="92" spans="1:12" s="205" customFormat="1">
      <c r="A92" s="801" t="s">
        <v>286</v>
      </c>
      <c r="B92" s="535" t="s">
        <v>7</v>
      </c>
      <c r="C92" s="534">
        <v>0</v>
      </c>
      <c r="D92" s="533">
        <v>6.905263157894737</v>
      </c>
      <c r="E92" s="533">
        <v>62.282352941176477</v>
      </c>
      <c r="F92" s="533">
        <v>0</v>
      </c>
      <c r="G92" s="533">
        <v>0</v>
      </c>
      <c r="H92" s="533">
        <v>269.27849239860529</v>
      </c>
      <c r="I92" s="533">
        <v>98.000848296635951</v>
      </c>
      <c r="J92" s="533">
        <v>59.40625</v>
      </c>
      <c r="K92" s="532">
        <v>495.87320679431247</v>
      </c>
      <c r="L92" s="522"/>
    </row>
    <row r="93" spans="1:12" s="205" customFormat="1" ht="22.5">
      <c r="A93" s="802"/>
      <c r="B93" s="531" t="s">
        <v>314</v>
      </c>
      <c r="C93" s="529">
        <v>0</v>
      </c>
      <c r="D93" s="321">
        <v>1.3925461314063357E-2</v>
      </c>
      <c r="E93" s="321">
        <v>0.12560136762341972</v>
      </c>
      <c r="F93" s="321">
        <v>0</v>
      </c>
      <c r="G93" s="321">
        <v>0</v>
      </c>
      <c r="H93" s="321">
        <v>0.54303900414264905</v>
      </c>
      <c r="I93" s="321">
        <v>0.19763287661816858</v>
      </c>
      <c r="J93" s="321">
        <v>0.11980129030169931</v>
      </c>
      <c r="K93" s="195"/>
      <c r="L93" s="522"/>
    </row>
    <row r="94" spans="1:12" s="205" customFormat="1" ht="15.75" thickBot="1">
      <c r="A94" s="803"/>
      <c r="B94" s="539" t="s">
        <v>246</v>
      </c>
      <c r="C94" s="538">
        <v>0</v>
      </c>
      <c r="D94" s="537">
        <v>1.0965678429473838E-5</v>
      </c>
      <c r="E94" s="537">
        <v>9.8905463639441851E-5</v>
      </c>
      <c r="F94" s="537">
        <v>0</v>
      </c>
      <c r="G94" s="537">
        <v>0</v>
      </c>
      <c r="H94" s="537">
        <v>4.2761894631643141E-4</v>
      </c>
      <c r="I94" s="537">
        <v>1.556270577476724E-4</v>
      </c>
      <c r="J94" s="537">
        <v>9.4338161965073735E-5</v>
      </c>
      <c r="K94" s="536">
        <v>7.8745530809809321E-4</v>
      </c>
      <c r="L94" s="522"/>
    </row>
    <row r="95" spans="1:12" s="205" customFormat="1">
      <c r="A95" s="801" t="s">
        <v>285</v>
      </c>
      <c r="B95" s="535" t="s">
        <v>7</v>
      </c>
      <c r="C95" s="534">
        <v>15640.964464979448</v>
      </c>
      <c r="D95" s="533">
        <v>27254.64759844121</v>
      </c>
      <c r="E95" s="533">
        <v>54452.071948508732</v>
      </c>
      <c r="F95" s="533">
        <v>53117.512046484015</v>
      </c>
      <c r="G95" s="533">
        <v>82452.880393738975</v>
      </c>
      <c r="H95" s="533">
        <v>214851.62202848855</v>
      </c>
      <c r="I95" s="533">
        <v>165249.26672881871</v>
      </c>
      <c r="J95" s="533">
        <v>11158.116557017524</v>
      </c>
      <c r="K95" s="532">
        <v>624177.0817664772</v>
      </c>
      <c r="L95" s="522"/>
    </row>
    <row r="96" spans="1:12" s="205" customFormat="1" ht="22.5">
      <c r="A96" s="802"/>
      <c r="B96" s="531" t="s">
        <v>314</v>
      </c>
      <c r="C96" s="529">
        <v>2.5058536947101796E-2</v>
      </c>
      <c r="D96" s="321">
        <v>4.3664928422729191E-2</v>
      </c>
      <c r="E96" s="321">
        <v>8.7238178938586583E-2</v>
      </c>
      <c r="F96" s="321">
        <v>8.5100067910466509E-2</v>
      </c>
      <c r="G96" s="321">
        <v>0.13209853870377605</v>
      </c>
      <c r="H96" s="321">
        <v>0.34421581359642234</v>
      </c>
      <c r="I96" s="321">
        <v>0.26474741152166054</v>
      </c>
      <c r="J96" s="321">
        <v>1.7876523959256964E-2</v>
      </c>
      <c r="K96" s="195"/>
      <c r="L96" s="522"/>
    </row>
    <row r="97" spans="1:33" s="205" customFormat="1" ht="15.75" thickBot="1">
      <c r="A97" s="803"/>
      <c r="B97" s="530" t="s">
        <v>246</v>
      </c>
      <c r="C97" s="529">
        <v>2.4838124591052189E-2</v>
      </c>
      <c r="D97" s="321">
        <v>4.3280856129494033E-2</v>
      </c>
      <c r="E97" s="321">
        <v>8.6470840741710936E-2</v>
      </c>
      <c r="F97" s="321">
        <v>8.4351536321901566E-2</v>
      </c>
      <c r="G97" s="321">
        <v>0.13093661332050752</v>
      </c>
      <c r="H97" s="321">
        <v>0.34118812612111277</v>
      </c>
      <c r="I97" s="321">
        <v>0.26241872007192796</v>
      </c>
      <c r="J97" s="321">
        <v>1.7719283862911564E-2</v>
      </c>
      <c r="K97" s="528">
        <v>0.99120410116061863</v>
      </c>
      <c r="L97" s="522"/>
    </row>
    <row r="98" spans="1:33" s="205" customFormat="1" ht="15.75" thickBot="1">
      <c r="A98" s="527" t="s">
        <v>9</v>
      </c>
      <c r="B98" s="526" t="s">
        <v>7</v>
      </c>
      <c r="C98" s="525">
        <v>15879.000000000002</v>
      </c>
      <c r="D98" s="524">
        <v>27561.000000000291</v>
      </c>
      <c r="E98" s="524">
        <v>55235.999999999447</v>
      </c>
      <c r="F98" s="524">
        <v>53215.999999998756</v>
      </c>
      <c r="G98" s="524">
        <v>83382.999999999971</v>
      </c>
      <c r="H98" s="524">
        <v>216861.00000000853</v>
      </c>
      <c r="I98" s="524">
        <v>166256.00000001019</v>
      </c>
      <c r="J98" s="524">
        <v>11323.99999999998</v>
      </c>
      <c r="K98" s="523">
        <v>629716.00000001723</v>
      </c>
      <c r="L98" s="522"/>
    </row>
    <row r="99" spans="1:33">
      <c r="A99" s="519"/>
      <c r="B99" s="521"/>
      <c r="C99" s="514"/>
      <c r="D99" s="514"/>
      <c r="E99" s="514"/>
      <c r="F99" s="514"/>
      <c r="G99" s="514"/>
      <c r="H99" s="514"/>
      <c r="I99" s="514"/>
      <c r="J99" s="514"/>
      <c r="K99" s="520"/>
      <c r="L99" s="326"/>
    </row>
    <row r="100" spans="1:33">
      <c r="A100" s="519"/>
      <c r="B100" s="518"/>
      <c r="C100" s="514"/>
      <c r="D100" s="514"/>
      <c r="E100" s="514"/>
      <c r="F100" s="514"/>
      <c r="G100" s="514"/>
      <c r="H100" s="514"/>
      <c r="I100" s="514"/>
      <c r="J100" s="514"/>
      <c r="K100" s="514"/>
      <c r="L100" s="326"/>
    </row>
    <row r="101" spans="1:33">
      <c r="A101" s="516"/>
      <c r="B101" s="515"/>
      <c r="C101" s="517"/>
      <c r="D101" s="517"/>
      <c r="E101" s="517"/>
      <c r="F101" s="517"/>
      <c r="G101" s="517"/>
      <c r="H101" s="517"/>
      <c r="I101" s="517"/>
      <c r="J101" s="517"/>
      <c r="K101" s="517"/>
      <c r="L101" s="326"/>
    </row>
    <row r="102" spans="1:33">
      <c r="A102" s="516"/>
      <c r="B102" s="515"/>
      <c r="C102" s="514"/>
      <c r="D102" s="514"/>
      <c r="E102" s="514"/>
      <c r="F102" s="514"/>
      <c r="G102" s="514"/>
      <c r="H102" s="514"/>
      <c r="I102" s="514"/>
      <c r="J102" s="514"/>
      <c r="K102" s="514"/>
      <c r="L102" s="326"/>
    </row>
    <row r="103" spans="1:33" ht="15.75" thickBot="1"/>
    <row r="104" spans="1:33" ht="15" customHeight="1">
      <c r="A104" s="804" t="s">
        <v>310</v>
      </c>
      <c r="B104" s="824" t="s">
        <v>283</v>
      </c>
      <c r="C104" s="825"/>
      <c r="D104" s="825"/>
      <c r="E104" s="825"/>
      <c r="F104" s="825"/>
      <c r="G104" s="825"/>
      <c r="H104" s="825"/>
      <c r="I104" s="825"/>
      <c r="J104" s="825"/>
      <c r="K104" s="825"/>
      <c r="L104" s="825"/>
      <c r="M104" s="825"/>
      <c r="N104" s="825"/>
      <c r="O104" s="825"/>
      <c r="P104" s="825"/>
      <c r="Q104" s="825"/>
      <c r="R104" s="825"/>
      <c r="S104" s="825"/>
      <c r="T104" s="825"/>
      <c r="U104" s="825"/>
      <c r="V104" s="825"/>
      <c r="W104" s="825"/>
      <c r="X104" s="825"/>
      <c r="Y104" s="825"/>
      <c r="Z104" s="825"/>
      <c r="AA104" s="825"/>
      <c r="AB104" s="825"/>
      <c r="AC104" s="826"/>
      <c r="AD104" s="326"/>
    </row>
    <row r="105" spans="1:33" ht="15" customHeight="1">
      <c r="A105" s="805"/>
      <c r="B105" s="807" t="s">
        <v>275</v>
      </c>
      <c r="C105" s="808"/>
      <c r="D105" s="807" t="s">
        <v>274</v>
      </c>
      <c r="E105" s="808"/>
      <c r="F105" s="818" t="s">
        <v>273</v>
      </c>
      <c r="G105" s="819"/>
      <c r="H105" s="807" t="s">
        <v>272</v>
      </c>
      <c r="I105" s="808"/>
      <c r="J105" s="807" t="s">
        <v>271</v>
      </c>
      <c r="K105" s="808"/>
      <c r="L105" s="807" t="s">
        <v>270</v>
      </c>
      <c r="M105" s="808"/>
      <c r="N105" s="807" t="s">
        <v>269</v>
      </c>
      <c r="O105" s="808"/>
      <c r="P105" s="807" t="s">
        <v>268</v>
      </c>
      <c r="Q105" s="808"/>
      <c r="R105" s="807" t="s">
        <v>267</v>
      </c>
      <c r="S105" s="808"/>
      <c r="T105" s="807" t="s">
        <v>266</v>
      </c>
      <c r="U105" s="808"/>
      <c r="V105" s="807" t="s">
        <v>265</v>
      </c>
      <c r="W105" s="808"/>
      <c r="X105" s="807" t="s">
        <v>264</v>
      </c>
      <c r="Y105" s="808"/>
      <c r="Z105" s="823" t="s">
        <v>281</v>
      </c>
      <c r="AA105" s="808"/>
      <c r="AB105" s="820" t="s">
        <v>9</v>
      </c>
      <c r="AC105" s="821"/>
      <c r="AD105" s="326"/>
    </row>
    <row r="106" spans="1:33" ht="15.75" customHeight="1" thickBot="1">
      <c r="A106" s="806"/>
      <c r="B106" s="513" t="s">
        <v>7</v>
      </c>
      <c r="C106" s="513" t="s">
        <v>8</v>
      </c>
      <c r="D106" s="513" t="s">
        <v>7</v>
      </c>
      <c r="E106" s="513" t="s">
        <v>8</v>
      </c>
      <c r="F106" s="513" t="s">
        <v>7</v>
      </c>
      <c r="G106" s="513" t="s">
        <v>8</v>
      </c>
      <c r="H106" s="513" t="s">
        <v>7</v>
      </c>
      <c r="I106" s="513" t="s">
        <v>8</v>
      </c>
      <c r="J106" s="513" t="s">
        <v>7</v>
      </c>
      <c r="K106" s="513" t="s">
        <v>8</v>
      </c>
      <c r="L106" s="513" t="s">
        <v>7</v>
      </c>
      <c r="M106" s="513" t="s">
        <v>8</v>
      </c>
      <c r="N106" s="513" t="s">
        <v>7</v>
      </c>
      <c r="O106" s="513" t="s">
        <v>8</v>
      </c>
      <c r="P106" s="513" t="s">
        <v>7</v>
      </c>
      <c r="Q106" s="513" t="s">
        <v>8</v>
      </c>
      <c r="R106" s="513" t="s">
        <v>7</v>
      </c>
      <c r="S106" s="513" t="s">
        <v>8</v>
      </c>
      <c r="T106" s="513" t="s">
        <v>7</v>
      </c>
      <c r="U106" s="513" t="s">
        <v>8</v>
      </c>
      <c r="V106" s="513" t="s">
        <v>7</v>
      </c>
      <c r="W106" s="513" t="s">
        <v>8</v>
      </c>
      <c r="X106" s="513" t="s">
        <v>7</v>
      </c>
      <c r="Y106" s="513" t="s">
        <v>8</v>
      </c>
      <c r="Z106" s="513" t="s">
        <v>7</v>
      </c>
      <c r="AA106" s="513" t="s">
        <v>8</v>
      </c>
      <c r="AB106" s="513" t="s">
        <v>7</v>
      </c>
      <c r="AC106" s="512" t="s">
        <v>6</v>
      </c>
      <c r="AD106" s="326"/>
    </row>
    <row r="107" spans="1:33" ht="15.75" customHeight="1">
      <c r="A107" s="510" t="s">
        <v>5</v>
      </c>
      <c r="B107" s="509">
        <v>265.15884314682165</v>
      </c>
      <c r="C107" s="443">
        <v>1.0355785148421037E-3</v>
      </c>
      <c r="D107" s="509">
        <v>6.1083333333333325</v>
      </c>
      <c r="E107" s="443">
        <v>2.3856110874609813E-5</v>
      </c>
      <c r="F107" s="509">
        <v>87.261306532663312</v>
      </c>
      <c r="G107" s="443">
        <v>3.4079924753722181E-4</v>
      </c>
      <c r="H107" s="509">
        <v>1420.8612419917322</v>
      </c>
      <c r="I107" s="443">
        <v>5.549177079354527E-3</v>
      </c>
      <c r="J107" s="509">
        <v>17.507220216606498</v>
      </c>
      <c r="K107" s="443">
        <v>6.8374491666069599E-5</v>
      </c>
      <c r="L107" s="509">
        <v>147200.55501773662</v>
      </c>
      <c r="M107" s="443">
        <v>0.57489213009122409</v>
      </c>
      <c r="N107" s="509">
        <v>160.40463132169842</v>
      </c>
      <c r="O107" s="443">
        <v>6.2646068261031616E-4</v>
      </c>
      <c r="P107" s="509">
        <v>907.78649624582647</v>
      </c>
      <c r="Q107" s="443">
        <v>3.5453623964388547E-3</v>
      </c>
      <c r="R107" s="509">
        <v>6.905263157894737</v>
      </c>
      <c r="S107" s="443">
        <v>2.6968522266809576E-5</v>
      </c>
      <c r="T107" s="509">
        <v>89.726027397260268</v>
      </c>
      <c r="U107" s="443">
        <v>3.5042522094308091E-4</v>
      </c>
      <c r="V107" s="509">
        <v>1606.5094693722378</v>
      </c>
      <c r="W107" s="443">
        <v>6.2742266885328279E-3</v>
      </c>
      <c r="X107" s="509">
        <v>0</v>
      </c>
      <c r="Y107" s="443">
        <v>0</v>
      </c>
      <c r="Z107" s="509">
        <v>104280.21614954839</v>
      </c>
      <c r="AA107" s="443">
        <v>0.40726664095365406</v>
      </c>
      <c r="AB107" s="509">
        <v>256049.00000001528</v>
      </c>
      <c r="AC107" s="443">
        <v>1</v>
      </c>
      <c r="AD107" s="504"/>
      <c r="AF107" s="503"/>
      <c r="AG107" s="503"/>
    </row>
    <row r="108" spans="1:33">
      <c r="A108" s="508" t="s">
        <v>309</v>
      </c>
      <c r="B108" s="507">
        <v>0</v>
      </c>
      <c r="C108" s="321">
        <v>0</v>
      </c>
      <c r="D108" s="507">
        <v>0</v>
      </c>
      <c r="E108" s="321">
        <v>0</v>
      </c>
      <c r="F108" s="507">
        <v>0</v>
      </c>
      <c r="G108" s="321">
        <v>0</v>
      </c>
      <c r="H108" s="507">
        <v>47.206896551724135</v>
      </c>
      <c r="I108" s="321">
        <v>8.3169303297611283E-3</v>
      </c>
      <c r="J108" s="507">
        <v>0</v>
      </c>
      <c r="K108" s="321">
        <v>0</v>
      </c>
      <c r="L108" s="507">
        <v>2381.7958140307646</v>
      </c>
      <c r="M108" s="321">
        <v>0.41962576004770369</v>
      </c>
      <c r="N108" s="507">
        <v>0</v>
      </c>
      <c r="O108" s="321">
        <v>0</v>
      </c>
      <c r="P108" s="507">
        <v>0</v>
      </c>
      <c r="Q108" s="321">
        <v>0</v>
      </c>
      <c r="R108" s="507">
        <v>0</v>
      </c>
      <c r="S108" s="321">
        <v>0</v>
      </c>
      <c r="T108" s="507">
        <v>0</v>
      </c>
      <c r="U108" s="321">
        <v>0</v>
      </c>
      <c r="V108" s="507">
        <v>141.62068965517241</v>
      </c>
      <c r="W108" s="321">
        <v>2.4950790989283388E-2</v>
      </c>
      <c r="X108" s="507">
        <v>0</v>
      </c>
      <c r="Y108" s="321">
        <v>0</v>
      </c>
      <c r="Z108" s="507">
        <v>3105.3765997623373</v>
      </c>
      <c r="AA108" s="321">
        <v>0.54710651863325221</v>
      </c>
      <c r="AB108" s="507">
        <v>5675.9999999999964</v>
      </c>
      <c r="AC108" s="321">
        <v>2.2167631976690624E-2</v>
      </c>
      <c r="AD108" s="504"/>
      <c r="AE108" s="249"/>
      <c r="AF108" s="503"/>
      <c r="AG108" s="503"/>
    </row>
    <row r="109" spans="1:33">
      <c r="A109" s="508" t="s">
        <v>308</v>
      </c>
      <c r="B109" s="507">
        <v>0</v>
      </c>
      <c r="C109" s="321">
        <v>0</v>
      </c>
      <c r="D109" s="507">
        <v>0</v>
      </c>
      <c r="E109" s="321">
        <v>0</v>
      </c>
      <c r="F109" s="507">
        <v>0</v>
      </c>
      <c r="G109" s="321">
        <v>0</v>
      </c>
      <c r="H109" s="507">
        <v>95.730526315789476</v>
      </c>
      <c r="I109" s="321">
        <v>9.1041870010261684E-3</v>
      </c>
      <c r="J109" s="507">
        <v>0</v>
      </c>
      <c r="K109" s="321">
        <v>0</v>
      </c>
      <c r="L109" s="507">
        <v>6916.4912418300419</v>
      </c>
      <c r="M109" s="321">
        <v>0.65777377478174903</v>
      </c>
      <c r="N109" s="507">
        <v>0</v>
      </c>
      <c r="O109" s="321">
        <v>0</v>
      </c>
      <c r="P109" s="507">
        <v>90.308771929824559</v>
      </c>
      <c r="Q109" s="321">
        <v>8.5885660418283591E-3</v>
      </c>
      <c r="R109" s="507">
        <v>6.905263157894737</v>
      </c>
      <c r="S109" s="321">
        <v>6.5670595890582838E-4</v>
      </c>
      <c r="T109" s="507">
        <v>0</v>
      </c>
      <c r="U109" s="321">
        <v>0</v>
      </c>
      <c r="V109" s="507">
        <v>190.4875954592363</v>
      </c>
      <c r="W109" s="321">
        <v>1.8115796049380663E-2</v>
      </c>
      <c r="X109" s="507">
        <v>0</v>
      </c>
      <c r="Y109" s="321">
        <v>0</v>
      </c>
      <c r="Z109" s="507">
        <v>3215.0766013071911</v>
      </c>
      <c r="AA109" s="321">
        <v>0.30576097016711495</v>
      </c>
      <c r="AB109" s="507">
        <v>10514.999999999925</v>
      </c>
      <c r="AC109" s="321">
        <v>4.106635839233623E-2</v>
      </c>
      <c r="AD109" s="504"/>
      <c r="AE109" s="249"/>
      <c r="AF109" s="503"/>
      <c r="AG109" s="503"/>
    </row>
    <row r="110" spans="1:33">
      <c r="A110" s="508" t="s">
        <v>307</v>
      </c>
      <c r="B110" s="507">
        <v>89.726027397260268</v>
      </c>
      <c r="C110" s="321">
        <v>4.6543224088214617E-3</v>
      </c>
      <c r="D110" s="507">
        <v>0</v>
      </c>
      <c r="E110" s="321">
        <v>0</v>
      </c>
      <c r="F110" s="507">
        <v>0</v>
      </c>
      <c r="G110" s="321">
        <v>0</v>
      </c>
      <c r="H110" s="507">
        <v>331.46043513295729</v>
      </c>
      <c r="I110" s="321">
        <v>1.7193714863209711E-2</v>
      </c>
      <c r="J110" s="507">
        <v>0</v>
      </c>
      <c r="K110" s="321">
        <v>0</v>
      </c>
      <c r="L110" s="507">
        <v>10399.926969565495</v>
      </c>
      <c r="M110" s="321">
        <v>0.53947126100038789</v>
      </c>
      <c r="N110" s="507">
        <v>0</v>
      </c>
      <c r="O110" s="321">
        <v>0</v>
      </c>
      <c r="P110" s="507">
        <v>62.282352941176477</v>
      </c>
      <c r="Q110" s="321">
        <v>3.2307476367453253E-3</v>
      </c>
      <c r="R110" s="507">
        <v>0</v>
      </c>
      <c r="S110" s="321">
        <v>0</v>
      </c>
      <c r="T110" s="507">
        <v>89.726027397260268</v>
      </c>
      <c r="U110" s="321">
        <v>4.6543224088214617E-3</v>
      </c>
      <c r="V110" s="507">
        <v>62.282352941176477</v>
      </c>
      <c r="W110" s="321">
        <v>3.2307476367453253E-3</v>
      </c>
      <c r="X110" s="507">
        <v>0</v>
      </c>
      <c r="Y110" s="321">
        <v>0</v>
      </c>
      <c r="Z110" s="507">
        <v>8242.595834624688</v>
      </c>
      <c r="AA110" s="321">
        <v>0.42756488404526793</v>
      </c>
      <c r="AB110" s="507">
        <v>19278.000000000029</v>
      </c>
      <c r="AC110" s="321">
        <v>7.5290276470514936E-2</v>
      </c>
      <c r="AD110" s="504"/>
      <c r="AE110" s="249"/>
      <c r="AF110" s="503"/>
      <c r="AG110" s="503"/>
    </row>
    <row r="111" spans="1:33">
      <c r="A111" s="508" t="s">
        <v>306</v>
      </c>
      <c r="B111" s="507">
        <v>0</v>
      </c>
      <c r="C111" s="321">
        <v>0</v>
      </c>
      <c r="D111" s="507">
        <v>0</v>
      </c>
      <c r="E111" s="321">
        <v>0</v>
      </c>
      <c r="F111" s="507">
        <v>0</v>
      </c>
      <c r="G111" s="321">
        <v>0</v>
      </c>
      <c r="H111" s="507">
        <v>79.045370214201384</v>
      </c>
      <c r="I111" s="321">
        <v>3.9322142181972561E-3</v>
      </c>
      <c r="J111" s="507">
        <v>0</v>
      </c>
      <c r="K111" s="321">
        <v>0</v>
      </c>
      <c r="L111" s="507">
        <v>9705.8904358377858</v>
      </c>
      <c r="M111" s="321">
        <v>0.48283207819310353</v>
      </c>
      <c r="N111" s="507">
        <v>0</v>
      </c>
      <c r="O111" s="321">
        <v>0</v>
      </c>
      <c r="P111" s="507">
        <v>79.045370214201384</v>
      </c>
      <c r="Q111" s="321">
        <v>3.9322142181972561E-3</v>
      </c>
      <c r="R111" s="507">
        <v>0</v>
      </c>
      <c r="S111" s="321">
        <v>0</v>
      </c>
      <c r="T111" s="507">
        <v>0</v>
      </c>
      <c r="U111" s="321">
        <v>0</v>
      </c>
      <c r="V111" s="507">
        <v>150.71701200524615</v>
      </c>
      <c r="W111" s="321">
        <v>7.4976127751092371E-3</v>
      </c>
      <c r="X111" s="507">
        <v>0</v>
      </c>
      <c r="Y111" s="321">
        <v>0</v>
      </c>
      <c r="Z111" s="507">
        <v>10087.30181172857</v>
      </c>
      <c r="AA111" s="321">
        <v>0.50180588059539111</v>
      </c>
      <c r="AB111" s="507">
        <v>20102.000000000036</v>
      </c>
      <c r="AC111" s="321">
        <v>7.8508410499548278E-2</v>
      </c>
      <c r="AD111" s="504"/>
      <c r="AE111" s="249"/>
      <c r="AF111" s="503"/>
      <c r="AG111" s="503"/>
    </row>
    <row r="112" spans="1:33">
      <c r="A112" s="508" t="s">
        <v>305</v>
      </c>
      <c r="B112" s="507">
        <v>0</v>
      </c>
      <c r="C112" s="321">
        <v>0</v>
      </c>
      <c r="D112" s="507">
        <v>0</v>
      </c>
      <c r="E112" s="321">
        <v>0</v>
      </c>
      <c r="F112" s="507">
        <v>0</v>
      </c>
      <c r="G112" s="321">
        <v>0</v>
      </c>
      <c r="H112" s="507">
        <v>180.710703699889</v>
      </c>
      <c r="I112" s="321">
        <v>5.6956222800015732E-3</v>
      </c>
      <c r="J112" s="507">
        <v>0</v>
      </c>
      <c r="K112" s="321">
        <v>0</v>
      </c>
      <c r="L112" s="507">
        <v>19676.0644283287</v>
      </c>
      <c r="M112" s="321">
        <v>0.62014827371182546</v>
      </c>
      <c r="N112" s="507">
        <v>8.8730158730158735</v>
      </c>
      <c r="O112" s="321">
        <v>2.7965884622465704E-4</v>
      </c>
      <c r="P112" s="507">
        <v>162.78947368421052</v>
      </c>
      <c r="Q112" s="321">
        <v>5.1307827056294554E-3</v>
      </c>
      <c r="R112" s="507">
        <v>0</v>
      </c>
      <c r="S112" s="321">
        <v>0</v>
      </c>
      <c r="T112" s="507">
        <v>0</v>
      </c>
      <c r="U112" s="321">
        <v>0</v>
      </c>
      <c r="V112" s="507">
        <v>240.11697609513411</v>
      </c>
      <c r="W112" s="321">
        <v>7.5679833615461215E-3</v>
      </c>
      <c r="X112" s="507">
        <v>0</v>
      </c>
      <c r="Y112" s="321">
        <v>0</v>
      </c>
      <c r="Z112" s="507">
        <v>11459.445402319005</v>
      </c>
      <c r="AA112" s="321">
        <v>0.36117767909477627</v>
      </c>
      <c r="AB112" s="507">
        <v>31727.99999999984</v>
      </c>
      <c r="AC112" s="321">
        <v>0.12391378212763161</v>
      </c>
      <c r="AD112" s="504"/>
      <c r="AE112" s="249"/>
      <c r="AF112" s="503"/>
      <c r="AG112" s="503"/>
    </row>
    <row r="113" spans="1:33" ht="25.5">
      <c r="A113" s="508" t="s">
        <v>304</v>
      </c>
      <c r="B113" s="507">
        <v>93.010400348128812</v>
      </c>
      <c r="C113" s="321">
        <v>9.7563698140338011E-4</v>
      </c>
      <c r="D113" s="507">
        <v>6.1083333333333325</v>
      </c>
      <c r="E113" s="321">
        <v>6.4073650607169682E-5</v>
      </c>
      <c r="F113" s="507">
        <v>87.261306532663312</v>
      </c>
      <c r="G113" s="321">
        <v>9.1533159066286554E-4</v>
      </c>
      <c r="H113" s="507">
        <v>479.20431794050313</v>
      </c>
      <c r="I113" s="321">
        <v>5.0266362953069891E-3</v>
      </c>
      <c r="J113" s="507">
        <v>17.507220216606498</v>
      </c>
      <c r="K113" s="321">
        <v>1.8364281221199821E-4</v>
      </c>
      <c r="L113" s="507">
        <v>48857.064090600594</v>
      </c>
      <c r="M113" s="321">
        <v>0.51248847818279497</v>
      </c>
      <c r="N113" s="507">
        <v>93.369639865996646</v>
      </c>
      <c r="O113" s="321">
        <v>9.7940524127003523E-4</v>
      </c>
      <c r="P113" s="507">
        <v>180.77039834251306</v>
      </c>
      <c r="Q113" s="321">
        <v>1.8961996196753728E-3</v>
      </c>
      <c r="R113" s="507">
        <v>0</v>
      </c>
      <c r="S113" s="321">
        <v>0</v>
      </c>
      <c r="T113" s="507">
        <v>0</v>
      </c>
      <c r="U113" s="321">
        <v>0</v>
      </c>
      <c r="V113" s="507">
        <v>276.47969570110195</v>
      </c>
      <c r="W113" s="321">
        <v>2.9001468085668213E-3</v>
      </c>
      <c r="X113" s="507">
        <v>0</v>
      </c>
      <c r="Y113" s="321">
        <v>0</v>
      </c>
      <c r="Z113" s="507">
        <v>45242.224597116925</v>
      </c>
      <c r="AA113" s="321">
        <v>0.47457044881747912</v>
      </c>
      <c r="AB113" s="507">
        <v>95333.000000000393</v>
      </c>
      <c r="AC113" s="321">
        <v>0.37232326624979867</v>
      </c>
      <c r="AD113" s="504"/>
      <c r="AE113" s="249"/>
      <c r="AF113" s="503"/>
      <c r="AG113" s="503"/>
    </row>
    <row r="114" spans="1:33" ht="25.5">
      <c r="A114" s="508" t="s">
        <v>303</v>
      </c>
      <c r="B114" s="507">
        <v>82.422415401432616</v>
      </c>
      <c r="C114" s="321">
        <v>1.1954286622009871E-3</v>
      </c>
      <c r="D114" s="507">
        <v>0</v>
      </c>
      <c r="E114" s="321">
        <v>0</v>
      </c>
      <c r="F114" s="507">
        <v>0</v>
      </c>
      <c r="G114" s="321">
        <v>0</v>
      </c>
      <c r="H114" s="507">
        <v>207.50299213666798</v>
      </c>
      <c r="I114" s="321">
        <v>3.0095578136663955E-3</v>
      </c>
      <c r="J114" s="507">
        <v>0</v>
      </c>
      <c r="K114" s="321">
        <v>0</v>
      </c>
      <c r="L114" s="507">
        <v>47387.73870420715</v>
      </c>
      <c r="M114" s="321">
        <v>0.68729678459429933</v>
      </c>
      <c r="N114" s="507">
        <v>58.161975582685912</v>
      </c>
      <c r="O114" s="321">
        <v>8.4356291092833218E-4</v>
      </c>
      <c r="P114" s="507">
        <v>332.59012913390046</v>
      </c>
      <c r="Q114" s="321">
        <v>4.8237821130983453E-3</v>
      </c>
      <c r="R114" s="507">
        <v>0</v>
      </c>
      <c r="S114" s="321">
        <v>0</v>
      </c>
      <c r="T114" s="507">
        <v>0</v>
      </c>
      <c r="U114" s="321">
        <v>0</v>
      </c>
      <c r="V114" s="507">
        <v>476.53848084850347</v>
      </c>
      <c r="W114" s="321">
        <v>6.9115635094347842E-3</v>
      </c>
      <c r="X114" s="507">
        <v>0</v>
      </c>
      <c r="Y114" s="321">
        <v>0</v>
      </c>
      <c r="Z114" s="507">
        <v>20403.045302689326</v>
      </c>
      <c r="AA114" s="321">
        <v>0.29591932039637969</v>
      </c>
      <c r="AB114" s="507">
        <v>68947.999999999127</v>
      </c>
      <c r="AC114" s="321">
        <v>0.2692765837788666</v>
      </c>
      <c r="AD114" s="504"/>
      <c r="AE114" s="249"/>
      <c r="AF114" s="503"/>
      <c r="AG114" s="503"/>
    </row>
    <row r="115" spans="1:33" ht="15.75" thickBot="1">
      <c r="A115" s="511" t="s">
        <v>302</v>
      </c>
      <c r="B115" s="507">
        <v>0</v>
      </c>
      <c r="C115" s="321">
        <v>0</v>
      </c>
      <c r="D115" s="507">
        <v>0</v>
      </c>
      <c r="E115" s="321">
        <v>0</v>
      </c>
      <c r="F115" s="507">
        <v>0</v>
      </c>
      <c r="G115" s="321">
        <v>0</v>
      </c>
      <c r="H115" s="507">
        <v>0</v>
      </c>
      <c r="I115" s="321">
        <v>0</v>
      </c>
      <c r="J115" s="507">
        <v>0</v>
      </c>
      <c r="K115" s="321">
        <v>0</v>
      </c>
      <c r="L115" s="507">
        <v>1875.5833333333337</v>
      </c>
      <c r="M115" s="321">
        <v>0.41968747669128048</v>
      </c>
      <c r="N115" s="507">
        <v>0</v>
      </c>
      <c r="O115" s="321">
        <v>0</v>
      </c>
      <c r="P115" s="507">
        <v>0</v>
      </c>
      <c r="Q115" s="321">
        <v>0</v>
      </c>
      <c r="R115" s="507">
        <v>0</v>
      </c>
      <c r="S115" s="321">
        <v>0</v>
      </c>
      <c r="T115" s="507">
        <v>0</v>
      </c>
      <c r="U115" s="321">
        <v>0</v>
      </c>
      <c r="V115" s="507">
        <v>68.266666666666666</v>
      </c>
      <c r="W115" s="321">
        <v>1.5275602297307367E-2</v>
      </c>
      <c r="X115" s="507">
        <v>0</v>
      </c>
      <c r="Y115" s="321">
        <v>0</v>
      </c>
      <c r="Z115" s="507">
        <v>2525.1499999999996</v>
      </c>
      <c r="AA115" s="321">
        <v>0.56503692101141156</v>
      </c>
      <c r="AB115" s="507">
        <v>4469.0000000000027</v>
      </c>
      <c r="AC115" s="321">
        <v>1.7453690504550833E-2</v>
      </c>
      <c r="AD115" s="504"/>
      <c r="AE115" s="249"/>
      <c r="AF115" s="503"/>
      <c r="AG115" s="503"/>
    </row>
    <row r="116" spans="1:33" ht="15" customHeight="1">
      <c r="A116" s="510" t="s">
        <v>4</v>
      </c>
      <c r="B116" s="509">
        <v>221.80430796055796</v>
      </c>
      <c r="C116" s="443">
        <v>9.8743826609812659E-4</v>
      </c>
      <c r="D116" s="509">
        <v>0</v>
      </c>
      <c r="E116" s="443">
        <v>0</v>
      </c>
      <c r="F116" s="509">
        <v>0</v>
      </c>
      <c r="G116" s="443">
        <v>0</v>
      </c>
      <c r="H116" s="509">
        <v>1468.8099929781163</v>
      </c>
      <c r="I116" s="443">
        <v>6.5389135406324949E-3</v>
      </c>
      <c r="J116" s="509">
        <v>0</v>
      </c>
      <c r="K116" s="443">
        <v>0</v>
      </c>
      <c r="L116" s="509">
        <v>133316.00579747197</v>
      </c>
      <c r="M116" s="443">
        <v>0.59350211372446571</v>
      </c>
      <c r="N116" s="509">
        <v>137.10475259936777</v>
      </c>
      <c r="O116" s="443">
        <v>6.103690249542246E-4</v>
      </c>
      <c r="P116" s="509">
        <v>534.31041965121779</v>
      </c>
      <c r="Q116" s="443">
        <v>2.3786668491235087E-3</v>
      </c>
      <c r="R116" s="509">
        <v>5.3796992481203008</v>
      </c>
      <c r="S116" s="443">
        <v>2.3949583966772752E-5</v>
      </c>
      <c r="T116" s="509">
        <v>0</v>
      </c>
      <c r="U116" s="443">
        <v>0</v>
      </c>
      <c r="V116" s="509">
        <v>2308.2551554119318</v>
      </c>
      <c r="W116" s="443">
        <v>1.0275992785394077E-2</v>
      </c>
      <c r="X116" s="509">
        <v>0</v>
      </c>
      <c r="Y116" s="443">
        <v>0</v>
      </c>
      <c r="Z116" s="509">
        <v>86634.329874678748</v>
      </c>
      <c r="AA116" s="443">
        <v>0.38568255622536429</v>
      </c>
      <c r="AB116" s="509">
        <v>224626.0000000002</v>
      </c>
      <c r="AC116" s="443">
        <v>1</v>
      </c>
      <c r="AD116" s="504"/>
      <c r="AF116" s="503"/>
      <c r="AG116" s="503"/>
    </row>
    <row r="117" spans="1:33">
      <c r="A117" s="508" t="s">
        <v>309</v>
      </c>
      <c r="B117" s="507">
        <v>0</v>
      </c>
      <c r="C117" s="321">
        <v>0</v>
      </c>
      <c r="D117" s="507">
        <v>0</v>
      </c>
      <c r="E117" s="321">
        <v>0</v>
      </c>
      <c r="F117" s="507">
        <v>0</v>
      </c>
      <c r="G117" s="321">
        <v>0</v>
      </c>
      <c r="H117" s="507">
        <v>0</v>
      </c>
      <c r="I117" s="321">
        <v>0</v>
      </c>
      <c r="J117" s="507">
        <v>0</v>
      </c>
      <c r="K117" s="321">
        <v>0</v>
      </c>
      <c r="L117" s="507">
        <v>2737.0433053788329</v>
      </c>
      <c r="M117" s="321">
        <v>0.37447575665328192</v>
      </c>
      <c r="N117" s="507">
        <v>0</v>
      </c>
      <c r="O117" s="321">
        <v>0</v>
      </c>
      <c r="P117" s="507">
        <v>79.615384615384613</v>
      </c>
      <c r="Q117" s="321">
        <v>1.0892787606428343E-2</v>
      </c>
      <c r="R117" s="507">
        <v>0</v>
      </c>
      <c r="S117" s="321">
        <v>0</v>
      </c>
      <c r="T117" s="507">
        <v>0</v>
      </c>
      <c r="U117" s="321">
        <v>0</v>
      </c>
      <c r="V117" s="507">
        <v>238.84615384615384</v>
      </c>
      <c r="W117" s="321">
        <v>3.2678362819285031E-2</v>
      </c>
      <c r="X117" s="507">
        <v>0</v>
      </c>
      <c r="Y117" s="321">
        <v>0</v>
      </c>
      <c r="Z117" s="507">
        <v>4253.4951561596317</v>
      </c>
      <c r="AA117" s="321">
        <v>0.58195309292100694</v>
      </c>
      <c r="AB117" s="507">
        <v>7308.9999999999864</v>
      </c>
      <c r="AC117" s="321">
        <v>3.2538530713274422E-2</v>
      </c>
      <c r="AD117" s="504"/>
      <c r="AE117" s="249"/>
      <c r="AF117" s="503"/>
      <c r="AG117" s="503"/>
    </row>
    <row r="118" spans="1:33">
      <c r="A118" s="508" t="s">
        <v>308</v>
      </c>
      <c r="B118" s="507">
        <v>0</v>
      </c>
      <c r="C118" s="321">
        <v>0</v>
      </c>
      <c r="D118" s="507">
        <v>0</v>
      </c>
      <c r="E118" s="321">
        <v>0</v>
      </c>
      <c r="F118" s="507">
        <v>0</v>
      </c>
      <c r="G118" s="321">
        <v>0</v>
      </c>
      <c r="H118" s="507">
        <v>89.208841068187724</v>
      </c>
      <c r="I118" s="321">
        <v>9.316850242108406E-3</v>
      </c>
      <c r="J118" s="507">
        <v>0</v>
      </c>
      <c r="K118" s="321">
        <v>0</v>
      </c>
      <c r="L118" s="507">
        <v>6776.4820123332202</v>
      </c>
      <c r="M118" s="321">
        <v>0.70772658092253149</v>
      </c>
      <c r="N118" s="507">
        <v>0</v>
      </c>
      <c r="O118" s="321">
        <v>0</v>
      </c>
      <c r="P118" s="507">
        <v>112.6296992481203</v>
      </c>
      <c r="Q118" s="321">
        <v>1.1762892871866383E-2</v>
      </c>
      <c r="R118" s="507">
        <v>5.3796992481203008</v>
      </c>
      <c r="S118" s="321">
        <v>5.6184848544337505E-4</v>
      </c>
      <c r="T118" s="507">
        <v>0</v>
      </c>
      <c r="U118" s="321">
        <v>0</v>
      </c>
      <c r="V118" s="507">
        <v>150.05599994899632</v>
      </c>
      <c r="W118" s="321">
        <v>1.5671644903289476E-2</v>
      </c>
      <c r="X118" s="507">
        <v>0</v>
      </c>
      <c r="Y118" s="321">
        <v>0</v>
      </c>
      <c r="Z118" s="507">
        <v>2441.2437481533534</v>
      </c>
      <c r="AA118" s="321">
        <v>0.25496018257476349</v>
      </c>
      <c r="AB118" s="507">
        <v>9574.9999999999727</v>
      </c>
      <c r="AC118" s="321">
        <v>4.2626410121713268E-2</v>
      </c>
      <c r="AD118" s="504"/>
      <c r="AE118" s="249"/>
      <c r="AF118" s="503"/>
      <c r="AG118" s="503"/>
    </row>
    <row r="119" spans="1:33">
      <c r="A119" s="508" t="s">
        <v>307</v>
      </c>
      <c r="B119" s="507">
        <v>0</v>
      </c>
      <c r="C119" s="321">
        <v>0</v>
      </c>
      <c r="D119" s="507">
        <v>0</v>
      </c>
      <c r="E119" s="321">
        <v>0</v>
      </c>
      <c r="F119" s="507">
        <v>0</v>
      </c>
      <c r="G119" s="321">
        <v>0</v>
      </c>
      <c r="H119" s="507">
        <v>361.36842105263156</v>
      </c>
      <c r="I119" s="321">
        <v>1.8250930356193483E-2</v>
      </c>
      <c r="J119" s="507">
        <v>0</v>
      </c>
      <c r="K119" s="321">
        <v>0</v>
      </c>
      <c r="L119" s="507">
        <v>11352.331326850865</v>
      </c>
      <c r="M119" s="321">
        <v>0.573350067012669</v>
      </c>
      <c r="N119" s="507">
        <v>0</v>
      </c>
      <c r="O119" s="321">
        <v>0</v>
      </c>
      <c r="P119" s="507">
        <v>0</v>
      </c>
      <c r="Q119" s="321">
        <v>0</v>
      </c>
      <c r="R119" s="507">
        <v>0</v>
      </c>
      <c r="S119" s="321">
        <v>0</v>
      </c>
      <c r="T119" s="507">
        <v>0</v>
      </c>
      <c r="U119" s="321">
        <v>0</v>
      </c>
      <c r="V119" s="507">
        <v>296.88722539486548</v>
      </c>
      <c r="W119" s="321">
        <v>1.499430431287197E-2</v>
      </c>
      <c r="X119" s="507">
        <v>0</v>
      </c>
      <c r="Y119" s="321">
        <v>0</v>
      </c>
      <c r="Z119" s="507">
        <v>7789.4130267016517</v>
      </c>
      <c r="AA119" s="321">
        <v>0.39340469831826463</v>
      </c>
      <c r="AB119" s="507">
        <v>19800.000000000033</v>
      </c>
      <c r="AC119" s="321">
        <v>8.8146519102864376E-2</v>
      </c>
      <c r="AD119" s="504"/>
      <c r="AE119" s="249"/>
      <c r="AF119" s="503"/>
      <c r="AG119" s="503"/>
    </row>
    <row r="120" spans="1:33">
      <c r="A120" s="508" t="s">
        <v>306</v>
      </c>
      <c r="B120" s="507">
        <v>0</v>
      </c>
      <c r="C120" s="321">
        <v>0</v>
      </c>
      <c r="D120" s="507">
        <v>0</v>
      </c>
      <c r="E120" s="321">
        <v>0</v>
      </c>
      <c r="F120" s="507">
        <v>0</v>
      </c>
      <c r="G120" s="321">
        <v>0</v>
      </c>
      <c r="H120" s="507">
        <v>57.112499999999997</v>
      </c>
      <c r="I120" s="321">
        <v>2.8757552870090752E-3</v>
      </c>
      <c r="J120" s="507">
        <v>0</v>
      </c>
      <c r="K120" s="321">
        <v>0</v>
      </c>
      <c r="L120" s="507">
        <v>10427.553828793156</v>
      </c>
      <c r="M120" s="321">
        <v>0.52505306287981879</v>
      </c>
      <c r="N120" s="507">
        <v>0</v>
      </c>
      <c r="O120" s="321">
        <v>0</v>
      </c>
      <c r="P120" s="507">
        <v>0</v>
      </c>
      <c r="Q120" s="321">
        <v>0</v>
      </c>
      <c r="R120" s="507">
        <v>0</v>
      </c>
      <c r="S120" s="321">
        <v>0</v>
      </c>
      <c r="T120" s="507">
        <v>0</v>
      </c>
      <c r="U120" s="321">
        <v>0</v>
      </c>
      <c r="V120" s="507">
        <v>202.31339285714284</v>
      </c>
      <c r="W120" s="321">
        <v>1.0186978492303307E-2</v>
      </c>
      <c r="X120" s="507">
        <v>0</v>
      </c>
      <c r="Y120" s="321">
        <v>0</v>
      </c>
      <c r="Z120" s="507">
        <v>9173.0202783497152</v>
      </c>
      <c r="AA120" s="321">
        <v>0.46188420334087382</v>
      </c>
      <c r="AB120" s="507">
        <v>19859.999999999916</v>
      </c>
      <c r="AC120" s="321">
        <v>8.8413629766811927E-2</v>
      </c>
      <c r="AD120" s="504"/>
      <c r="AE120" s="249"/>
      <c r="AF120" s="503"/>
      <c r="AG120" s="503"/>
    </row>
    <row r="121" spans="1:33">
      <c r="A121" s="508" t="s">
        <v>305</v>
      </c>
      <c r="B121" s="507">
        <v>74.828282828282823</v>
      </c>
      <c r="C121" s="321">
        <v>2.6322961560587576E-3</v>
      </c>
      <c r="D121" s="507">
        <v>0</v>
      </c>
      <c r="E121" s="321">
        <v>0</v>
      </c>
      <c r="F121" s="507">
        <v>0</v>
      </c>
      <c r="G121" s="321">
        <v>0</v>
      </c>
      <c r="H121" s="507">
        <v>313.4745493668031</v>
      </c>
      <c r="I121" s="321">
        <v>1.1027352494698734E-2</v>
      </c>
      <c r="J121" s="507">
        <v>0</v>
      </c>
      <c r="K121" s="321">
        <v>0</v>
      </c>
      <c r="L121" s="507">
        <v>17551.124981968373</v>
      </c>
      <c r="M121" s="321">
        <v>0.61741038385929747</v>
      </c>
      <c r="N121" s="507">
        <v>52.911174785100286</v>
      </c>
      <c r="O121" s="321">
        <v>1.8612999889225002E-3</v>
      </c>
      <c r="P121" s="507">
        <v>158.73352435530086</v>
      </c>
      <c r="Q121" s="321">
        <v>5.5838999667675001E-3</v>
      </c>
      <c r="R121" s="507">
        <v>0</v>
      </c>
      <c r="S121" s="321">
        <v>0</v>
      </c>
      <c r="T121" s="507">
        <v>0</v>
      </c>
      <c r="U121" s="321">
        <v>0</v>
      </c>
      <c r="V121" s="507">
        <v>516.82146681716881</v>
      </c>
      <c r="W121" s="321">
        <v>1.8180654547337572E-2</v>
      </c>
      <c r="X121" s="507">
        <v>0</v>
      </c>
      <c r="Y121" s="321">
        <v>0</v>
      </c>
      <c r="Z121" s="507">
        <v>9759.106019878951</v>
      </c>
      <c r="AA121" s="321">
        <v>0.34330411298690966</v>
      </c>
      <c r="AB121" s="507">
        <v>28427.0000000002</v>
      </c>
      <c r="AC121" s="321">
        <v>0.12655258073419895</v>
      </c>
      <c r="AD121" s="504"/>
      <c r="AE121" s="249"/>
      <c r="AF121" s="503"/>
      <c r="AG121" s="503"/>
    </row>
    <row r="122" spans="1:33" ht="25.5">
      <c r="A122" s="508" t="s">
        <v>304</v>
      </c>
      <c r="B122" s="507">
        <v>0</v>
      </c>
      <c r="C122" s="321">
        <v>0</v>
      </c>
      <c r="D122" s="507">
        <v>0</v>
      </c>
      <c r="E122" s="321">
        <v>0</v>
      </c>
      <c r="F122" s="507">
        <v>0</v>
      </c>
      <c r="G122" s="321">
        <v>0</v>
      </c>
      <c r="H122" s="507">
        <v>353.30521105757941</v>
      </c>
      <c r="I122" s="321">
        <v>4.5868901143470706E-3</v>
      </c>
      <c r="J122" s="507">
        <v>0</v>
      </c>
      <c r="K122" s="321">
        <v>0</v>
      </c>
      <c r="L122" s="507">
        <v>40628.809229143561</v>
      </c>
      <c r="M122" s="321">
        <v>0.52747561478927596</v>
      </c>
      <c r="N122" s="507">
        <v>15.172413793103448</v>
      </c>
      <c r="O122" s="321">
        <v>1.9698038030644085E-4</v>
      </c>
      <c r="P122" s="507">
        <v>101.33968544816003</v>
      </c>
      <c r="Q122" s="321">
        <v>1.3156726445720359E-3</v>
      </c>
      <c r="R122" s="507">
        <v>0</v>
      </c>
      <c r="S122" s="321">
        <v>0</v>
      </c>
      <c r="T122" s="507">
        <v>0</v>
      </c>
      <c r="U122" s="321">
        <v>0</v>
      </c>
      <c r="V122" s="507">
        <v>418.34231875174942</v>
      </c>
      <c r="W122" s="321">
        <v>5.431253732577134E-3</v>
      </c>
      <c r="X122" s="507">
        <v>0</v>
      </c>
      <c r="Y122" s="321">
        <v>0</v>
      </c>
      <c r="Z122" s="507">
        <v>35508.031141806234</v>
      </c>
      <c r="AA122" s="321">
        <v>0.46099358833893672</v>
      </c>
      <c r="AB122" s="507">
        <v>77024.9999999992</v>
      </c>
      <c r="AC122" s="321">
        <v>0.34290331484333569</v>
      </c>
      <c r="AD122" s="504"/>
      <c r="AE122" s="249"/>
      <c r="AF122" s="503"/>
      <c r="AG122" s="503"/>
    </row>
    <row r="123" spans="1:33" ht="25.5">
      <c r="A123" s="508" t="s">
        <v>303</v>
      </c>
      <c r="B123" s="507">
        <v>79.38227513227514</v>
      </c>
      <c r="C123" s="321">
        <v>1.3521543083102E-3</v>
      </c>
      <c r="D123" s="507">
        <v>0</v>
      </c>
      <c r="E123" s="321">
        <v>0</v>
      </c>
      <c r="F123" s="507">
        <v>0</v>
      </c>
      <c r="G123" s="321">
        <v>0</v>
      </c>
      <c r="H123" s="507">
        <v>294.34047043291491</v>
      </c>
      <c r="I123" s="321">
        <v>5.0136347760597402E-3</v>
      </c>
      <c r="J123" s="507">
        <v>0</v>
      </c>
      <c r="K123" s="321">
        <v>0</v>
      </c>
      <c r="L123" s="507">
        <v>41106.985716178788</v>
      </c>
      <c r="M123" s="321">
        <v>0.70019393806940844</v>
      </c>
      <c r="N123" s="507">
        <v>69.021164021164026</v>
      </c>
      <c r="O123" s="321">
        <v>1.175668801886695E-3</v>
      </c>
      <c r="P123" s="507">
        <v>81.99212598425197</v>
      </c>
      <c r="Q123" s="321">
        <v>1.3966090819692726E-3</v>
      </c>
      <c r="R123" s="507">
        <v>0</v>
      </c>
      <c r="S123" s="321">
        <v>0</v>
      </c>
      <c r="T123" s="507">
        <v>0</v>
      </c>
      <c r="U123" s="321">
        <v>0</v>
      </c>
      <c r="V123" s="507">
        <v>417.3948477958553</v>
      </c>
      <c r="W123" s="321">
        <v>7.1096758158318406E-3</v>
      </c>
      <c r="X123" s="507">
        <v>0</v>
      </c>
      <c r="Y123" s="321">
        <v>0</v>
      </c>
      <c r="Z123" s="507">
        <v>16658.883400454746</v>
      </c>
      <c r="AA123" s="321">
        <v>0.28375831914653477</v>
      </c>
      <c r="AB123" s="507">
        <v>58707.999999999942</v>
      </c>
      <c r="AC123" s="321">
        <v>0.26135888098439131</v>
      </c>
      <c r="AD123" s="504"/>
      <c r="AE123" s="249"/>
      <c r="AF123" s="503"/>
      <c r="AG123" s="503"/>
    </row>
    <row r="124" spans="1:33" ht="15.75" thickBot="1">
      <c r="A124" s="511" t="s">
        <v>302</v>
      </c>
      <c r="B124" s="507">
        <v>67.59375</v>
      </c>
      <c r="C124" s="321">
        <v>1.7234510453850081E-2</v>
      </c>
      <c r="D124" s="507">
        <v>0</v>
      </c>
      <c r="E124" s="321">
        <v>0</v>
      </c>
      <c r="F124" s="507">
        <v>0</v>
      </c>
      <c r="G124" s="321">
        <v>0</v>
      </c>
      <c r="H124" s="507">
        <v>0</v>
      </c>
      <c r="I124" s="321">
        <v>0</v>
      </c>
      <c r="J124" s="507">
        <v>0</v>
      </c>
      <c r="K124" s="321">
        <v>0</v>
      </c>
      <c r="L124" s="507">
        <v>2735.6753968253965</v>
      </c>
      <c r="M124" s="321">
        <v>0.69752049893559331</v>
      </c>
      <c r="N124" s="507">
        <v>0</v>
      </c>
      <c r="O124" s="321">
        <v>0</v>
      </c>
      <c r="P124" s="507">
        <v>0</v>
      </c>
      <c r="Q124" s="321">
        <v>0</v>
      </c>
      <c r="R124" s="507">
        <v>0</v>
      </c>
      <c r="S124" s="321">
        <v>0</v>
      </c>
      <c r="T124" s="507">
        <v>0</v>
      </c>
      <c r="U124" s="321">
        <v>0</v>
      </c>
      <c r="V124" s="507">
        <v>67.59375</v>
      </c>
      <c r="W124" s="321">
        <v>1.7234510453850081E-2</v>
      </c>
      <c r="X124" s="507">
        <v>0</v>
      </c>
      <c r="Y124" s="321">
        <v>0</v>
      </c>
      <c r="Z124" s="507">
        <v>1051.137103174603</v>
      </c>
      <c r="AA124" s="321">
        <v>0.26801048015670659</v>
      </c>
      <c r="AB124" s="507">
        <v>3921.9999999999991</v>
      </c>
      <c r="AC124" s="321">
        <v>1.7460133733405728E-2</v>
      </c>
      <c r="AD124" s="504"/>
      <c r="AE124" s="249"/>
      <c r="AF124" s="503"/>
      <c r="AG124" s="503"/>
    </row>
    <row r="125" spans="1:33" ht="15.75" customHeight="1">
      <c r="A125" s="510" t="s">
        <v>3</v>
      </c>
      <c r="B125" s="509">
        <v>255.5191922696157</v>
      </c>
      <c r="C125" s="443">
        <v>1.7144221541026666E-3</v>
      </c>
      <c r="D125" s="509">
        <v>0</v>
      </c>
      <c r="E125" s="443">
        <v>0</v>
      </c>
      <c r="F125" s="509">
        <v>0</v>
      </c>
      <c r="G125" s="443">
        <v>0</v>
      </c>
      <c r="H125" s="509">
        <v>1129.6774378026578</v>
      </c>
      <c r="I125" s="443">
        <v>7.5796420971588827E-3</v>
      </c>
      <c r="J125" s="509">
        <v>0</v>
      </c>
      <c r="K125" s="443">
        <v>0</v>
      </c>
      <c r="L125" s="509">
        <v>89683.307841057846</v>
      </c>
      <c r="M125" s="443">
        <v>0.60173581659447928</v>
      </c>
      <c r="N125" s="509">
        <v>0</v>
      </c>
      <c r="O125" s="443">
        <v>0</v>
      </c>
      <c r="P125" s="509">
        <v>563.37625499353896</v>
      </c>
      <c r="Q125" s="443">
        <v>3.7800085546496509E-3</v>
      </c>
      <c r="R125" s="509">
        <v>0</v>
      </c>
      <c r="S125" s="443">
        <v>0</v>
      </c>
      <c r="T125" s="509">
        <v>0</v>
      </c>
      <c r="U125" s="443">
        <v>0</v>
      </c>
      <c r="V125" s="509">
        <v>1473.9359558528706</v>
      </c>
      <c r="W125" s="443">
        <v>9.8894663606180159E-3</v>
      </c>
      <c r="X125" s="509">
        <v>72.462962962962962</v>
      </c>
      <c r="Y125" s="443">
        <v>4.8619482533640351E-4</v>
      </c>
      <c r="Z125" s="509">
        <v>55862.72035506025</v>
      </c>
      <c r="AA125" s="443">
        <v>0.37481444941365277</v>
      </c>
      <c r="AB125" s="509">
        <v>149041.00000000009</v>
      </c>
      <c r="AC125" s="443">
        <v>1</v>
      </c>
      <c r="AD125" s="504"/>
      <c r="AF125" s="503"/>
      <c r="AG125" s="503"/>
    </row>
    <row r="126" spans="1:33">
      <c r="A126" s="508" t="s">
        <v>309</v>
      </c>
      <c r="B126" s="507">
        <v>0</v>
      </c>
      <c r="C126" s="321">
        <v>0</v>
      </c>
      <c r="D126" s="507">
        <v>0</v>
      </c>
      <c r="E126" s="321">
        <v>0</v>
      </c>
      <c r="F126" s="507">
        <v>0</v>
      </c>
      <c r="G126" s="321">
        <v>0</v>
      </c>
      <c r="H126" s="507">
        <v>0</v>
      </c>
      <c r="I126" s="321">
        <v>0</v>
      </c>
      <c r="J126" s="507">
        <v>0</v>
      </c>
      <c r="K126" s="321">
        <v>0</v>
      </c>
      <c r="L126" s="507">
        <v>1392.9082590612009</v>
      </c>
      <c r="M126" s="321">
        <v>0.48130900451319997</v>
      </c>
      <c r="N126" s="507">
        <v>0</v>
      </c>
      <c r="O126" s="321">
        <v>0</v>
      </c>
      <c r="P126" s="507">
        <v>0</v>
      </c>
      <c r="Q126" s="321">
        <v>0</v>
      </c>
      <c r="R126" s="507">
        <v>0</v>
      </c>
      <c r="S126" s="321">
        <v>0</v>
      </c>
      <c r="T126" s="507">
        <v>0</v>
      </c>
      <c r="U126" s="321">
        <v>0</v>
      </c>
      <c r="V126" s="507">
        <v>105.7281045751634</v>
      </c>
      <c r="W126" s="321">
        <v>3.6533553757831162E-2</v>
      </c>
      <c r="X126" s="507">
        <v>0</v>
      </c>
      <c r="Y126" s="321">
        <v>0</v>
      </c>
      <c r="Z126" s="507">
        <v>1395.3636363636374</v>
      </c>
      <c r="AA126" s="321">
        <v>0.48215744172896935</v>
      </c>
      <c r="AB126" s="507">
        <v>2894.0000000000005</v>
      </c>
      <c r="AC126" s="321">
        <v>1.9417475728155331E-2</v>
      </c>
      <c r="AD126" s="504"/>
      <c r="AE126" s="249"/>
      <c r="AF126" s="503"/>
      <c r="AG126" s="503"/>
    </row>
    <row r="127" spans="1:33">
      <c r="A127" s="508" t="s">
        <v>308</v>
      </c>
      <c r="B127" s="507">
        <v>7.5707070707070709</v>
      </c>
      <c r="C127" s="321">
        <v>1.0133458801642476E-3</v>
      </c>
      <c r="D127" s="507">
        <v>0</v>
      </c>
      <c r="E127" s="321">
        <v>0</v>
      </c>
      <c r="F127" s="507">
        <v>0</v>
      </c>
      <c r="G127" s="321">
        <v>0</v>
      </c>
      <c r="H127" s="507">
        <v>34.501594896331738</v>
      </c>
      <c r="I127" s="321">
        <v>4.6180691870341111E-3</v>
      </c>
      <c r="J127" s="507">
        <v>0</v>
      </c>
      <c r="K127" s="321">
        <v>0</v>
      </c>
      <c r="L127" s="507">
        <v>5253.1660196804178</v>
      </c>
      <c r="M127" s="321">
        <v>0.70314094762152779</v>
      </c>
      <c r="N127" s="507">
        <v>0</v>
      </c>
      <c r="O127" s="321">
        <v>0</v>
      </c>
      <c r="P127" s="507">
        <v>41.666666666666664</v>
      </c>
      <c r="Q127" s="321">
        <v>5.5771204211841506E-3</v>
      </c>
      <c r="R127" s="507">
        <v>0</v>
      </c>
      <c r="S127" s="321">
        <v>0</v>
      </c>
      <c r="T127" s="507">
        <v>0</v>
      </c>
      <c r="U127" s="321">
        <v>0</v>
      </c>
      <c r="V127" s="507">
        <v>75.710120068610635</v>
      </c>
      <c r="W127" s="321">
        <v>1.0133866961398858E-2</v>
      </c>
      <c r="X127" s="507">
        <v>0</v>
      </c>
      <c r="Y127" s="321">
        <v>0</v>
      </c>
      <c r="Z127" s="507">
        <v>2058.3848916172697</v>
      </c>
      <c r="AA127" s="321">
        <v>0.2755166499286944</v>
      </c>
      <c r="AB127" s="507">
        <v>7470.9999999999773</v>
      </c>
      <c r="AC127" s="321">
        <v>5.0127146221509336E-2</v>
      </c>
      <c r="AD127" s="504"/>
      <c r="AE127" s="249"/>
      <c r="AF127" s="503"/>
      <c r="AG127" s="503"/>
    </row>
    <row r="128" spans="1:33">
      <c r="A128" s="508" t="s">
        <v>307</v>
      </c>
      <c r="B128" s="507">
        <v>0</v>
      </c>
      <c r="C128" s="321">
        <v>0</v>
      </c>
      <c r="D128" s="507">
        <v>0</v>
      </c>
      <c r="E128" s="321">
        <v>0</v>
      </c>
      <c r="F128" s="507">
        <v>0</v>
      </c>
      <c r="G128" s="321">
        <v>0</v>
      </c>
      <c r="H128" s="507">
        <v>286.9921875</v>
      </c>
      <c r="I128" s="321">
        <v>1.7761615763089478E-2</v>
      </c>
      <c r="J128" s="507">
        <v>0</v>
      </c>
      <c r="K128" s="321">
        <v>0</v>
      </c>
      <c r="L128" s="507">
        <v>9731.3498263888887</v>
      </c>
      <c r="M128" s="321">
        <v>0.60226202663627193</v>
      </c>
      <c r="N128" s="507">
        <v>0</v>
      </c>
      <c r="O128" s="321">
        <v>0</v>
      </c>
      <c r="P128" s="507">
        <v>95.6640625</v>
      </c>
      <c r="Q128" s="321">
        <v>5.9205385876964934E-3</v>
      </c>
      <c r="R128" s="507">
        <v>0</v>
      </c>
      <c r="S128" s="321">
        <v>0</v>
      </c>
      <c r="T128" s="507">
        <v>0</v>
      </c>
      <c r="U128" s="321">
        <v>0</v>
      </c>
      <c r="V128" s="507">
        <v>286.9921875</v>
      </c>
      <c r="W128" s="321">
        <v>1.7761615763089478E-2</v>
      </c>
      <c r="X128" s="507">
        <v>72.462962962962962</v>
      </c>
      <c r="Y128" s="321">
        <v>4.4846492736082995E-3</v>
      </c>
      <c r="Z128" s="507">
        <v>5684.538773148146</v>
      </c>
      <c r="AA128" s="321">
        <v>0.35180955397624347</v>
      </c>
      <c r="AB128" s="507">
        <v>16158.000000000011</v>
      </c>
      <c r="AC128" s="321">
        <v>0.10841312122167727</v>
      </c>
      <c r="AD128" s="504"/>
      <c r="AE128" s="249"/>
      <c r="AF128" s="503"/>
      <c r="AG128" s="503"/>
    </row>
    <row r="129" spans="1:235">
      <c r="A129" s="508" t="s">
        <v>306</v>
      </c>
      <c r="B129" s="507">
        <v>72.19</v>
      </c>
      <c r="C129" s="321">
        <v>5.4466576127961434E-3</v>
      </c>
      <c r="D129" s="507">
        <v>0</v>
      </c>
      <c r="E129" s="321">
        <v>0</v>
      </c>
      <c r="F129" s="507">
        <v>0</v>
      </c>
      <c r="G129" s="321">
        <v>0</v>
      </c>
      <c r="H129" s="507">
        <v>90.970873786407765</v>
      </c>
      <c r="I129" s="321">
        <v>6.8636542769283139E-3</v>
      </c>
      <c r="J129" s="507">
        <v>0</v>
      </c>
      <c r="K129" s="321">
        <v>0</v>
      </c>
      <c r="L129" s="507">
        <v>8072.1145091693688</v>
      </c>
      <c r="M129" s="321">
        <v>0.60903233055450268</v>
      </c>
      <c r="N129" s="507">
        <v>0</v>
      </c>
      <c r="O129" s="321">
        <v>0</v>
      </c>
      <c r="P129" s="507">
        <v>37.888888888888886</v>
      </c>
      <c r="Q129" s="321">
        <v>2.8586757876029067E-3</v>
      </c>
      <c r="R129" s="507">
        <v>0</v>
      </c>
      <c r="S129" s="321">
        <v>0</v>
      </c>
      <c r="T129" s="507">
        <v>0</v>
      </c>
      <c r="U129" s="321">
        <v>0</v>
      </c>
      <c r="V129" s="507">
        <v>153.77043689320388</v>
      </c>
      <c r="W129" s="321">
        <v>1.1601813557658372E-2</v>
      </c>
      <c r="X129" s="507">
        <v>0</v>
      </c>
      <c r="Y129" s="321">
        <v>0</v>
      </c>
      <c r="Z129" s="507">
        <v>4827.065291262129</v>
      </c>
      <c r="AA129" s="321">
        <v>0.36419686821051267</v>
      </c>
      <c r="AB129" s="507">
        <v>13253.999999999985</v>
      </c>
      <c r="AC129" s="321">
        <v>8.8928549862118317E-2</v>
      </c>
      <c r="AD129" s="504"/>
      <c r="AE129" s="249"/>
      <c r="AF129" s="503"/>
      <c r="AG129" s="503"/>
    </row>
    <row r="130" spans="1:235">
      <c r="A130" s="508" t="s">
        <v>305</v>
      </c>
      <c r="B130" s="507">
        <v>148.17466561762393</v>
      </c>
      <c r="C130" s="321">
        <v>6.3791400730852368E-3</v>
      </c>
      <c r="D130" s="507">
        <v>0</v>
      </c>
      <c r="E130" s="321">
        <v>0</v>
      </c>
      <c r="F130" s="507">
        <v>0</v>
      </c>
      <c r="G130" s="321">
        <v>0</v>
      </c>
      <c r="H130" s="507">
        <v>215.62261283170017</v>
      </c>
      <c r="I130" s="321">
        <v>9.2828746698682667E-3</v>
      </c>
      <c r="J130" s="507">
        <v>0</v>
      </c>
      <c r="K130" s="321">
        <v>0</v>
      </c>
      <c r="L130" s="507">
        <v>13138.476230588905</v>
      </c>
      <c r="M130" s="321">
        <v>0.5656309725585027</v>
      </c>
      <c r="N130" s="507">
        <v>0</v>
      </c>
      <c r="O130" s="321">
        <v>0</v>
      </c>
      <c r="P130" s="507">
        <v>161.1569225251076</v>
      </c>
      <c r="Q130" s="321">
        <v>6.9380455710826398E-3</v>
      </c>
      <c r="R130" s="507">
        <v>0</v>
      </c>
      <c r="S130" s="321">
        <v>0</v>
      </c>
      <c r="T130" s="507">
        <v>0</v>
      </c>
      <c r="U130" s="321">
        <v>0</v>
      </c>
      <c r="V130" s="507">
        <v>155.61056305352133</v>
      </c>
      <c r="W130" s="321">
        <v>6.6992665340761702E-3</v>
      </c>
      <c r="X130" s="507">
        <v>0</v>
      </c>
      <c r="Y130" s="321">
        <v>0</v>
      </c>
      <c r="Z130" s="507">
        <v>9408.9590053830907</v>
      </c>
      <c r="AA130" s="321">
        <v>0.40506970059338243</v>
      </c>
      <c r="AB130" s="507">
        <v>23228.000000000007</v>
      </c>
      <c r="AC130" s="321">
        <v>0.15584973262390883</v>
      </c>
      <c r="AD130" s="504"/>
      <c r="AE130" s="249"/>
      <c r="AF130" s="503"/>
      <c r="AG130" s="503"/>
    </row>
    <row r="131" spans="1:235" ht="25.5">
      <c r="A131" s="508" t="s">
        <v>304</v>
      </c>
      <c r="B131" s="507">
        <v>27.583819581284715</v>
      </c>
      <c r="C131" s="321">
        <v>6.198193286134589E-4</v>
      </c>
      <c r="D131" s="507">
        <v>0</v>
      </c>
      <c r="E131" s="321">
        <v>0</v>
      </c>
      <c r="F131" s="507">
        <v>0</v>
      </c>
      <c r="G131" s="321">
        <v>0</v>
      </c>
      <c r="H131" s="507">
        <v>196.46046814940453</v>
      </c>
      <c r="I131" s="321">
        <v>4.4145443711526167E-3</v>
      </c>
      <c r="J131" s="507">
        <v>0</v>
      </c>
      <c r="K131" s="321">
        <v>0</v>
      </c>
      <c r="L131" s="507">
        <v>21565.556987207259</v>
      </c>
      <c r="M131" s="321">
        <v>0.48458658938065519</v>
      </c>
      <c r="N131" s="507">
        <v>0</v>
      </c>
      <c r="O131" s="321">
        <v>0</v>
      </c>
      <c r="P131" s="507">
        <v>110.27380929008496</v>
      </c>
      <c r="Q131" s="321">
        <v>2.4778960809402773E-3</v>
      </c>
      <c r="R131" s="507">
        <v>0</v>
      </c>
      <c r="S131" s="321">
        <v>0</v>
      </c>
      <c r="T131" s="507">
        <v>0</v>
      </c>
      <c r="U131" s="321">
        <v>0</v>
      </c>
      <c r="V131" s="507">
        <v>131.06286962097116</v>
      </c>
      <c r="W131" s="321">
        <v>2.9450344835397929E-3</v>
      </c>
      <c r="X131" s="507">
        <v>0</v>
      </c>
      <c r="Y131" s="321">
        <v>0</v>
      </c>
      <c r="Z131" s="507">
        <v>22472.062046150793</v>
      </c>
      <c r="AA131" s="321">
        <v>0.50495611635509585</v>
      </c>
      <c r="AB131" s="507">
        <v>44502.99999999992</v>
      </c>
      <c r="AC131" s="321">
        <v>0.29859568843472528</v>
      </c>
      <c r="AD131" s="504"/>
      <c r="AE131" s="249"/>
      <c r="AF131" s="503"/>
      <c r="AG131" s="503"/>
    </row>
    <row r="132" spans="1:235" ht="25.5">
      <c r="A132" s="508" t="s">
        <v>303</v>
      </c>
      <c r="B132" s="507">
        <v>0</v>
      </c>
      <c r="C132" s="321">
        <v>0</v>
      </c>
      <c r="D132" s="507">
        <v>0</v>
      </c>
      <c r="E132" s="321">
        <v>0</v>
      </c>
      <c r="F132" s="507">
        <v>0</v>
      </c>
      <c r="G132" s="321">
        <v>0</v>
      </c>
      <c r="H132" s="507">
        <v>245.72345063881357</v>
      </c>
      <c r="I132" s="321">
        <v>6.3658925035961541E-3</v>
      </c>
      <c r="J132" s="507">
        <v>0</v>
      </c>
      <c r="K132" s="321">
        <v>0</v>
      </c>
      <c r="L132" s="507">
        <v>28375.239782182063</v>
      </c>
      <c r="M132" s="321">
        <v>0.73510983891662773</v>
      </c>
      <c r="N132" s="507">
        <v>0</v>
      </c>
      <c r="O132" s="321">
        <v>0</v>
      </c>
      <c r="P132" s="507">
        <v>116.72590512279089</v>
      </c>
      <c r="Q132" s="321">
        <v>3.0239871793468899E-3</v>
      </c>
      <c r="R132" s="507">
        <v>0</v>
      </c>
      <c r="S132" s="321">
        <v>0</v>
      </c>
      <c r="T132" s="507">
        <v>0</v>
      </c>
      <c r="U132" s="321">
        <v>0</v>
      </c>
      <c r="V132" s="507">
        <v>505.65542414139986</v>
      </c>
      <c r="W132" s="321">
        <v>1.3099881454440306E-2</v>
      </c>
      <c r="X132" s="507">
        <v>0</v>
      </c>
      <c r="Y132" s="321">
        <v>0</v>
      </c>
      <c r="Z132" s="507">
        <v>9356.6554379152276</v>
      </c>
      <c r="AA132" s="321">
        <v>0.24240039994598839</v>
      </c>
      <c r="AB132" s="507">
        <v>38600.000000000313</v>
      </c>
      <c r="AC132" s="321">
        <v>0.25898913721727773</v>
      </c>
      <c r="AD132" s="504"/>
      <c r="AE132" s="249"/>
      <c r="AF132" s="503"/>
      <c r="AG132" s="503"/>
    </row>
    <row r="133" spans="1:235" ht="15.75" thickBot="1">
      <c r="A133" s="506" t="s">
        <v>302</v>
      </c>
      <c r="B133" s="505">
        <v>0</v>
      </c>
      <c r="C133" s="413">
        <v>0</v>
      </c>
      <c r="D133" s="505">
        <v>0</v>
      </c>
      <c r="E133" s="413">
        <v>0</v>
      </c>
      <c r="F133" s="505">
        <v>0</v>
      </c>
      <c r="G133" s="413">
        <v>0</v>
      </c>
      <c r="H133" s="505">
        <v>59.40625</v>
      </c>
      <c r="I133" s="413">
        <v>2.0254432321854754E-2</v>
      </c>
      <c r="J133" s="505">
        <v>0</v>
      </c>
      <c r="K133" s="413">
        <v>0</v>
      </c>
      <c r="L133" s="505">
        <v>2154.4962267801852</v>
      </c>
      <c r="M133" s="413">
        <v>0.73457082399597173</v>
      </c>
      <c r="N133" s="505">
        <v>0</v>
      </c>
      <c r="O133" s="413">
        <v>0</v>
      </c>
      <c r="P133" s="505">
        <v>0</v>
      </c>
      <c r="Q133" s="413">
        <v>0</v>
      </c>
      <c r="R133" s="505">
        <v>0</v>
      </c>
      <c r="S133" s="413">
        <v>0</v>
      </c>
      <c r="T133" s="505">
        <v>0</v>
      </c>
      <c r="U133" s="413">
        <v>0</v>
      </c>
      <c r="V133" s="505">
        <v>59.40625</v>
      </c>
      <c r="W133" s="413">
        <v>2.0254432321854754E-2</v>
      </c>
      <c r="X133" s="505">
        <v>0</v>
      </c>
      <c r="Y133" s="413">
        <v>0</v>
      </c>
      <c r="Z133" s="505">
        <v>659.69127321981421</v>
      </c>
      <c r="AA133" s="413">
        <v>0.22492031136031848</v>
      </c>
      <c r="AB133" s="505">
        <v>2933.0000000000005</v>
      </c>
      <c r="AC133" s="413">
        <v>1.9679148690628746E-2</v>
      </c>
      <c r="AD133" s="504"/>
      <c r="AE133" s="249"/>
      <c r="AF133" s="503"/>
      <c r="AG133" s="503"/>
    </row>
    <row r="138" spans="1:235" ht="15.75" thickBot="1">
      <c r="A138" s="783" t="s">
        <v>283</v>
      </c>
      <c r="B138" s="783"/>
      <c r="C138" s="783"/>
      <c r="D138" s="783"/>
      <c r="E138" s="783"/>
      <c r="F138" s="783"/>
      <c r="G138" s="783"/>
      <c r="H138" s="783"/>
      <c r="I138" s="783"/>
      <c r="J138" s="783"/>
      <c r="K138" s="783"/>
      <c r="L138" s="783"/>
      <c r="M138" s="783"/>
      <c r="N138" s="783"/>
      <c r="O138" s="783"/>
      <c r="P138" s="783"/>
      <c r="Q138" s="783"/>
      <c r="R138" s="783"/>
      <c r="S138" s="783"/>
      <c r="T138" s="783"/>
      <c r="U138" s="783"/>
      <c r="V138" s="783"/>
      <c r="W138" s="783"/>
      <c r="X138" s="783"/>
      <c r="Y138" s="783"/>
      <c r="Z138" s="783"/>
      <c r="AA138" s="783"/>
      <c r="AB138" s="783"/>
      <c r="AC138" s="783"/>
      <c r="AD138" s="783"/>
      <c r="AE138" s="783"/>
      <c r="AF138" s="783"/>
      <c r="AG138" s="783"/>
      <c r="AH138" s="783"/>
      <c r="AI138" s="783"/>
      <c r="AJ138" s="783"/>
      <c r="AK138" s="783"/>
      <c r="AL138" s="783"/>
      <c r="AM138" s="783"/>
      <c r="AN138" s="783"/>
      <c r="AO138" s="783"/>
      <c r="AP138" s="783"/>
      <c r="AQ138" s="783"/>
      <c r="AR138" s="783"/>
      <c r="AS138" s="783"/>
      <c r="AT138" s="783"/>
      <c r="AU138" s="783"/>
      <c r="AV138" s="783"/>
      <c r="AW138" s="783"/>
      <c r="AX138" s="783"/>
      <c r="AY138" s="783"/>
      <c r="AZ138" s="783"/>
      <c r="BA138" s="783"/>
      <c r="BB138" s="783"/>
      <c r="BC138" s="783"/>
      <c r="BD138" s="783"/>
      <c r="BE138" s="783"/>
      <c r="BF138" s="783"/>
      <c r="BG138" s="783"/>
      <c r="BH138" s="783"/>
      <c r="BI138" s="783"/>
      <c r="BJ138" s="783"/>
      <c r="BK138" s="783"/>
      <c r="BL138" s="783"/>
      <c r="BM138" s="783"/>
      <c r="BN138" s="783"/>
      <c r="BO138" s="783"/>
      <c r="BP138" s="783"/>
      <c r="BQ138" s="783"/>
      <c r="BR138" s="783"/>
      <c r="BS138" s="783"/>
      <c r="BT138" s="783"/>
      <c r="BU138" s="783"/>
      <c r="BV138" s="783"/>
      <c r="BW138" s="783"/>
      <c r="BX138" s="783"/>
      <c r="BY138" s="783"/>
      <c r="BZ138" s="783"/>
      <c r="CA138" s="783"/>
      <c r="IA138" t="s">
        <v>283</v>
      </c>
    </row>
    <row r="139" spans="1:235" ht="15" customHeight="1">
      <c r="A139" s="915" t="s">
        <v>311</v>
      </c>
      <c r="B139" s="789" t="s">
        <v>275</v>
      </c>
      <c r="C139" s="789"/>
      <c r="D139" s="789"/>
      <c r="E139" s="789"/>
      <c r="F139" s="789"/>
      <c r="G139" s="789"/>
      <c r="H139" s="789" t="s">
        <v>274</v>
      </c>
      <c r="I139" s="789"/>
      <c r="J139" s="789"/>
      <c r="K139" s="789"/>
      <c r="L139" s="789"/>
      <c r="M139" s="789"/>
      <c r="N139" s="789" t="s">
        <v>273</v>
      </c>
      <c r="O139" s="789"/>
      <c r="P139" s="789"/>
      <c r="Q139" s="789"/>
      <c r="R139" s="789"/>
      <c r="S139" s="789"/>
      <c r="T139" s="789" t="s">
        <v>272</v>
      </c>
      <c r="U139" s="789"/>
      <c r="V139" s="789"/>
      <c r="W139" s="789"/>
      <c r="X139" s="789"/>
      <c r="Y139" s="789"/>
      <c r="Z139" s="789" t="s">
        <v>271</v>
      </c>
      <c r="AA139" s="789"/>
      <c r="AB139" s="789"/>
      <c r="AC139" s="789"/>
      <c r="AD139" s="789"/>
      <c r="AE139" s="789"/>
      <c r="AF139" s="789" t="s">
        <v>270</v>
      </c>
      <c r="AG139" s="789"/>
      <c r="AH139" s="789"/>
      <c r="AI139" s="789"/>
      <c r="AJ139" s="789"/>
      <c r="AK139" s="789"/>
      <c r="AL139" s="789" t="s">
        <v>269</v>
      </c>
      <c r="AM139" s="789"/>
      <c r="AN139" s="789"/>
      <c r="AO139" s="789"/>
      <c r="AP139" s="789"/>
      <c r="AQ139" s="789"/>
      <c r="AR139" s="789" t="s">
        <v>267</v>
      </c>
      <c r="AS139" s="789"/>
      <c r="AT139" s="789"/>
      <c r="AU139" s="789"/>
      <c r="AV139" s="789"/>
      <c r="AW139" s="789"/>
      <c r="AX139" s="789" t="s">
        <v>266</v>
      </c>
      <c r="AY139" s="789"/>
      <c r="AZ139" s="789"/>
      <c r="BA139" s="789"/>
      <c r="BB139" s="789"/>
      <c r="BC139" s="789"/>
      <c r="BD139" s="789" t="s">
        <v>265</v>
      </c>
      <c r="BE139" s="789"/>
      <c r="BF139" s="789"/>
      <c r="BG139" s="789"/>
      <c r="BH139" s="789"/>
      <c r="BI139" s="789"/>
      <c r="BJ139" s="789" t="s">
        <v>264</v>
      </c>
      <c r="BK139" s="789"/>
      <c r="BL139" s="789"/>
      <c r="BM139" s="789"/>
      <c r="BN139" s="789"/>
      <c r="BO139" s="789"/>
    </row>
    <row r="140" spans="1:235" ht="30" customHeight="1">
      <c r="A140" s="916"/>
      <c r="B140" s="822" t="s">
        <v>279</v>
      </c>
      <c r="C140" s="822"/>
      <c r="D140" s="822"/>
      <c r="E140" s="822"/>
      <c r="F140" s="822"/>
      <c r="G140" s="822"/>
      <c r="H140" s="822" t="s">
        <v>279</v>
      </c>
      <c r="I140" s="822"/>
      <c r="J140" s="822"/>
      <c r="K140" s="822"/>
      <c r="L140" s="822"/>
      <c r="M140" s="822"/>
      <c r="N140" s="784" t="s">
        <v>279</v>
      </c>
      <c r="O140" s="785"/>
      <c r="P140" s="785"/>
      <c r="Q140" s="785"/>
      <c r="R140" s="785"/>
      <c r="S140" s="790"/>
      <c r="T140" s="784" t="s">
        <v>279</v>
      </c>
      <c r="U140" s="785"/>
      <c r="V140" s="785"/>
      <c r="W140" s="785"/>
      <c r="X140" s="785"/>
      <c r="Y140" s="790"/>
      <c r="Z140" s="784" t="s">
        <v>279</v>
      </c>
      <c r="AA140" s="785"/>
      <c r="AB140" s="785"/>
      <c r="AC140" s="785"/>
      <c r="AD140" s="785"/>
      <c r="AE140" s="790"/>
      <c r="AF140" s="784" t="s">
        <v>279</v>
      </c>
      <c r="AG140" s="785"/>
      <c r="AH140" s="785"/>
      <c r="AI140" s="785"/>
      <c r="AJ140" s="785"/>
      <c r="AK140" s="790"/>
      <c r="AL140" s="784" t="s">
        <v>279</v>
      </c>
      <c r="AM140" s="785"/>
      <c r="AN140" s="785"/>
      <c r="AO140" s="785"/>
      <c r="AP140" s="785"/>
      <c r="AQ140" s="790"/>
      <c r="AR140" s="784" t="s">
        <v>279</v>
      </c>
      <c r="AS140" s="785"/>
      <c r="AT140" s="785"/>
      <c r="AU140" s="785"/>
      <c r="AV140" s="785"/>
      <c r="AW140" s="790"/>
      <c r="AX140" s="784" t="s">
        <v>279</v>
      </c>
      <c r="AY140" s="785"/>
      <c r="AZ140" s="785"/>
      <c r="BA140" s="785"/>
      <c r="BB140" s="785"/>
      <c r="BC140" s="790"/>
      <c r="BD140" s="784" t="s">
        <v>279</v>
      </c>
      <c r="BE140" s="785"/>
      <c r="BF140" s="785"/>
      <c r="BG140" s="785"/>
      <c r="BH140" s="785"/>
      <c r="BI140" s="786"/>
      <c r="BJ140" s="784" t="s">
        <v>279</v>
      </c>
      <c r="BK140" s="785"/>
      <c r="BL140" s="785"/>
      <c r="BM140" s="785"/>
      <c r="BN140" s="785"/>
      <c r="BO140" s="786"/>
    </row>
    <row r="141" spans="1:235" ht="15" customHeight="1">
      <c r="A141" s="916"/>
      <c r="B141" s="787" t="s">
        <v>30</v>
      </c>
      <c r="C141" s="787"/>
      <c r="D141" s="787" t="s">
        <v>29</v>
      </c>
      <c r="E141" s="787"/>
      <c r="F141" s="787" t="s">
        <v>28</v>
      </c>
      <c r="G141" s="787"/>
      <c r="H141" s="787" t="s">
        <v>30</v>
      </c>
      <c r="I141" s="787"/>
      <c r="J141" s="787" t="s">
        <v>29</v>
      </c>
      <c r="K141" s="787"/>
      <c r="L141" s="787" t="s">
        <v>28</v>
      </c>
      <c r="M141" s="787"/>
      <c r="N141" s="787" t="s">
        <v>30</v>
      </c>
      <c r="O141" s="787"/>
      <c r="P141" s="787" t="s">
        <v>29</v>
      </c>
      <c r="Q141" s="787"/>
      <c r="R141" s="787" t="s">
        <v>28</v>
      </c>
      <c r="S141" s="787"/>
      <c r="T141" s="787" t="s">
        <v>30</v>
      </c>
      <c r="U141" s="787"/>
      <c r="V141" s="787" t="s">
        <v>29</v>
      </c>
      <c r="W141" s="787"/>
      <c r="X141" s="787" t="s">
        <v>28</v>
      </c>
      <c r="Y141" s="787"/>
      <c r="Z141" s="787" t="s">
        <v>30</v>
      </c>
      <c r="AA141" s="787"/>
      <c r="AB141" s="787" t="s">
        <v>29</v>
      </c>
      <c r="AC141" s="787"/>
      <c r="AD141" s="787" t="s">
        <v>28</v>
      </c>
      <c r="AE141" s="787"/>
      <c r="AF141" s="787" t="s">
        <v>30</v>
      </c>
      <c r="AG141" s="787"/>
      <c r="AH141" s="787" t="s">
        <v>29</v>
      </c>
      <c r="AI141" s="787"/>
      <c r="AJ141" s="787" t="s">
        <v>28</v>
      </c>
      <c r="AK141" s="787"/>
      <c r="AL141" s="787" t="s">
        <v>30</v>
      </c>
      <c r="AM141" s="787"/>
      <c r="AN141" s="787" t="s">
        <v>29</v>
      </c>
      <c r="AO141" s="787"/>
      <c r="AP141" s="787" t="s">
        <v>28</v>
      </c>
      <c r="AQ141" s="787"/>
      <c r="AR141" s="787" t="s">
        <v>30</v>
      </c>
      <c r="AS141" s="787"/>
      <c r="AT141" s="787" t="s">
        <v>29</v>
      </c>
      <c r="AU141" s="787"/>
      <c r="AV141" s="787" t="s">
        <v>28</v>
      </c>
      <c r="AW141" s="787"/>
      <c r="AX141" s="787" t="s">
        <v>30</v>
      </c>
      <c r="AY141" s="787"/>
      <c r="AZ141" s="787" t="s">
        <v>29</v>
      </c>
      <c r="BA141" s="787"/>
      <c r="BB141" s="787" t="s">
        <v>28</v>
      </c>
      <c r="BC141" s="787"/>
      <c r="BD141" s="787" t="s">
        <v>30</v>
      </c>
      <c r="BE141" s="787"/>
      <c r="BF141" s="787" t="s">
        <v>29</v>
      </c>
      <c r="BG141" s="787"/>
      <c r="BH141" s="787" t="s">
        <v>28</v>
      </c>
      <c r="BI141" s="788"/>
      <c r="BJ141" s="787" t="s">
        <v>30</v>
      </c>
      <c r="BK141" s="787"/>
      <c r="BL141" s="787" t="s">
        <v>29</v>
      </c>
      <c r="BM141" s="787"/>
      <c r="BN141" s="787" t="s">
        <v>28</v>
      </c>
      <c r="BO141" s="788"/>
    </row>
    <row r="142" spans="1:235" ht="15.75" customHeight="1" thickBot="1">
      <c r="A142" s="917"/>
      <c r="B142" s="185" t="s">
        <v>7</v>
      </c>
      <c r="C142" s="185" t="s">
        <v>8</v>
      </c>
      <c r="D142" s="185" t="s">
        <v>7</v>
      </c>
      <c r="E142" s="185" t="s">
        <v>8</v>
      </c>
      <c r="F142" s="185" t="s">
        <v>7</v>
      </c>
      <c r="G142" s="185" t="s">
        <v>8</v>
      </c>
      <c r="H142" s="185" t="s">
        <v>7</v>
      </c>
      <c r="I142" s="185" t="s">
        <v>8</v>
      </c>
      <c r="J142" s="185" t="s">
        <v>7</v>
      </c>
      <c r="K142" s="185" t="s">
        <v>8</v>
      </c>
      <c r="L142" s="185" t="s">
        <v>7</v>
      </c>
      <c r="M142" s="185" t="s">
        <v>8</v>
      </c>
      <c r="N142" s="185" t="s">
        <v>7</v>
      </c>
      <c r="O142" s="185" t="s">
        <v>8</v>
      </c>
      <c r="P142" s="185" t="s">
        <v>7</v>
      </c>
      <c r="Q142" s="185" t="s">
        <v>8</v>
      </c>
      <c r="R142" s="185" t="s">
        <v>7</v>
      </c>
      <c r="S142" s="185" t="s">
        <v>8</v>
      </c>
      <c r="T142" s="185" t="s">
        <v>7</v>
      </c>
      <c r="U142" s="185" t="s">
        <v>8</v>
      </c>
      <c r="V142" s="185" t="s">
        <v>7</v>
      </c>
      <c r="W142" s="185" t="s">
        <v>8</v>
      </c>
      <c r="X142" s="185" t="s">
        <v>7</v>
      </c>
      <c r="Y142" s="185" t="s">
        <v>8</v>
      </c>
      <c r="Z142" s="185" t="s">
        <v>7</v>
      </c>
      <c r="AA142" s="185" t="s">
        <v>8</v>
      </c>
      <c r="AB142" s="185" t="s">
        <v>7</v>
      </c>
      <c r="AC142" s="185" t="s">
        <v>8</v>
      </c>
      <c r="AD142" s="185" t="s">
        <v>7</v>
      </c>
      <c r="AE142" s="185" t="s">
        <v>8</v>
      </c>
      <c r="AF142" s="185" t="s">
        <v>7</v>
      </c>
      <c r="AG142" s="185" t="s">
        <v>8</v>
      </c>
      <c r="AH142" s="185" t="s">
        <v>7</v>
      </c>
      <c r="AI142" s="185" t="s">
        <v>8</v>
      </c>
      <c r="AJ142" s="185" t="s">
        <v>7</v>
      </c>
      <c r="AK142" s="185" t="s">
        <v>8</v>
      </c>
      <c r="AL142" s="185" t="s">
        <v>7</v>
      </c>
      <c r="AM142" s="185" t="s">
        <v>8</v>
      </c>
      <c r="AN142" s="185" t="s">
        <v>7</v>
      </c>
      <c r="AO142" s="185" t="s">
        <v>8</v>
      </c>
      <c r="AP142" s="185" t="s">
        <v>7</v>
      </c>
      <c r="AQ142" s="185" t="s">
        <v>8</v>
      </c>
      <c r="AR142" s="185" t="s">
        <v>7</v>
      </c>
      <c r="AS142" s="185" t="s">
        <v>8</v>
      </c>
      <c r="AT142" s="185" t="s">
        <v>7</v>
      </c>
      <c r="AU142" s="185" t="s">
        <v>8</v>
      </c>
      <c r="AV142" s="185" t="s">
        <v>7</v>
      </c>
      <c r="AW142" s="185" t="s">
        <v>8</v>
      </c>
      <c r="AX142" s="185" t="s">
        <v>7</v>
      </c>
      <c r="AY142" s="185" t="s">
        <v>8</v>
      </c>
      <c r="AZ142" s="185" t="s">
        <v>7</v>
      </c>
      <c r="BA142" s="185" t="s">
        <v>8</v>
      </c>
      <c r="BB142" s="185" t="s">
        <v>7</v>
      </c>
      <c r="BC142" s="185" t="s">
        <v>8</v>
      </c>
      <c r="BD142" s="185" t="s">
        <v>7</v>
      </c>
      <c r="BE142" s="185" t="s">
        <v>8</v>
      </c>
      <c r="BF142" s="185" t="s">
        <v>7</v>
      </c>
      <c r="BG142" s="185" t="s">
        <v>8</v>
      </c>
      <c r="BH142" s="185" t="s">
        <v>7</v>
      </c>
      <c r="BI142" s="447" t="s">
        <v>8</v>
      </c>
      <c r="BJ142" s="185" t="s">
        <v>7</v>
      </c>
      <c r="BK142" s="185" t="s">
        <v>8</v>
      </c>
      <c r="BL142" s="185" t="s">
        <v>7</v>
      </c>
      <c r="BM142" s="185" t="s">
        <v>8</v>
      </c>
      <c r="BN142" s="185" t="s">
        <v>7</v>
      </c>
      <c r="BO142" s="447" t="s">
        <v>8</v>
      </c>
    </row>
    <row r="143" spans="1:235">
      <c r="A143" s="472" t="s">
        <v>5</v>
      </c>
      <c r="B143" s="423">
        <v>79</v>
      </c>
      <c r="C143" s="446">
        <v>0.29799999999999999</v>
      </c>
      <c r="D143" s="484">
        <v>92</v>
      </c>
      <c r="E143" s="485">
        <v>0.34599999999999997</v>
      </c>
      <c r="F143" s="484">
        <v>94</v>
      </c>
      <c r="G143" s="446">
        <v>0.35599999999999998</v>
      </c>
      <c r="H143" s="423">
        <v>0</v>
      </c>
      <c r="I143" s="446">
        <v>0</v>
      </c>
      <c r="J143" s="484">
        <v>6</v>
      </c>
      <c r="K143" s="485">
        <v>1</v>
      </c>
      <c r="L143" s="484">
        <v>0</v>
      </c>
      <c r="M143" s="446">
        <v>0</v>
      </c>
      <c r="N143" s="423">
        <v>87</v>
      </c>
      <c r="O143" s="446">
        <v>1</v>
      </c>
      <c r="P143" s="484">
        <v>0</v>
      </c>
      <c r="Q143" s="485">
        <v>0</v>
      </c>
      <c r="R143" s="484">
        <v>0</v>
      </c>
      <c r="S143" s="446">
        <v>0</v>
      </c>
      <c r="T143" s="423">
        <v>280</v>
      </c>
      <c r="U143" s="446">
        <v>0.19700000000000001</v>
      </c>
      <c r="V143" s="484">
        <v>607</v>
      </c>
      <c r="W143" s="485">
        <v>0.42699999999999999</v>
      </c>
      <c r="X143" s="484">
        <v>534</v>
      </c>
      <c r="Y143" s="446">
        <v>0.376</v>
      </c>
      <c r="Z143" s="423">
        <v>18</v>
      </c>
      <c r="AA143" s="446">
        <v>1</v>
      </c>
      <c r="AB143" s="484">
        <v>0</v>
      </c>
      <c r="AC143" s="485">
        <v>0</v>
      </c>
      <c r="AD143" s="484">
        <v>0</v>
      </c>
      <c r="AE143" s="446">
        <v>0</v>
      </c>
      <c r="AF143" s="423">
        <v>35390</v>
      </c>
      <c r="AG143" s="446">
        <v>0.24</v>
      </c>
      <c r="AH143" s="484">
        <v>87525</v>
      </c>
      <c r="AI143" s="485">
        <v>0.59499999999999997</v>
      </c>
      <c r="AJ143" s="484">
        <v>24285</v>
      </c>
      <c r="AK143" s="446">
        <v>0.16500000000000001</v>
      </c>
      <c r="AL143" s="423">
        <v>58</v>
      </c>
      <c r="AM143" s="446">
        <v>0.36299999999999999</v>
      </c>
      <c r="AN143" s="484">
        <v>0</v>
      </c>
      <c r="AO143" s="485">
        <v>0</v>
      </c>
      <c r="AP143" s="484">
        <v>102</v>
      </c>
      <c r="AQ143" s="446">
        <v>0.63700000000000001</v>
      </c>
      <c r="AR143" s="423">
        <v>7</v>
      </c>
      <c r="AS143" s="446">
        <v>1</v>
      </c>
      <c r="AT143" s="484">
        <v>0</v>
      </c>
      <c r="AU143" s="485">
        <v>0</v>
      </c>
      <c r="AV143" s="484">
        <v>0</v>
      </c>
      <c r="AW143" s="446">
        <v>0</v>
      </c>
      <c r="AX143" s="423">
        <v>90</v>
      </c>
      <c r="AY143" s="446">
        <v>1</v>
      </c>
      <c r="AZ143" s="484">
        <v>0</v>
      </c>
      <c r="BA143" s="485">
        <v>0</v>
      </c>
      <c r="BB143" s="484">
        <v>0</v>
      </c>
      <c r="BC143" s="446">
        <v>0</v>
      </c>
      <c r="BD143" s="423">
        <v>324</v>
      </c>
      <c r="BE143" s="446">
        <v>0.20200000000000001</v>
      </c>
      <c r="BF143" s="484">
        <v>956</v>
      </c>
      <c r="BG143" s="485">
        <v>0.59499999999999997</v>
      </c>
      <c r="BH143" s="484">
        <v>326</v>
      </c>
      <c r="BI143" s="399">
        <v>0.20300000000000001</v>
      </c>
      <c r="BJ143" s="423">
        <v>0</v>
      </c>
      <c r="BK143" s="446">
        <v>0</v>
      </c>
      <c r="BL143" s="484">
        <v>0</v>
      </c>
      <c r="BM143" s="485">
        <v>0</v>
      </c>
      <c r="BN143" s="484">
        <v>0</v>
      </c>
      <c r="BO143" s="399">
        <v>0</v>
      </c>
      <c r="BQ143" s="502"/>
      <c r="BS143" s="502"/>
      <c r="BU143" s="502"/>
      <c r="CC143" s="502"/>
      <c r="CE143" s="502"/>
      <c r="CG143" s="502"/>
      <c r="CI143" s="502"/>
      <c r="CK143" s="502"/>
      <c r="CM143" s="502"/>
    </row>
    <row r="144" spans="1:235">
      <c r="A144" s="471" t="s">
        <v>309</v>
      </c>
      <c r="B144" s="483">
        <v>0</v>
      </c>
      <c r="C144" s="482">
        <v>0</v>
      </c>
      <c r="D144" s="480">
        <v>0</v>
      </c>
      <c r="E144" s="481">
        <v>0</v>
      </c>
      <c r="F144" s="480">
        <v>0</v>
      </c>
      <c r="G144" s="482">
        <v>0</v>
      </c>
      <c r="H144" s="483">
        <v>0</v>
      </c>
      <c r="I144" s="482">
        <v>0</v>
      </c>
      <c r="J144" s="480">
        <v>0</v>
      </c>
      <c r="K144" s="481">
        <v>0</v>
      </c>
      <c r="L144" s="480">
        <v>0</v>
      </c>
      <c r="M144" s="482">
        <v>0</v>
      </c>
      <c r="N144" s="483">
        <v>0</v>
      </c>
      <c r="O144" s="482">
        <v>0</v>
      </c>
      <c r="P144" s="480">
        <v>0</v>
      </c>
      <c r="Q144" s="481">
        <v>0</v>
      </c>
      <c r="R144" s="480">
        <v>0</v>
      </c>
      <c r="S144" s="482">
        <v>0</v>
      </c>
      <c r="T144" s="483">
        <v>47</v>
      </c>
      <c r="U144" s="482">
        <v>1</v>
      </c>
      <c r="V144" s="480">
        <v>0</v>
      </c>
      <c r="W144" s="481">
        <v>0</v>
      </c>
      <c r="X144" s="480">
        <v>0</v>
      </c>
      <c r="Y144" s="482">
        <v>0</v>
      </c>
      <c r="Z144" s="483">
        <v>0</v>
      </c>
      <c r="AA144" s="482">
        <v>0</v>
      </c>
      <c r="AB144" s="480">
        <v>0</v>
      </c>
      <c r="AC144" s="481">
        <v>0</v>
      </c>
      <c r="AD144" s="480">
        <v>0</v>
      </c>
      <c r="AE144" s="482">
        <v>0</v>
      </c>
      <c r="AF144" s="483">
        <v>817</v>
      </c>
      <c r="AG144" s="482">
        <v>0.34300000000000003</v>
      </c>
      <c r="AH144" s="480">
        <v>1565</v>
      </c>
      <c r="AI144" s="481">
        <v>0.65700000000000003</v>
      </c>
      <c r="AJ144" s="480">
        <v>0</v>
      </c>
      <c r="AK144" s="482">
        <v>0</v>
      </c>
      <c r="AL144" s="483">
        <v>0</v>
      </c>
      <c r="AM144" s="482">
        <v>0</v>
      </c>
      <c r="AN144" s="480">
        <v>0</v>
      </c>
      <c r="AO144" s="481">
        <v>0</v>
      </c>
      <c r="AP144" s="480">
        <v>0</v>
      </c>
      <c r="AQ144" s="482">
        <v>0</v>
      </c>
      <c r="AR144" s="483">
        <v>0</v>
      </c>
      <c r="AS144" s="482">
        <v>0</v>
      </c>
      <c r="AT144" s="480">
        <v>0</v>
      </c>
      <c r="AU144" s="481">
        <v>0</v>
      </c>
      <c r="AV144" s="480">
        <v>0</v>
      </c>
      <c r="AW144" s="482">
        <v>0</v>
      </c>
      <c r="AX144" s="483">
        <v>0</v>
      </c>
      <c r="AY144" s="482">
        <v>0</v>
      </c>
      <c r="AZ144" s="480">
        <v>0</v>
      </c>
      <c r="BA144" s="481">
        <v>0</v>
      </c>
      <c r="BB144" s="480">
        <v>0</v>
      </c>
      <c r="BC144" s="482">
        <v>0</v>
      </c>
      <c r="BD144" s="483">
        <v>47</v>
      </c>
      <c r="BE144" s="482">
        <v>0.33300000000000002</v>
      </c>
      <c r="BF144" s="480">
        <v>94</v>
      </c>
      <c r="BG144" s="481">
        <v>0.66700000000000004</v>
      </c>
      <c r="BH144" s="480">
        <v>0</v>
      </c>
      <c r="BI144" s="479">
        <v>0</v>
      </c>
      <c r="BJ144" s="483">
        <v>0</v>
      </c>
      <c r="BK144" s="482">
        <v>0</v>
      </c>
      <c r="BL144" s="480">
        <v>0</v>
      </c>
      <c r="BM144" s="481">
        <v>0</v>
      </c>
      <c r="BN144" s="480">
        <v>0</v>
      </c>
      <c r="BO144" s="479">
        <v>0</v>
      </c>
      <c r="BQ144" s="502"/>
      <c r="BS144" s="502"/>
      <c r="BU144" s="502"/>
      <c r="CC144" s="502"/>
      <c r="CE144" s="502"/>
      <c r="CG144" s="502"/>
      <c r="CI144" s="502"/>
      <c r="CK144" s="502"/>
      <c r="CM144" s="502"/>
    </row>
    <row r="145" spans="1:91">
      <c r="A145" s="471" t="s">
        <v>308</v>
      </c>
      <c r="B145" s="483">
        <v>0</v>
      </c>
      <c r="C145" s="482">
        <v>0</v>
      </c>
      <c r="D145" s="480">
        <v>0</v>
      </c>
      <c r="E145" s="481">
        <v>0</v>
      </c>
      <c r="F145" s="480">
        <v>0</v>
      </c>
      <c r="G145" s="482">
        <v>0</v>
      </c>
      <c r="H145" s="483">
        <v>0</v>
      </c>
      <c r="I145" s="482">
        <v>0</v>
      </c>
      <c r="J145" s="480">
        <v>0</v>
      </c>
      <c r="K145" s="481">
        <v>0</v>
      </c>
      <c r="L145" s="480">
        <v>0</v>
      </c>
      <c r="M145" s="482">
        <v>0</v>
      </c>
      <c r="N145" s="483">
        <v>0</v>
      </c>
      <c r="O145" s="482">
        <v>0</v>
      </c>
      <c r="P145" s="480">
        <v>0</v>
      </c>
      <c r="Q145" s="481">
        <v>0</v>
      </c>
      <c r="R145" s="480">
        <v>0</v>
      </c>
      <c r="S145" s="482">
        <v>0</v>
      </c>
      <c r="T145" s="483">
        <v>41</v>
      </c>
      <c r="U145" s="482">
        <v>0.42799999999999999</v>
      </c>
      <c r="V145" s="480">
        <v>14</v>
      </c>
      <c r="W145" s="481">
        <v>0.14399999999999999</v>
      </c>
      <c r="X145" s="480">
        <v>41</v>
      </c>
      <c r="Y145" s="482">
        <v>0.42799999999999999</v>
      </c>
      <c r="Z145" s="483">
        <v>0</v>
      </c>
      <c r="AA145" s="482">
        <v>0</v>
      </c>
      <c r="AB145" s="480">
        <v>0</v>
      </c>
      <c r="AC145" s="481">
        <v>0</v>
      </c>
      <c r="AD145" s="480">
        <v>0</v>
      </c>
      <c r="AE145" s="482">
        <v>0</v>
      </c>
      <c r="AF145" s="483">
        <v>877</v>
      </c>
      <c r="AG145" s="482">
        <v>0.127</v>
      </c>
      <c r="AH145" s="480">
        <v>3687</v>
      </c>
      <c r="AI145" s="481">
        <v>0.53300000000000003</v>
      </c>
      <c r="AJ145" s="480">
        <v>2353</v>
      </c>
      <c r="AK145" s="482">
        <v>0.34</v>
      </c>
      <c r="AL145" s="483">
        <v>0</v>
      </c>
      <c r="AM145" s="482">
        <v>0</v>
      </c>
      <c r="AN145" s="480">
        <v>0</v>
      </c>
      <c r="AO145" s="481">
        <v>0</v>
      </c>
      <c r="AP145" s="480">
        <v>0</v>
      </c>
      <c r="AQ145" s="482">
        <v>0</v>
      </c>
      <c r="AR145" s="483">
        <v>7</v>
      </c>
      <c r="AS145" s="482">
        <v>1</v>
      </c>
      <c r="AT145" s="480">
        <v>0</v>
      </c>
      <c r="AU145" s="481">
        <v>0</v>
      </c>
      <c r="AV145" s="480">
        <v>0</v>
      </c>
      <c r="AW145" s="482">
        <v>0</v>
      </c>
      <c r="AX145" s="483">
        <v>0</v>
      </c>
      <c r="AY145" s="482">
        <v>0</v>
      </c>
      <c r="AZ145" s="480">
        <v>0</v>
      </c>
      <c r="BA145" s="481">
        <v>0</v>
      </c>
      <c r="BB145" s="480">
        <v>0</v>
      </c>
      <c r="BC145" s="482">
        <v>0</v>
      </c>
      <c r="BD145" s="483">
        <v>41</v>
      </c>
      <c r="BE145" s="482">
        <v>0.215</v>
      </c>
      <c r="BF145" s="480">
        <v>59</v>
      </c>
      <c r="BG145" s="481">
        <v>0.311</v>
      </c>
      <c r="BH145" s="480">
        <v>90</v>
      </c>
      <c r="BI145" s="479">
        <v>0.47399999999999998</v>
      </c>
      <c r="BJ145" s="483">
        <v>0</v>
      </c>
      <c r="BK145" s="482">
        <v>0</v>
      </c>
      <c r="BL145" s="480">
        <v>0</v>
      </c>
      <c r="BM145" s="481">
        <v>0</v>
      </c>
      <c r="BN145" s="480">
        <v>0</v>
      </c>
      <c r="BO145" s="479">
        <v>0</v>
      </c>
      <c r="BQ145" s="502"/>
      <c r="BS145" s="502"/>
      <c r="BU145" s="502"/>
      <c r="CC145" s="502"/>
      <c r="CE145" s="502"/>
      <c r="CG145" s="502"/>
      <c r="CI145" s="502"/>
      <c r="CK145" s="502"/>
      <c r="CM145" s="502"/>
    </row>
    <row r="146" spans="1:91">
      <c r="A146" s="471" t="s">
        <v>307</v>
      </c>
      <c r="B146" s="483">
        <v>0</v>
      </c>
      <c r="C146" s="482">
        <v>0</v>
      </c>
      <c r="D146" s="480">
        <v>0</v>
      </c>
      <c r="E146" s="481">
        <v>0</v>
      </c>
      <c r="F146" s="480">
        <v>90</v>
      </c>
      <c r="G146" s="482">
        <v>1</v>
      </c>
      <c r="H146" s="483">
        <v>0</v>
      </c>
      <c r="I146" s="482">
        <v>0</v>
      </c>
      <c r="J146" s="480">
        <v>0</v>
      </c>
      <c r="K146" s="481">
        <v>0</v>
      </c>
      <c r="L146" s="480">
        <v>0</v>
      </c>
      <c r="M146" s="482">
        <v>0</v>
      </c>
      <c r="N146" s="483">
        <v>0</v>
      </c>
      <c r="O146" s="482">
        <v>0</v>
      </c>
      <c r="P146" s="480">
        <v>0</v>
      </c>
      <c r="Q146" s="481">
        <v>0</v>
      </c>
      <c r="R146" s="480">
        <v>0</v>
      </c>
      <c r="S146" s="482">
        <v>0</v>
      </c>
      <c r="T146" s="483">
        <v>0</v>
      </c>
      <c r="U146" s="482">
        <v>0</v>
      </c>
      <c r="V146" s="480">
        <v>242</v>
      </c>
      <c r="W146" s="481">
        <v>0.72899999999999998</v>
      </c>
      <c r="X146" s="480">
        <v>90</v>
      </c>
      <c r="Y146" s="482">
        <v>0.27100000000000002</v>
      </c>
      <c r="Z146" s="483">
        <v>0</v>
      </c>
      <c r="AA146" s="482">
        <v>0</v>
      </c>
      <c r="AB146" s="480">
        <v>0</v>
      </c>
      <c r="AC146" s="481">
        <v>0</v>
      </c>
      <c r="AD146" s="480">
        <v>0</v>
      </c>
      <c r="AE146" s="482">
        <v>0</v>
      </c>
      <c r="AF146" s="483">
        <v>3584</v>
      </c>
      <c r="AG146" s="482">
        <v>0.34499999999999997</v>
      </c>
      <c r="AH146" s="480">
        <v>5304</v>
      </c>
      <c r="AI146" s="481">
        <v>0.51</v>
      </c>
      <c r="AJ146" s="480">
        <v>1513</v>
      </c>
      <c r="AK146" s="482">
        <v>0.14499999999999999</v>
      </c>
      <c r="AL146" s="483">
        <v>0</v>
      </c>
      <c r="AM146" s="482">
        <v>0</v>
      </c>
      <c r="AN146" s="480">
        <v>0</v>
      </c>
      <c r="AO146" s="481">
        <v>0</v>
      </c>
      <c r="AP146" s="480">
        <v>0</v>
      </c>
      <c r="AQ146" s="482">
        <v>0</v>
      </c>
      <c r="AR146" s="483">
        <v>0</v>
      </c>
      <c r="AS146" s="482">
        <v>0</v>
      </c>
      <c r="AT146" s="480">
        <v>0</v>
      </c>
      <c r="AU146" s="481">
        <v>0</v>
      </c>
      <c r="AV146" s="480">
        <v>0</v>
      </c>
      <c r="AW146" s="482">
        <v>0</v>
      </c>
      <c r="AX146" s="483">
        <v>90</v>
      </c>
      <c r="AY146" s="482">
        <v>1</v>
      </c>
      <c r="AZ146" s="480">
        <v>0</v>
      </c>
      <c r="BA146" s="481">
        <v>0</v>
      </c>
      <c r="BB146" s="480">
        <v>0</v>
      </c>
      <c r="BC146" s="482">
        <v>0</v>
      </c>
      <c r="BD146" s="483">
        <v>0</v>
      </c>
      <c r="BE146" s="482">
        <v>0</v>
      </c>
      <c r="BF146" s="480">
        <v>0</v>
      </c>
      <c r="BG146" s="481">
        <v>0</v>
      </c>
      <c r="BH146" s="480">
        <v>62</v>
      </c>
      <c r="BI146" s="479">
        <v>1</v>
      </c>
      <c r="BJ146" s="483">
        <v>0</v>
      </c>
      <c r="BK146" s="482">
        <v>0</v>
      </c>
      <c r="BL146" s="480">
        <v>0</v>
      </c>
      <c r="BM146" s="481">
        <v>0</v>
      </c>
      <c r="BN146" s="480">
        <v>0</v>
      </c>
      <c r="BO146" s="479">
        <v>0</v>
      </c>
      <c r="BQ146" s="502"/>
      <c r="BS146" s="502"/>
      <c r="BU146" s="502"/>
      <c r="CC146" s="502"/>
      <c r="CE146" s="502"/>
      <c r="CG146" s="502"/>
      <c r="CI146" s="502"/>
      <c r="CK146" s="502"/>
      <c r="CM146" s="502"/>
    </row>
    <row r="147" spans="1:91">
      <c r="A147" s="471" t="s">
        <v>306</v>
      </c>
      <c r="B147" s="483">
        <v>0</v>
      </c>
      <c r="C147" s="482">
        <v>0</v>
      </c>
      <c r="D147" s="480">
        <v>0</v>
      </c>
      <c r="E147" s="481">
        <v>0</v>
      </c>
      <c r="F147" s="480">
        <v>0</v>
      </c>
      <c r="G147" s="482">
        <v>0</v>
      </c>
      <c r="H147" s="483">
        <v>0</v>
      </c>
      <c r="I147" s="482">
        <v>0</v>
      </c>
      <c r="J147" s="480">
        <v>0</v>
      </c>
      <c r="K147" s="481">
        <v>0</v>
      </c>
      <c r="L147" s="480">
        <v>0</v>
      </c>
      <c r="M147" s="482">
        <v>0</v>
      </c>
      <c r="N147" s="483">
        <v>0</v>
      </c>
      <c r="O147" s="482">
        <v>0</v>
      </c>
      <c r="P147" s="480">
        <v>0</v>
      </c>
      <c r="Q147" s="481">
        <v>0</v>
      </c>
      <c r="R147" s="480">
        <v>0</v>
      </c>
      <c r="S147" s="482">
        <v>0</v>
      </c>
      <c r="T147" s="483">
        <v>0</v>
      </c>
      <c r="U147" s="482">
        <v>0</v>
      </c>
      <c r="V147" s="480">
        <v>79</v>
      </c>
      <c r="W147" s="481">
        <v>1</v>
      </c>
      <c r="X147" s="480">
        <v>0</v>
      </c>
      <c r="Y147" s="482">
        <v>0</v>
      </c>
      <c r="Z147" s="483">
        <v>0</v>
      </c>
      <c r="AA147" s="482">
        <v>0</v>
      </c>
      <c r="AB147" s="480">
        <v>0</v>
      </c>
      <c r="AC147" s="481">
        <v>0</v>
      </c>
      <c r="AD147" s="480">
        <v>0</v>
      </c>
      <c r="AE147" s="482">
        <v>0</v>
      </c>
      <c r="AF147" s="483">
        <v>2879</v>
      </c>
      <c r="AG147" s="482">
        <v>0.29699999999999999</v>
      </c>
      <c r="AH147" s="480">
        <v>5730</v>
      </c>
      <c r="AI147" s="481">
        <v>0.59</v>
      </c>
      <c r="AJ147" s="480">
        <v>1097</v>
      </c>
      <c r="AK147" s="482">
        <v>0.113</v>
      </c>
      <c r="AL147" s="483">
        <v>0</v>
      </c>
      <c r="AM147" s="482">
        <v>0</v>
      </c>
      <c r="AN147" s="480">
        <v>0</v>
      </c>
      <c r="AO147" s="481">
        <v>0</v>
      </c>
      <c r="AP147" s="480">
        <v>0</v>
      </c>
      <c r="AQ147" s="482">
        <v>0</v>
      </c>
      <c r="AR147" s="483">
        <v>0</v>
      </c>
      <c r="AS147" s="482">
        <v>0</v>
      </c>
      <c r="AT147" s="480">
        <v>0</v>
      </c>
      <c r="AU147" s="481">
        <v>0</v>
      </c>
      <c r="AV147" s="480">
        <v>0</v>
      </c>
      <c r="AW147" s="482">
        <v>0</v>
      </c>
      <c r="AX147" s="483">
        <v>0</v>
      </c>
      <c r="AY147" s="482">
        <v>0</v>
      </c>
      <c r="AZ147" s="480">
        <v>0</v>
      </c>
      <c r="BA147" s="481">
        <v>0</v>
      </c>
      <c r="BB147" s="480">
        <v>0</v>
      </c>
      <c r="BC147" s="482">
        <v>0</v>
      </c>
      <c r="BD147" s="483">
        <v>72</v>
      </c>
      <c r="BE147" s="482">
        <v>0.47599999999999998</v>
      </c>
      <c r="BF147" s="480">
        <v>72</v>
      </c>
      <c r="BG147" s="481">
        <v>0.48</v>
      </c>
      <c r="BH147" s="480">
        <v>7</v>
      </c>
      <c r="BI147" s="479">
        <v>4.3999999999999997E-2</v>
      </c>
      <c r="BJ147" s="483">
        <v>0</v>
      </c>
      <c r="BK147" s="482">
        <v>0</v>
      </c>
      <c r="BL147" s="480">
        <v>0</v>
      </c>
      <c r="BM147" s="481">
        <v>0</v>
      </c>
      <c r="BN147" s="480">
        <v>0</v>
      </c>
      <c r="BO147" s="479">
        <v>0</v>
      </c>
      <c r="BQ147" s="502"/>
      <c r="BS147" s="502"/>
      <c r="BU147" s="502"/>
      <c r="CC147" s="502"/>
      <c r="CE147" s="502"/>
      <c r="CG147" s="502"/>
      <c r="CI147" s="502"/>
      <c r="CK147" s="502"/>
      <c r="CM147" s="502"/>
    </row>
    <row r="148" spans="1:91">
      <c r="A148" s="471" t="s">
        <v>305</v>
      </c>
      <c r="B148" s="483">
        <v>0</v>
      </c>
      <c r="C148" s="482">
        <v>0</v>
      </c>
      <c r="D148" s="480">
        <v>0</v>
      </c>
      <c r="E148" s="481">
        <v>0</v>
      </c>
      <c r="F148" s="480">
        <v>0</v>
      </c>
      <c r="G148" s="482">
        <v>0</v>
      </c>
      <c r="H148" s="483">
        <v>0</v>
      </c>
      <c r="I148" s="482">
        <v>0</v>
      </c>
      <c r="J148" s="480">
        <v>0</v>
      </c>
      <c r="K148" s="481">
        <v>0</v>
      </c>
      <c r="L148" s="480">
        <v>0</v>
      </c>
      <c r="M148" s="482">
        <v>0</v>
      </c>
      <c r="N148" s="483">
        <v>0</v>
      </c>
      <c r="O148" s="482">
        <v>0</v>
      </c>
      <c r="P148" s="480">
        <v>0</v>
      </c>
      <c r="Q148" s="481">
        <v>0</v>
      </c>
      <c r="R148" s="480">
        <v>0</v>
      </c>
      <c r="S148" s="482">
        <v>0</v>
      </c>
      <c r="T148" s="483">
        <v>81</v>
      </c>
      <c r="U148" s="482">
        <v>0.45100000000000001</v>
      </c>
      <c r="V148" s="480">
        <v>81</v>
      </c>
      <c r="W148" s="481">
        <v>0.45100000000000001</v>
      </c>
      <c r="X148" s="480">
        <v>18</v>
      </c>
      <c r="Y148" s="482">
        <v>9.8000000000000004E-2</v>
      </c>
      <c r="Z148" s="483">
        <v>0</v>
      </c>
      <c r="AA148" s="482">
        <v>0</v>
      </c>
      <c r="AB148" s="480">
        <v>0</v>
      </c>
      <c r="AC148" s="481">
        <v>0</v>
      </c>
      <c r="AD148" s="480">
        <v>0</v>
      </c>
      <c r="AE148" s="482">
        <v>0</v>
      </c>
      <c r="AF148" s="483">
        <v>4007</v>
      </c>
      <c r="AG148" s="482">
        <v>0.20399999999999999</v>
      </c>
      <c r="AH148" s="480">
        <v>12124</v>
      </c>
      <c r="AI148" s="481">
        <v>0.61599999999999999</v>
      </c>
      <c r="AJ148" s="480">
        <v>3546</v>
      </c>
      <c r="AK148" s="482">
        <v>0.18</v>
      </c>
      <c r="AL148" s="483">
        <v>0</v>
      </c>
      <c r="AM148" s="482">
        <v>0</v>
      </c>
      <c r="AN148" s="480">
        <v>0</v>
      </c>
      <c r="AO148" s="481">
        <v>0</v>
      </c>
      <c r="AP148" s="480">
        <v>9</v>
      </c>
      <c r="AQ148" s="482">
        <v>1</v>
      </c>
      <c r="AR148" s="483">
        <v>0</v>
      </c>
      <c r="AS148" s="482">
        <v>0</v>
      </c>
      <c r="AT148" s="480">
        <v>0</v>
      </c>
      <c r="AU148" s="481">
        <v>0</v>
      </c>
      <c r="AV148" s="480">
        <v>0</v>
      </c>
      <c r="AW148" s="482">
        <v>0</v>
      </c>
      <c r="AX148" s="483">
        <v>0</v>
      </c>
      <c r="AY148" s="482">
        <v>0</v>
      </c>
      <c r="AZ148" s="480">
        <v>0</v>
      </c>
      <c r="BA148" s="481">
        <v>0</v>
      </c>
      <c r="BB148" s="480">
        <v>0</v>
      </c>
      <c r="BC148" s="482">
        <v>0</v>
      </c>
      <c r="BD148" s="483">
        <v>0</v>
      </c>
      <c r="BE148" s="482">
        <v>0</v>
      </c>
      <c r="BF148" s="480">
        <v>234</v>
      </c>
      <c r="BG148" s="481">
        <v>0.97599999999999998</v>
      </c>
      <c r="BH148" s="480">
        <v>6</v>
      </c>
      <c r="BI148" s="479">
        <v>2.4E-2</v>
      </c>
      <c r="BJ148" s="483">
        <v>0</v>
      </c>
      <c r="BK148" s="482">
        <v>0</v>
      </c>
      <c r="BL148" s="480">
        <v>0</v>
      </c>
      <c r="BM148" s="481">
        <v>0</v>
      </c>
      <c r="BN148" s="480">
        <v>0</v>
      </c>
      <c r="BO148" s="479">
        <v>0</v>
      </c>
      <c r="BQ148" s="502"/>
      <c r="BS148" s="502"/>
      <c r="BU148" s="502"/>
      <c r="CC148" s="502"/>
      <c r="CE148" s="502"/>
      <c r="CG148" s="502"/>
      <c r="CI148" s="502"/>
      <c r="CK148" s="502"/>
      <c r="CM148" s="502"/>
    </row>
    <row r="149" spans="1:91" ht="24">
      <c r="A149" s="471" t="s">
        <v>304</v>
      </c>
      <c r="B149" s="483">
        <v>6</v>
      </c>
      <c r="C149" s="482">
        <v>6.6000000000000003E-2</v>
      </c>
      <c r="D149" s="480">
        <v>87</v>
      </c>
      <c r="E149" s="481">
        <v>0.93400000000000005</v>
      </c>
      <c r="F149" s="480">
        <v>0</v>
      </c>
      <c r="G149" s="482">
        <v>0</v>
      </c>
      <c r="H149" s="483">
        <v>0</v>
      </c>
      <c r="I149" s="482">
        <v>0</v>
      </c>
      <c r="J149" s="480">
        <v>6</v>
      </c>
      <c r="K149" s="481">
        <v>1</v>
      </c>
      <c r="L149" s="480">
        <v>0</v>
      </c>
      <c r="M149" s="482">
        <v>0</v>
      </c>
      <c r="N149" s="483">
        <v>87</v>
      </c>
      <c r="O149" s="482">
        <v>1</v>
      </c>
      <c r="P149" s="480">
        <v>0</v>
      </c>
      <c r="Q149" s="481">
        <v>0</v>
      </c>
      <c r="R149" s="480">
        <v>0</v>
      </c>
      <c r="S149" s="482">
        <v>0</v>
      </c>
      <c r="T149" s="483">
        <v>111</v>
      </c>
      <c r="U149" s="482">
        <v>0.23100000000000001</v>
      </c>
      <c r="V149" s="480">
        <v>118</v>
      </c>
      <c r="W149" s="481">
        <v>0.246</v>
      </c>
      <c r="X149" s="480">
        <v>251</v>
      </c>
      <c r="Y149" s="482">
        <v>0.52400000000000002</v>
      </c>
      <c r="Z149" s="483">
        <v>18</v>
      </c>
      <c r="AA149" s="482">
        <v>1</v>
      </c>
      <c r="AB149" s="480">
        <v>0</v>
      </c>
      <c r="AC149" s="481">
        <v>0</v>
      </c>
      <c r="AD149" s="480">
        <v>0</v>
      </c>
      <c r="AE149" s="482">
        <v>0</v>
      </c>
      <c r="AF149" s="483">
        <v>12005</v>
      </c>
      <c r="AG149" s="482">
        <v>0.246</v>
      </c>
      <c r="AH149" s="480">
        <v>28598</v>
      </c>
      <c r="AI149" s="481">
        <v>0.58499999999999996</v>
      </c>
      <c r="AJ149" s="480">
        <v>8254</v>
      </c>
      <c r="AK149" s="482">
        <v>0.16900000000000001</v>
      </c>
      <c r="AL149" s="483">
        <v>0</v>
      </c>
      <c r="AM149" s="482">
        <v>0</v>
      </c>
      <c r="AN149" s="480">
        <v>0</v>
      </c>
      <c r="AO149" s="481">
        <v>0</v>
      </c>
      <c r="AP149" s="480">
        <v>93</v>
      </c>
      <c r="AQ149" s="482">
        <v>1</v>
      </c>
      <c r="AR149" s="483">
        <v>0</v>
      </c>
      <c r="AS149" s="482">
        <v>0</v>
      </c>
      <c r="AT149" s="480">
        <v>0</v>
      </c>
      <c r="AU149" s="481">
        <v>0</v>
      </c>
      <c r="AV149" s="480">
        <v>0</v>
      </c>
      <c r="AW149" s="482">
        <v>0</v>
      </c>
      <c r="AX149" s="483">
        <v>0</v>
      </c>
      <c r="AY149" s="482">
        <v>0</v>
      </c>
      <c r="AZ149" s="480">
        <v>0</v>
      </c>
      <c r="BA149" s="481">
        <v>0</v>
      </c>
      <c r="BB149" s="480">
        <v>0</v>
      </c>
      <c r="BC149" s="482">
        <v>0</v>
      </c>
      <c r="BD149" s="483">
        <v>17</v>
      </c>
      <c r="BE149" s="482">
        <v>6.3E-2</v>
      </c>
      <c r="BF149" s="480">
        <v>241</v>
      </c>
      <c r="BG149" s="481">
        <v>0.873</v>
      </c>
      <c r="BH149" s="480">
        <v>18</v>
      </c>
      <c r="BI149" s="479">
        <v>6.3E-2</v>
      </c>
      <c r="BJ149" s="483">
        <v>0</v>
      </c>
      <c r="BK149" s="482">
        <v>0</v>
      </c>
      <c r="BL149" s="480">
        <v>0</v>
      </c>
      <c r="BM149" s="481">
        <v>0</v>
      </c>
      <c r="BN149" s="480">
        <v>0</v>
      </c>
      <c r="BO149" s="479">
        <v>0</v>
      </c>
      <c r="BQ149" s="502"/>
      <c r="BS149" s="502"/>
      <c r="BU149" s="502"/>
      <c r="CC149" s="502"/>
      <c r="CE149" s="502"/>
      <c r="CG149" s="502"/>
      <c r="CI149" s="502"/>
      <c r="CK149" s="502"/>
      <c r="CM149" s="502"/>
    </row>
    <row r="150" spans="1:91" ht="24">
      <c r="A150" s="471" t="s">
        <v>303</v>
      </c>
      <c r="B150" s="483">
        <v>73</v>
      </c>
      <c r="C150" s="482">
        <v>0.88400000000000001</v>
      </c>
      <c r="D150" s="480">
        <v>5</v>
      </c>
      <c r="E150" s="481">
        <v>5.8000000000000003E-2</v>
      </c>
      <c r="F150" s="480">
        <v>5</v>
      </c>
      <c r="G150" s="482">
        <v>5.8000000000000003E-2</v>
      </c>
      <c r="H150" s="483">
        <v>0</v>
      </c>
      <c r="I150" s="482">
        <v>0</v>
      </c>
      <c r="J150" s="480">
        <v>0</v>
      </c>
      <c r="K150" s="481">
        <v>0</v>
      </c>
      <c r="L150" s="480">
        <v>0</v>
      </c>
      <c r="M150" s="482">
        <v>0</v>
      </c>
      <c r="N150" s="483">
        <v>0</v>
      </c>
      <c r="O150" s="482">
        <v>0</v>
      </c>
      <c r="P150" s="480">
        <v>0</v>
      </c>
      <c r="Q150" s="481">
        <v>0</v>
      </c>
      <c r="R150" s="480">
        <v>0</v>
      </c>
      <c r="S150" s="482">
        <v>0</v>
      </c>
      <c r="T150" s="483">
        <v>0</v>
      </c>
      <c r="U150" s="482">
        <v>0</v>
      </c>
      <c r="V150" s="480">
        <v>73</v>
      </c>
      <c r="W150" s="481">
        <v>0.35099999999999998</v>
      </c>
      <c r="X150" s="480">
        <v>135</v>
      </c>
      <c r="Y150" s="482">
        <v>0.64900000000000002</v>
      </c>
      <c r="Z150" s="483">
        <v>0</v>
      </c>
      <c r="AA150" s="482">
        <v>0</v>
      </c>
      <c r="AB150" s="480">
        <v>0</v>
      </c>
      <c r="AC150" s="481">
        <v>0</v>
      </c>
      <c r="AD150" s="480">
        <v>0</v>
      </c>
      <c r="AE150" s="482">
        <v>0</v>
      </c>
      <c r="AF150" s="483">
        <v>10876</v>
      </c>
      <c r="AG150" s="482">
        <v>0.23</v>
      </c>
      <c r="AH150" s="480">
        <v>29356</v>
      </c>
      <c r="AI150" s="481">
        <v>0.61899999999999999</v>
      </c>
      <c r="AJ150" s="480">
        <v>7156</v>
      </c>
      <c r="AK150" s="482">
        <v>0.151</v>
      </c>
      <c r="AL150" s="483">
        <v>58</v>
      </c>
      <c r="AM150" s="482">
        <v>1</v>
      </c>
      <c r="AN150" s="480">
        <v>0</v>
      </c>
      <c r="AO150" s="481">
        <v>0</v>
      </c>
      <c r="AP150" s="480">
        <v>0</v>
      </c>
      <c r="AQ150" s="482">
        <v>0</v>
      </c>
      <c r="AR150" s="483">
        <v>0</v>
      </c>
      <c r="AS150" s="482">
        <v>0</v>
      </c>
      <c r="AT150" s="480">
        <v>0</v>
      </c>
      <c r="AU150" s="481">
        <v>0</v>
      </c>
      <c r="AV150" s="480">
        <v>0</v>
      </c>
      <c r="AW150" s="482">
        <v>0</v>
      </c>
      <c r="AX150" s="483">
        <v>0</v>
      </c>
      <c r="AY150" s="482">
        <v>0</v>
      </c>
      <c r="AZ150" s="480">
        <v>0</v>
      </c>
      <c r="BA150" s="481">
        <v>0</v>
      </c>
      <c r="BB150" s="480">
        <v>0</v>
      </c>
      <c r="BC150" s="482">
        <v>0</v>
      </c>
      <c r="BD150" s="483">
        <v>147</v>
      </c>
      <c r="BE150" s="482">
        <v>0.309</v>
      </c>
      <c r="BF150" s="480">
        <v>186</v>
      </c>
      <c r="BG150" s="481">
        <v>0.39</v>
      </c>
      <c r="BH150" s="480">
        <v>144</v>
      </c>
      <c r="BI150" s="479">
        <v>0.30099999999999999</v>
      </c>
      <c r="BJ150" s="483">
        <v>0</v>
      </c>
      <c r="BK150" s="482">
        <v>0</v>
      </c>
      <c r="BL150" s="480">
        <v>0</v>
      </c>
      <c r="BM150" s="481">
        <v>0</v>
      </c>
      <c r="BN150" s="480">
        <v>0</v>
      </c>
      <c r="BO150" s="479">
        <v>0</v>
      </c>
      <c r="BQ150" s="502"/>
      <c r="BS150" s="502"/>
      <c r="BU150" s="502"/>
      <c r="CC150" s="502"/>
      <c r="CE150" s="502"/>
      <c r="CG150" s="502"/>
      <c r="CI150" s="502"/>
      <c r="CK150" s="502"/>
      <c r="CM150" s="502"/>
    </row>
    <row r="151" spans="1:91" ht="15.75" thickBot="1">
      <c r="A151" s="473" t="s">
        <v>302</v>
      </c>
      <c r="B151" s="487">
        <v>0</v>
      </c>
      <c r="C151" s="482">
        <v>0</v>
      </c>
      <c r="D151" s="486">
        <v>0</v>
      </c>
      <c r="E151" s="481">
        <v>0</v>
      </c>
      <c r="F151" s="486">
        <v>0</v>
      </c>
      <c r="G151" s="482">
        <v>0</v>
      </c>
      <c r="H151" s="487">
        <v>0</v>
      </c>
      <c r="I151" s="482">
        <v>0</v>
      </c>
      <c r="J151" s="486">
        <v>0</v>
      </c>
      <c r="K151" s="481">
        <v>0</v>
      </c>
      <c r="L151" s="486">
        <v>0</v>
      </c>
      <c r="M151" s="482">
        <v>0</v>
      </c>
      <c r="N151" s="487">
        <v>0</v>
      </c>
      <c r="O151" s="482">
        <v>0</v>
      </c>
      <c r="P151" s="486">
        <v>0</v>
      </c>
      <c r="Q151" s="481">
        <v>0</v>
      </c>
      <c r="R151" s="486">
        <v>0</v>
      </c>
      <c r="S151" s="482">
        <v>0</v>
      </c>
      <c r="T151" s="487">
        <v>0</v>
      </c>
      <c r="U151" s="482">
        <v>0</v>
      </c>
      <c r="V151" s="486">
        <v>0</v>
      </c>
      <c r="W151" s="481">
        <v>0</v>
      </c>
      <c r="X151" s="486">
        <v>0</v>
      </c>
      <c r="Y151" s="482">
        <v>0</v>
      </c>
      <c r="Z151" s="487">
        <v>0</v>
      </c>
      <c r="AA151" s="482">
        <v>0</v>
      </c>
      <c r="AB151" s="486">
        <v>0</v>
      </c>
      <c r="AC151" s="481">
        <v>0</v>
      </c>
      <c r="AD151" s="486">
        <v>0</v>
      </c>
      <c r="AE151" s="482">
        <v>0</v>
      </c>
      <c r="AF151" s="487">
        <v>346</v>
      </c>
      <c r="AG151" s="482">
        <v>0.184</v>
      </c>
      <c r="AH151" s="486">
        <v>1162</v>
      </c>
      <c r="AI151" s="481">
        <v>0.62</v>
      </c>
      <c r="AJ151" s="486">
        <v>367</v>
      </c>
      <c r="AK151" s="482">
        <v>0.19600000000000001</v>
      </c>
      <c r="AL151" s="487">
        <v>0</v>
      </c>
      <c r="AM151" s="482">
        <v>0</v>
      </c>
      <c r="AN151" s="486">
        <v>0</v>
      </c>
      <c r="AO151" s="481">
        <v>0</v>
      </c>
      <c r="AP151" s="486">
        <v>0</v>
      </c>
      <c r="AQ151" s="482">
        <v>0</v>
      </c>
      <c r="AR151" s="487">
        <v>0</v>
      </c>
      <c r="AS151" s="482">
        <v>0</v>
      </c>
      <c r="AT151" s="486">
        <v>0</v>
      </c>
      <c r="AU151" s="481">
        <v>0</v>
      </c>
      <c r="AV151" s="486">
        <v>0</v>
      </c>
      <c r="AW151" s="482">
        <v>0</v>
      </c>
      <c r="AX151" s="487">
        <v>0</v>
      </c>
      <c r="AY151" s="482">
        <v>0</v>
      </c>
      <c r="AZ151" s="486">
        <v>0</v>
      </c>
      <c r="BA151" s="481">
        <v>0</v>
      </c>
      <c r="BB151" s="486">
        <v>0</v>
      </c>
      <c r="BC151" s="482">
        <v>0</v>
      </c>
      <c r="BD151" s="487">
        <v>0</v>
      </c>
      <c r="BE151" s="482">
        <v>0</v>
      </c>
      <c r="BF151" s="486">
        <v>68</v>
      </c>
      <c r="BG151" s="481">
        <v>1</v>
      </c>
      <c r="BH151" s="486">
        <v>0</v>
      </c>
      <c r="BI151" s="479">
        <v>0</v>
      </c>
      <c r="BJ151" s="487">
        <v>0</v>
      </c>
      <c r="BK151" s="482">
        <v>0</v>
      </c>
      <c r="BL151" s="486">
        <v>0</v>
      </c>
      <c r="BM151" s="481">
        <v>0</v>
      </c>
      <c r="BN151" s="486">
        <v>0</v>
      </c>
      <c r="BO151" s="479">
        <v>0</v>
      </c>
      <c r="BQ151" s="502"/>
      <c r="BS151" s="502"/>
      <c r="BU151" s="502"/>
      <c r="CC151" s="502"/>
      <c r="CE151" s="502"/>
      <c r="CG151" s="502"/>
      <c r="CI151" s="502"/>
      <c r="CK151" s="502"/>
      <c r="CM151" s="502"/>
    </row>
    <row r="152" spans="1:91">
      <c r="A152" s="472" t="s">
        <v>4</v>
      </c>
      <c r="B152" s="423">
        <v>0</v>
      </c>
      <c r="C152" s="446">
        <v>0</v>
      </c>
      <c r="D152" s="484">
        <v>68</v>
      </c>
      <c r="E152" s="485">
        <v>0.30499999999999999</v>
      </c>
      <c r="F152" s="484">
        <v>154</v>
      </c>
      <c r="G152" s="446">
        <v>0.69499999999999995</v>
      </c>
      <c r="H152" s="423">
        <v>0</v>
      </c>
      <c r="I152" s="446">
        <v>0</v>
      </c>
      <c r="J152" s="484">
        <v>0</v>
      </c>
      <c r="K152" s="485">
        <v>0</v>
      </c>
      <c r="L152" s="484">
        <v>0</v>
      </c>
      <c r="M152" s="446">
        <v>0</v>
      </c>
      <c r="N152" s="423">
        <v>0</v>
      </c>
      <c r="O152" s="446">
        <v>0</v>
      </c>
      <c r="P152" s="484">
        <v>0</v>
      </c>
      <c r="Q152" s="485">
        <v>0</v>
      </c>
      <c r="R152" s="484">
        <v>0</v>
      </c>
      <c r="S152" s="446">
        <v>0</v>
      </c>
      <c r="T152" s="423">
        <v>148</v>
      </c>
      <c r="U152" s="446">
        <v>0.10100000000000001</v>
      </c>
      <c r="V152" s="484">
        <v>926</v>
      </c>
      <c r="W152" s="485">
        <v>0.63</v>
      </c>
      <c r="X152" s="484">
        <v>395</v>
      </c>
      <c r="Y152" s="446">
        <v>0.26900000000000002</v>
      </c>
      <c r="Z152" s="423">
        <v>0</v>
      </c>
      <c r="AA152" s="446">
        <v>0</v>
      </c>
      <c r="AB152" s="484">
        <v>0</v>
      </c>
      <c r="AC152" s="485">
        <v>0</v>
      </c>
      <c r="AD152" s="484">
        <v>0</v>
      </c>
      <c r="AE152" s="446">
        <v>0</v>
      </c>
      <c r="AF152" s="423">
        <v>30448</v>
      </c>
      <c r="AG152" s="446">
        <v>0.22800000000000001</v>
      </c>
      <c r="AH152" s="484">
        <v>82539</v>
      </c>
      <c r="AI152" s="485">
        <v>0.61899999999999999</v>
      </c>
      <c r="AJ152" s="484">
        <v>20330</v>
      </c>
      <c r="AK152" s="446">
        <v>0.152</v>
      </c>
      <c r="AL152" s="423">
        <v>0</v>
      </c>
      <c r="AM152" s="446">
        <v>0</v>
      </c>
      <c r="AN152" s="484">
        <v>122</v>
      </c>
      <c r="AO152" s="485">
        <v>0.88900000000000001</v>
      </c>
      <c r="AP152" s="484">
        <v>15</v>
      </c>
      <c r="AQ152" s="446">
        <v>0.111</v>
      </c>
      <c r="AR152" s="423">
        <v>0</v>
      </c>
      <c r="AS152" s="446">
        <v>0</v>
      </c>
      <c r="AT152" s="484">
        <v>5</v>
      </c>
      <c r="AU152" s="485">
        <v>1</v>
      </c>
      <c r="AV152" s="484">
        <v>0</v>
      </c>
      <c r="AW152" s="446">
        <v>0</v>
      </c>
      <c r="AX152" s="423">
        <v>0</v>
      </c>
      <c r="AY152" s="446">
        <v>0</v>
      </c>
      <c r="AZ152" s="484">
        <v>0</v>
      </c>
      <c r="BA152" s="485">
        <v>0</v>
      </c>
      <c r="BB152" s="484">
        <v>0</v>
      </c>
      <c r="BC152" s="446">
        <v>0</v>
      </c>
      <c r="BD152" s="423">
        <v>636</v>
      </c>
      <c r="BE152" s="446">
        <v>0.27600000000000002</v>
      </c>
      <c r="BF152" s="484">
        <v>1076</v>
      </c>
      <c r="BG152" s="485">
        <v>0.46600000000000003</v>
      </c>
      <c r="BH152" s="484">
        <v>596</v>
      </c>
      <c r="BI152" s="399">
        <v>0.25800000000000001</v>
      </c>
      <c r="BJ152" s="423">
        <v>0</v>
      </c>
      <c r="BK152" s="446">
        <v>0</v>
      </c>
      <c r="BL152" s="484">
        <v>0</v>
      </c>
      <c r="BM152" s="485">
        <v>0</v>
      </c>
      <c r="BN152" s="484">
        <v>0</v>
      </c>
      <c r="BO152" s="399">
        <v>0</v>
      </c>
      <c r="BQ152" s="502"/>
      <c r="BS152" s="502"/>
      <c r="BU152" s="502"/>
      <c r="CC152" s="502"/>
      <c r="CE152" s="502"/>
      <c r="CG152" s="502"/>
      <c r="CI152" s="502"/>
      <c r="CK152" s="502"/>
      <c r="CM152" s="502"/>
    </row>
    <row r="153" spans="1:91">
      <c r="A153" s="471" t="s">
        <v>309</v>
      </c>
      <c r="B153" s="483">
        <v>0</v>
      </c>
      <c r="C153" s="482">
        <v>0</v>
      </c>
      <c r="D153" s="480">
        <v>0</v>
      </c>
      <c r="E153" s="481">
        <v>0</v>
      </c>
      <c r="F153" s="480">
        <v>0</v>
      </c>
      <c r="G153" s="482">
        <v>0</v>
      </c>
      <c r="H153" s="483">
        <v>0</v>
      </c>
      <c r="I153" s="482">
        <v>0</v>
      </c>
      <c r="J153" s="480">
        <v>0</v>
      </c>
      <c r="K153" s="481">
        <v>0</v>
      </c>
      <c r="L153" s="480">
        <v>0</v>
      </c>
      <c r="M153" s="482">
        <v>0</v>
      </c>
      <c r="N153" s="483">
        <v>0</v>
      </c>
      <c r="O153" s="482">
        <v>0</v>
      </c>
      <c r="P153" s="480">
        <v>0</v>
      </c>
      <c r="Q153" s="481">
        <v>0</v>
      </c>
      <c r="R153" s="480">
        <v>0</v>
      </c>
      <c r="S153" s="482">
        <v>0</v>
      </c>
      <c r="T153" s="483">
        <v>0</v>
      </c>
      <c r="U153" s="482">
        <v>0</v>
      </c>
      <c r="V153" s="480">
        <v>0</v>
      </c>
      <c r="W153" s="481">
        <v>0</v>
      </c>
      <c r="X153" s="480">
        <v>0</v>
      </c>
      <c r="Y153" s="482">
        <v>0</v>
      </c>
      <c r="Z153" s="483">
        <v>0</v>
      </c>
      <c r="AA153" s="482">
        <v>0</v>
      </c>
      <c r="AB153" s="480">
        <v>0</v>
      </c>
      <c r="AC153" s="481">
        <v>0</v>
      </c>
      <c r="AD153" s="480">
        <v>0</v>
      </c>
      <c r="AE153" s="482">
        <v>0</v>
      </c>
      <c r="AF153" s="483">
        <v>1183</v>
      </c>
      <c r="AG153" s="482">
        <v>0.432</v>
      </c>
      <c r="AH153" s="480">
        <v>1410</v>
      </c>
      <c r="AI153" s="481">
        <v>0.51500000000000001</v>
      </c>
      <c r="AJ153" s="480">
        <v>144</v>
      </c>
      <c r="AK153" s="482">
        <v>5.2999999999999999E-2</v>
      </c>
      <c r="AL153" s="483">
        <v>0</v>
      </c>
      <c r="AM153" s="482">
        <v>0</v>
      </c>
      <c r="AN153" s="480">
        <v>0</v>
      </c>
      <c r="AO153" s="481">
        <v>0</v>
      </c>
      <c r="AP153" s="480">
        <v>0</v>
      </c>
      <c r="AQ153" s="482">
        <v>0</v>
      </c>
      <c r="AR153" s="483">
        <v>0</v>
      </c>
      <c r="AS153" s="482">
        <v>0</v>
      </c>
      <c r="AT153" s="480">
        <v>0</v>
      </c>
      <c r="AU153" s="481">
        <v>0</v>
      </c>
      <c r="AV153" s="480">
        <v>0</v>
      </c>
      <c r="AW153" s="482">
        <v>0</v>
      </c>
      <c r="AX153" s="483">
        <v>0</v>
      </c>
      <c r="AY153" s="482">
        <v>0</v>
      </c>
      <c r="AZ153" s="480">
        <v>0</v>
      </c>
      <c r="BA153" s="481">
        <v>0</v>
      </c>
      <c r="BB153" s="480">
        <v>0</v>
      </c>
      <c r="BC153" s="482">
        <v>0</v>
      </c>
      <c r="BD153" s="483">
        <v>80</v>
      </c>
      <c r="BE153" s="482">
        <v>0.33300000000000002</v>
      </c>
      <c r="BF153" s="480">
        <v>159</v>
      </c>
      <c r="BG153" s="481">
        <v>0.66700000000000004</v>
      </c>
      <c r="BH153" s="480">
        <v>0</v>
      </c>
      <c r="BI153" s="479">
        <v>0</v>
      </c>
      <c r="BJ153" s="483">
        <v>0</v>
      </c>
      <c r="BK153" s="482">
        <v>0</v>
      </c>
      <c r="BL153" s="480">
        <v>0</v>
      </c>
      <c r="BM153" s="481">
        <v>0</v>
      </c>
      <c r="BN153" s="480">
        <v>0</v>
      </c>
      <c r="BO153" s="479">
        <v>0</v>
      </c>
      <c r="BQ153" s="502"/>
      <c r="BS153" s="502"/>
      <c r="BU153" s="502"/>
      <c r="CC153" s="502"/>
      <c r="CE153" s="502"/>
      <c r="CG153" s="502"/>
      <c r="CI153" s="502"/>
      <c r="CK153" s="502"/>
      <c r="CM153" s="502"/>
    </row>
    <row r="154" spans="1:91">
      <c r="A154" s="471" t="s">
        <v>308</v>
      </c>
      <c r="B154" s="483">
        <v>0</v>
      </c>
      <c r="C154" s="482">
        <v>0</v>
      </c>
      <c r="D154" s="480">
        <v>0</v>
      </c>
      <c r="E154" s="481">
        <v>0</v>
      </c>
      <c r="F154" s="480">
        <v>0</v>
      </c>
      <c r="G154" s="482">
        <v>0</v>
      </c>
      <c r="H154" s="483">
        <v>0</v>
      </c>
      <c r="I154" s="482">
        <v>0</v>
      </c>
      <c r="J154" s="480">
        <v>0</v>
      </c>
      <c r="K154" s="481">
        <v>0</v>
      </c>
      <c r="L154" s="480">
        <v>0</v>
      </c>
      <c r="M154" s="482">
        <v>0</v>
      </c>
      <c r="N154" s="483">
        <v>0</v>
      </c>
      <c r="O154" s="482">
        <v>0</v>
      </c>
      <c r="P154" s="480">
        <v>0</v>
      </c>
      <c r="Q154" s="481">
        <v>0</v>
      </c>
      <c r="R154" s="480">
        <v>0</v>
      </c>
      <c r="S154" s="482">
        <v>0</v>
      </c>
      <c r="T154" s="483">
        <v>21</v>
      </c>
      <c r="U154" s="482">
        <v>0.23300000000000001</v>
      </c>
      <c r="V154" s="480">
        <v>63</v>
      </c>
      <c r="W154" s="481">
        <v>0.70699999999999996</v>
      </c>
      <c r="X154" s="480">
        <v>5</v>
      </c>
      <c r="Y154" s="482">
        <v>0.06</v>
      </c>
      <c r="Z154" s="483">
        <v>0</v>
      </c>
      <c r="AA154" s="482">
        <v>0</v>
      </c>
      <c r="AB154" s="480">
        <v>0</v>
      </c>
      <c r="AC154" s="481">
        <v>0</v>
      </c>
      <c r="AD154" s="480">
        <v>0</v>
      </c>
      <c r="AE154" s="482">
        <v>0</v>
      </c>
      <c r="AF154" s="483">
        <v>836</v>
      </c>
      <c r="AG154" s="482">
        <v>0.123</v>
      </c>
      <c r="AH154" s="480">
        <v>3735</v>
      </c>
      <c r="AI154" s="481">
        <v>0.55100000000000005</v>
      </c>
      <c r="AJ154" s="480">
        <v>2205</v>
      </c>
      <c r="AK154" s="482">
        <v>0.32500000000000001</v>
      </c>
      <c r="AL154" s="483">
        <v>0</v>
      </c>
      <c r="AM154" s="482">
        <v>0</v>
      </c>
      <c r="AN154" s="480">
        <v>0</v>
      </c>
      <c r="AO154" s="481">
        <v>0</v>
      </c>
      <c r="AP154" s="480">
        <v>0</v>
      </c>
      <c r="AQ154" s="482">
        <v>0</v>
      </c>
      <c r="AR154" s="483">
        <v>0</v>
      </c>
      <c r="AS154" s="482">
        <v>0</v>
      </c>
      <c r="AT154" s="480">
        <v>5</v>
      </c>
      <c r="AU154" s="481">
        <v>1</v>
      </c>
      <c r="AV154" s="480">
        <v>0</v>
      </c>
      <c r="AW154" s="482">
        <v>0</v>
      </c>
      <c r="AX154" s="483">
        <v>0</v>
      </c>
      <c r="AY154" s="482">
        <v>0</v>
      </c>
      <c r="AZ154" s="480">
        <v>0</v>
      </c>
      <c r="BA154" s="481">
        <v>0</v>
      </c>
      <c r="BB154" s="480">
        <v>0</v>
      </c>
      <c r="BC154" s="482">
        <v>0</v>
      </c>
      <c r="BD154" s="483">
        <v>0</v>
      </c>
      <c r="BE154" s="482">
        <v>0</v>
      </c>
      <c r="BF154" s="480">
        <v>58</v>
      </c>
      <c r="BG154" s="481">
        <v>0.38400000000000001</v>
      </c>
      <c r="BH154" s="480">
        <v>92</v>
      </c>
      <c r="BI154" s="479">
        <v>0.61599999999999999</v>
      </c>
      <c r="BJ154" s="483">
        <v>0</v>
      </c>
      <c r="BK154" s="482">
        <v>0</v>
      </c>
      <c r="BL154" s="480">
        <v>0</v>
      </c>
      <c r="BM154" s="481">
        <v>0</v>
      </c>
      <c r="BN154" s="480">
        <v>0</v>
      </c>
      <c r="BO154" s="479">
        <v>0</v>
      </c>
      <c r="BQ154" s="502"/>
      <c r="BS154" s="502"/>
      <c r="BU154" s="502"/>
      <c r="CC154" s="502"/>
      <c r="CE154" s="502"/>
      <c r="CG154" s="502"/>
      <c r="CI154" s="502"/>
      <c r="CK154" s="502"/>
      <c r="CM154" s="502"/>
    </row>
    <row r="155" spans="1:91">
      <c r="A155" s="471" t="s">
        <v>307</v>
      </c>
      <c r="B155" s="483">
        <v>0</v>
      </c>
      <c r="C155" s="482">
        <v>0</v>
      </c>
      <c r="D155" s="480">
        <v>0</v>
      </c>
      <c r="E155" s="481">
        <v>0</v>
      </c>
      <c r="F155" s="480">
        <v>0</v>
      </c>
      <c r="G155" s="482">
        <v>0</v>
      </c>
      <c r="H155" s="483">
        <v>0</v>
      </c>
      <c r="I155" s="482">
        <v>0</v>
      </c>
      <c r="J155" s="480">
        <v>0</v>
      </c>
      <c r="K155" s="481">
        <v>0</v>
      </c>
      <c r="L155" s="480">
        <v>0</v>
      </c>
      <c r="M155" s="482">
        <v>0</v>
      </c>
      <c r="N155" s="483">
        <v>0</v>
      </c>
      <c r="O155" s="482">
        <v>0</v>
      </c>
      <c r="P155" s="480">
        <v>0</v>
      </c>
      <c r="Q155" s="481">
        <v>0</v>
      </c>
      <c r="R155" s="480">
        <v>0</v>
      </c>
      <c r="S155" s="482">
        <v>0</v>
      </c>
      <c r="T155" s="483">
        <v>0</v>
      </c>
      <c r="U155" s="482">
        <v>0</v>
      </c>
      <c r="V155" s="480">
        <v>241</v>
      </c>
      <c r="W155" s="481">
        <v>0.66700000000000004</v>
      </c>
      <c r="X155" s="480">
        <v>120</v>
      </c>
      <c r="Y155" s="482">
        <v>0.33300000000000002</v>
      </c>
      <c r="Z155" s="483">
        <v>0</v>
      </c>
      <c r="AA155" s="482">
        <v>0</v>
      </c>
      <c r="AB155" s="480">
        <v>0</v>
      </c>
      <c r="AC155" s="481">
        <v>0</v>
      </c>
      <c r="AD155" s="480">
        <v>0</v>
      </c>
      <c r="AE155" s="482">
        <v>0</v>
      </c>
      <c r="AF155" s="483">
        <v>2367</v>
      </c>
      <c r="AG155" s="482">
        <v>0.20899999999999999</v>
      </c>
      <c r="AH155" s="480">
        <v>7427</v>
      </c>
      <c r="AI155" s="481">
        <v>0.65400000000000003</v>
      </c>
      <c r="AJ155" s="480">
        <v>1559</v>
      </c>
      <c r="AK155" s="482">
        <v>0.13700000000000001</v>
      </c>
      <c r="AL155" s="483">
        <v>0</v>
      </c>
      <c r="AM155" s="482">
        <v>0</v>
      </c>
      <c r="AN155" s="480">
        <v>0</v>
      </c>
      <c r="AO155" s="481">
        <v>0</v>
      </c>
      <c r="AP155" s="480">
        <v>0</v>
      </c>
      <c r="AQ155" s="482">
        <v>0</v>
      </c>
      <c r="AR155" s="483">
        <v>0</v>
      </c>
      <c r="AS155" s="482">
        <v>0</v>
      </c>
      <c r="AT155" s="480">
        <v>0</v>
      </c>
      <c r="AU155" s="481">
        <v>0</v>
      </c>
      <c r="AV155" s="480">
        <v>0</v>
      </c>
      <c r="AW155" s="482">
        <v>0</v>
      </c>
      <c r="AX155" s="483">
        <v>0</v>
      </c>
      <c r="AY155" s="482">
        <v>0</v>
      </c>
      <c r="AZ155" s="480">
        <v>0</v>
      </c>
      <c r="BA155" s="481">
        <v>0</v>
      </c>
      <c r="BB155" s="480">
        <v>0</v>
      </c>
      <c r="BC155" s="482">
        <v>0</v>
      </c>
      <c r="BD155" s="483">
        <v>120</v>
      </c>
      <c r="BE155" s="482">
        <v>0.40600000000000003</v>
      </c>
      <c r="BF155" s="480">
        <v>176</v>
      </c>
      <c r="BG155" s="481">
        <v>0.59399999999999997</v>
      </c>
      <c r="BH155" s="480">
        <v>0</v>
      </c>
      <c r="BI155" s="479">
        <v>0</v>
      </c>
      <c r="BJ155" s="483">
        <v>0</v>
      </c>
      <c r="BK155" s="482">
        <v>0</v>
      </c>
      <c r="BL155" s="480">
        <v>0</v>
      </c>
      <c r="BM155" s="481">
        <v>0</v>
      </c>
      <c r="BN155" s="480">
        <v>0</v>
      </c>
      <c r="BO155" s="479">
        <v>0</v>
      </c>
      <c r="BQ155" s="502"/>
      <c r="BS155" s="502"/>
      <c r="BU155" s="502"/>
      <c r="CC155" s="502"/>
      <c r="CE155" s="502"/>
      <c r="CG155" s="502"/>
      <c r="CI155" s="502"/>
      <c r="CK155" s="502"/>
      <c r="CM155" s="502"/>
    </row>
    <row r="156" spans="1:91">
      <c r="A156" s="471" t="s">
        <v>306</v>
      </c>
      <c r="B156" s="483">
        <v>0</v>
      </c>
      <c r="C156" s="482">
        <v>0</v>
      </c>
      <c r="D156" s="480">
        <v>0</v>
      </c>
      <c r="E156" s="481">
        <v>0</v>
      </c>
      <c r="F156" s="480">
        <v>0</v>
      </c>
      <c r="G156" s="482">
        <v>0</v>
      </c>
      <c r="H156" s="483">
        <v>0</v>
      </c>
      <c r="I156" s="482">
        <v>0</v>
      </c>
      <c r="J156" s="480">
        <v>0</v>
      </c>
      <c r="K156" s="481">
        <v>0</v>
      </c>
      <c r="L156" s="480">
        <v>0</v>
      </c>
      <c r="M156" s="482">
        <v>0</v>
      </c>
      <c r="N156" s="483">
        <v>0</v>
      </c>
      <c r="O156" s="482">
        <v>0</v>
      </c>
      <c r="P156" s="480">
        <v>0</v>
      </c>
      <c r="Q156" s="481">
        <v>0</v>
      </c>
      <c r="R156" s="480">
        <v>0</v>
      </c>
      <c r="S156" s="482">
        <v>0</v>
      </c>
      <c r="T156" s="483">
        <v>0</v>
      </c>
      <c r="U156" s="482">
        <v>0</v>
      </c>
      <c r="V156" s="480">
        <v>57</v>
      </c>
      <c r="W156" s="481">
        <v>1</v>
      </c>
      <c r="X156" s="480">
        <v>0</v>
      </c>
      <c r="Y156" s="482">
        <v>0</v>
      </c>
      <c r="Z156" s="483">
        <v>0</v>
      </c>
      <c r="AA156" s="482">
        <v>0</v>
      </c>
      <c r="AB156" s="480">
        <v>0</v>
      </c>
      <c r="AC156" s="481">
        <v>0</v>
      </c>
      <c r="AD156" s="480">
        <v>0</v>
      </c>
      <c r="AE156" s="482">
        <v>0</v>
      </c>
      <c r="AF156" s="483">
        <v>2908</v>
      </c>
      <c r="AG156" s="482">
        <v>0.27900000000000003</v>
      </c>
      <c r="AH156" s="480">
        <v>6669</v>
      </c>
      <c r="AI156" s="481">
        <v>0.64</v>
      </c>
      <c r="AJ156" s="480">
        <v>851</v>
      </c>
      <c r="AK156" s="482">
        <v>8.2000000000000003E-2</v>
      </c>
      <c r="AL156" s="483">
        <v>0</v>
      </c>
      <c r="AM156" s="482">
        <v>0</v>
      </c>
      <c r="AN156" s="480">
        <v>0</v>
      </c>
      <c r="AO156" s="481">
        <v>0</v>
      </c>
      <c r="AP156" s="480">
        <v>0</v>
      </c>
      <c r="AQ156" s="482">
        <v>0</v>
      </c>
      <c r="AR156" s="483">
        <v>0</v>
      </c>
      <c r="AS156" s="482">
        <v>0</v>
      </c>
      <c r="AT156" s="480">
        <v>0</v>
      </c>
      <c r="AU156" s="481">
        <v>0</v>
      </c>
      <c r="AV156" s="480">
        <v>0</v>
      </c>
      <c r="AW156" s="482">
        <v>0</v>
      </c>
      <c r="AX156" s="483">
        <v>0</v>
      </c>
      <c r="AY156" s="482">
        <v>0</v>
      </c>
      <c r="AZ156" s="480">
        <v>0</v>
      </c>
      <c r="BA156" s="481">
        <v>0</v>
      </c>
      <c r="BB156" s="480">
        <v>0</v>
      </c>
      <c r="BC156" s="482">
        <v>0</v>
      </c>
      <c r="BD156" s="483">
        <v>131</v>
      </c>
      <c r="BE156" s="482">
        <v>0.64900000000000002</v>
      </c>
      <c r="BF156" s="480">
        <v>71</v>
      </c>
      <c r="BG156" s="481">
        <v>0.35099999999999998</v>
      </c>
      <c r="BH156" s="480">
        <v>0</v>
      </c>
      <c r="BI156" s="479">
        <v>0</v>
      </c>
      <c r="BJ156" s="483">
        <v>0</v>
      </c>
      <c r="BK156" s="482">
        <v>0</v>
      </c>
      <c r="BL156" s="480">
        <v>0</v>
      </c>
      <c r="BM156" s="481">
        <v>0</v>
      </c>
      <c r="BN156" s="480">
        <v>0</v>
      </c>
      <c r="BO156" s="479">
        <v>0</v>
      </c>
      <c r="BQ156" s="502"/>
      <c r="BS156" s="502"/>
      <c r="BU156" s="502"/>
      <c r="CC156" s="502"/>
      <c r="CE156" s="502"/>
      <c r="CG156" s="502"/>
      <c r="CI156" s="502"/>
      <c r="CK156" s="502"/>
      <c r="CM156" s="502"/>
    </row>
    <row r="157" spans="1:91">
      <c r="A157" s="471" t="s">
        <v>305</v>
      </c>
      <c r="B157" s="483">
        <v>0</v>
      </c>
      <c r="C157" s="482">
        <v>0</v>
      </c>
      <c r="D157" s="480">
        <v>0</v>
      </c>
      <c r="E157" s="481">
        <v>0</v>
      </c>
      <c r="F157" s="480">
        <v>75</v>
      </c>
      <c r="G157" s="482">
        <v>1</v>
      </c>
      <c r="H157" s="483">
        <v>0</v>
      </c>
      <c r="I157" s="482">
        <v>0</v>
      </c>
      <c r="J157" s="480">
        <v>0</v>
      </c>
      <c r="K157" s="481">
        <v>0</v>
      </c>
      <c r="L157" s="480">
        <v>0</v>
      </c>
      <c r="M157" s="482">
        <v>0</v>
      </c>
      <c r="N157" s="483">
        <v>0</v>
      </c>
      <c r="O157" s="482">
        <v>0</v>
      </c>
      <c r="P157" s="480">
        <v>0</v>
      </c>
      <c r="Q157" s="481">
        <v>0</v>
      </c>
      <c r="R157" s="480">
        <v>0</v>
      </c>
      <c r="S157" s="482">
        <v>0</v>
      </c>
      <c r="T157" s="483">
        <v>53</v>
      </c>
      <c r="U157" s="482">
        <v>0.16900000000000001</v>
      </c>
      <c r="V157" s="480">
        <v>155</v>
      </c>
      <c r="W157" s="481">
        <v>0.49399999999999999</v>
      </c>
      <c r="X157" s="480">
        <v>106</v>
      </c>
      <c r="Y157" s="482">
        <v>0.33800000000000002</v>
      </c>
      <c r="Z157" s="483">
        <v>0</v>
      </c>
      <c r="AA157" s="482">
        <v>0</v>
      </c>
      <c r="AB157" s="480">
        <v>0</v>
      </c>
      <c r="AC157" s="481">
        <v>0</v>
      </c>
      <c r="AD157" s="480">
        <v>0</v>
      </c>
      <c r="AE157" s="482">
        <v>0</v>
      </c>
      <c r="AF157" s="483">
        <v>3257</v>
      </c>
      <c r="AG157" s="482">
        <v>0.186</v>
      </c>
      <c r="AH157" s="480">
        <v>10742</v>
      </c>
      <c r="AI157" s="481">
        <v>0.61199999999999999</v>
      </c>
      <c r="AJ157" s="480">
        <v>3552</v>
      </c>
      <c r="AK157" s="482">
        <v>0.20200000000000001</v>
      </c>
      <c r="AL157" s="483">
        <v>0</v>
      </c>
      <c r="AM157" s="482">
        <v>0</v>
      </c>
      <c r="AN157" s="480">
        <v>53</v>
      </c>
      <c r="AO157" s="481">
        <v>1</v>
      </c>
      <c r="AP157" s="480">
        <v>0</v>
      </c>
      <c r="AQ157" s="482">
        <v>0</v>
      </c>
      <c r="AR157" s="483">
        <v>0</v>
      </c>
      <c r="AS157" s="482">
        <v>0</v>
      </c>
      <c r="AT157" s="480">
        <v>0</v>
      </c>
      <c r="AU157" s="481">
        <v>0</v>
      </c>
      <c r="AV157" s="480">
        <v>0</v>
      </c>
      <c r="AW157" s="482">
        <v>0</v>
      </c>
      <c r="AX157" s="483">
        <v>0</v>
      </c>
      <c r="AY157" s="482">
        <v>0</v>
      </c>
      <c r="AZ157" s="480">
        <v>0</v>
      </c>
      <c r="BA157" s="481">
        <v>0</v>
      </c>
      <c r="BB157" s="480">
        <v>0</v>
      </c>
      <c r="BC157" s="482">
        <v>0</v>
      </c>
      <c r="BD157" s="483">
        <v>128</v>
      </c>
      <c r="BE157" s="482">
        <v>0.247</v>
      </c>
      <c r="BF157" s="480">
        <v>208</v>
      </c>
      <c r="BG157" s="481">
        <v>0.40300000000000002</v>
      </c>
      <c r="BH157" s="480">
        <v>181</v>
      </c>
      <c r="BI157" s="479">
        <v>0.35</v>
      </c>
      <c r="BJ157" s="483">
        <v>0</v>
      </c>
      <c r="BK157" s="482">
        <v>0</v>
      </c>
      <c r="BL157" s="480">
        <v>0</v>
      </c>
      <c r="BM157" s="481">
        <v>0</v>
      </c>
      <c r="BN157" s="480">
        <v>0</v>
      </c>
      <c r="BO157" s="479">
        <v>0</v>
      </c>
      <c r="BQ157" s="502"/>
      <c r="BS157" s="502"/>
      <c r="BU157" s="502"/>
      <c r="CC157" s="502"/>
      <c r="CE157" s="502"/>
      <c r="CG157" s="502"/>
      <c r="CI157" s="502"/>
      <c r="CK157" s="502"/>
      <c r="CM157" s="502"/>
    </row>
    <row r="158" spans="1:91" ht="24">
      <c r="A158" s="471" t="s">
        <v>304</v>
      </c>
      <c r="B158" s="483">
        <v>0</v>
      </c>
      <c r="C158" s="482">
        <v>0</v>
      </c>
      <c r="D158" s="480">
        <v>0</v>
      </c>
      <c r="E158" s="481">
        <v>0</v>
      </c>
      <c r="F158" s="480">
        <v>0</v>
      </c>
      <c r="G158" s="482">
        <v>0</v>
      </c>
      <c r="H158" s="483">
        <v>0</v>
      </c>
      <c r="I158" s="482">
        <v>0</v>
      </c>
      <c r="J158" s="480">
        <v>0</v>
      </c>
      <c r="K158" s="481">
        <v>0</v>
      </c>
      <c r="L158" s="480">
        <v>0</v>
      </c>
      <c r="M158" s="482">
        <v>0</v>
      </c>
      <c r="N158" s="483">
        <v>0</v>
      </c>
      <c r="O158" s="482">
        <v>0</v>
      </c>
      <c r="P158" s="480">
        <v>0</v>
      </c>
      <c r="Q158" s="481">
        <v>0</v>
      </c>
      <c r="R158" s="480">
        <v>0</v>
      </c>
      <c r="S158" s="482">
        <v>0</v>
      </c>
      <c r="T158" s="483">
        <v>44</v>
      </c>
      <c r="U158" s="482">
        <v>0.124</v>
      </c>
      <c r="V158" s="480">
        <v>200</v>
      </c>
      <c r="W158" s="481">
        <v>0.56499999999999995</v>
      </c>
      <c r="X158" s="480">
        <v>110</v>
      </c>
      <c r="Y158" s="482">
        <v>0.312</v>
      </c>
      <c r="Z158" s="483">
        <v>0</v>
      </c>
      <c r="AA158" s="482">
        <v>0</v>
      </c>
      <c r="AB158" s="480">
        <v>0</v>
      </c>
      <c r="AC158" s="481">
        <v>0</v>
      </c>
      <c r="AD158" s="480">
        <v>0</v>
      </c>
      <c r="AE158" s="482">
        <v>0</v>
      </c>
      <c r="AF158" s="483">
        <v>10328</v>
      </c>
      <c r="AG158" s="482">
        <v>0.254</v>
      </c>
      <c r="AH158" s="480">
        <v>24856</v>
      </c>
      <c r="AI158" s="481">
        <v>0.61199999999999999</v>
      </c>
      <c r="AJ158" s="480">
        <v>5446</v>
      </c>
      <c r="AK158" s="482">
        <v>0.13400000000000001</v>
      </c>
      <c r="AL158" s="483">
        <v>0</v>
      </c>
      <c r="AM158" s="482">
        <v>0</v>
      </c>
      <c r="AN158" s="480">
        <v>0</v>
      </c>
      <c r="AO158" s="481">
        <v>0</v>
      </c>
      <c r="AP158" s="480">
        <v>15</v>
      </c>
      <c r="AQ158" s="482">
        <v>1</v>
      </c>
      <c r="AR158" s="483">
        <v>0</v>
      </c>
      <c r="AS158" s="482">
        <v>0</v>
      </c>
      <c r="AT158" s="480">
        <v>0</v>
      </c>
      <c r="AU158" s="481">
        <v>0</v>
      </c>
      <c r="AV158" s="480">
        <v>0</v>
      </c>
      <c r="AW158" s="482">
        <v>0</v>
      </c>
      <c r="AX158" s="483">
        <v>0</v>
      </c>
      <c r="AY158" s="482">
        <v>0</v>
      </c>
      <c r="AZ158" s="480">
        <v>0</v>
      </c>
      <c r="BA158" s="481">
        <v>0</v>
      </c>
      <c r="BB158" s="480">
        <v>0</v>
      </c>
      <c r="BC158" s="482">
        <v>0</v>
      </c>
      <c r="BD158" s="483">
        <v>50</v>
      </c>
      <c r="BE158" s="482">
        <v>0.12</v>
      </c>
      <c r="BF158" s="480">
        <v>125</v>
      </c>
      <c r="BG158" s="481">
        <v>0.3</v>
      </c>
      <c r="BH158" s="480">
        <v>243</v>
      </c>
      <c r="BI158" s="479">
        <v>0.57999999999999996</v>
      </c>
      <c r="BJ158" s="483">
        <v>0</v>
      </c>
      <c r="BK158" s="482">
        <v>0</v>
      </c>
      <c r="BL158" s="480">
        <v>0</v>
      </c>
      <c r="BM158" s="481">
        <v>0</v>
      </c>
      <c r="BN158" s="480">
        <v>0</v>
      </c>
      <c r="BO158" s="479">
        <v>0</v>
      </c>
      <c r="BQ158" s="502"/>
      <c r="BS158" s="502"/>
      <c r="BU158" s="502"/>
      <c r="CC158" s="502"/>
      <c r="CE158" s="502"/>
      <c r="CG158" s="502"/>
      <c r="CI158" s="502"/>
      <c r="CK158" s="502"/>
      <c r="CM158" s="502"/>
    </row>
    <row r="159" spans="1:91" ht="24">
      <c r="A159" s="471" t="s">
        <v>303</v>
      </c>
      <c r="B159" s="483">
        <v>0</v>
      </c>
      <c r="C159" s="482">
        <v>0</v>
      </c>
      <c r="D159" s="480">
        <v>0</v>
      </c>
      <c r="E159" s="481">
        <v>0</v>
      </c>
      <c r="F159" s="480">
        <v>79</v>
      </c>
      <c r="G159" s="482">
        <v>1</v>
      </c>
      <c r="H159" s="483">
        <v>0</v>
      </c>
      <c r="I159" s="482">
        <v>0</v>
      </c>
      <c r="J159" s="480">
        <v>0</v>
      </c>
      <c r="K159" s="481">
        <v>0</v>
      </c>
      <c r="L159" s="480">
        <v>0</v>
      </c>
      <c r="M159" s="482">
        <v>0</v>
      </c>
      <c r="N159" s="483">
        <v>0</v>
      </c>
      <c r="O159" s="482">
        <v>0</v>
      </c>
      <c r="P159" s="480">
        <v>0</v>
      </c>
      <c r="Q159" s="481">
        <v>0</v>
      </c>
      <c r="R159" s="480">
        <v>0</v>
      </c>
      <c r="S159" s="482">
        <v>0</v>
      </c>
      <c r="T159" s="483">
        <v>31</v>
      </c>
      <c r="U159" s="482">
        <v>0.105</v>
      </c>
      <c r="V159" s="480">
        <v>210</v>
      </c>
      <c r="W159" s="481">
        <v>0.71499999999999997</v>
      </c>
      <c r="X159" s="480">
        <v>53</v>
      </c>
      <c r="Y159" s="482">
        <v>0.18</v>
      </c>
      <c r="Z159" s="483">
        <v>0</v>
      </c>
      <c r="AA159" s="482">
        <v>0</v>
      </c>
      <c r="AB159" s="480">
        <v>0</v>
      </c>
      <c r="AC159" s="481">
        <v>0</v>
      </c>
      <c r="AD159" s="480">
        <v>0</v>
      </c>
      <c r="AE159" s="482">
        <v>0</v>
      </c>
      <c r="AF159" s="483">
        <v>9223</v>
      </c>
      <c r="AG159" s="482">
        <v>0.224</v>
      </c>
      <c r="AH159" s="480">
        <v>25861</v>
      </c>
      <c r="AI159" s="481">
        <v>0.629</v>
      </c>
      <c r="AJ159" s="480">
        <v>6022</v>
      </c>
      <c r="AK159" s="482">
        <v>0.14699999999999999</v>
      </c>
      <c r="AL159" s="483">
        <v>0</v>
      </c>
      <c r="AM159" s="482">
        <v>0</v>
      </c>
      <c r="AN159" s="480">
        <v>69</v>
      </c>
      <c r="AO159" s="481">
        <v>1</v>
      </c>
      <c r="AP159" s="480">
        <v>0</v>
      </c>
      <c r="AQ159" s="482">
        <v>0</v>
      </c>
      <c r="AR159" s="483">
        <v>0</v>
      </c>
      <c r="AS159" s="482">
        <v>0</v>
      </c>
      <c r="AT159" s="480">
        <v>0</v>
      </c>
      <c r="AU159" s="481">
        <v>0</v>
      </c>
      <c r="AV159" s="480">
        <v>0</v>
      </c>
      <c r="AW159" s="482">
        <v>0</v>
      </c>
      <c r="AX159" s="483">
        <v>0</v>
      </c>
      <c r="AY159" s="482">
        <v>0</v>
      </c>
      <c r="AZ159" s="480">
        <v>0</v>
      </c>
      <c r="BA159" s="481">
        <v>0</v>
      </c>
      <c r="BB159" s="480">
        <v>0</v>
      </c>
      <c r="BC159" s="482">
        <v>0</v>
      </c>
      <c r="BD159" s="483">
        <v>127</v>
      </c>
      <c r="BE159" s="482">
        <v>0.30499999999999999</v>
      </c>
      <c r="BF159" s="480">
        <v>210</v>
      </c>
      <c r="BG159" s="481">
        <v>0.504</v>
      </c>
      <c r="BH159" s="480">
        <v>80</v>
      </c>
      <c r="BI159" s="479">
        <v>0.191</v>
      </c>
      <c r="BJ159" s="483">
        <v>0</v>
      </c>
      <c r="BK159" s="482">
        <v>0</v>
      </c>
      <c r="BL159" s="480">
        <v>0</v>
      </c>
      <c r="BM159" s="481">
        <v>0</v>
      </c>
      <c r="BN159" s="480">
        <v>0</v>
      </c>
      <c r="BO159" s="479">
        <v>0</v>
      </c>
      <c r="BQ159" s="502"/>
      <c r="BS159" s="502"/>
      <c r="BU159" s="502"/>
      <c r="CC159" s="502"/>
      <c r="CE159" s="502"/>
      <c r="CG159" s="502"/>
      <c r="CI159" s="502"/>
      <c r="CK159" s="502"/>
      <c r="CM159" s="502"/>
    </row>
    <row r="160" spans="1:91" ht="15.75" thickBot="1">
      <c r="A160" s="473" t="s">
        <v>302</v>
      </c>
      <c r="B160" s="487">
        <v>0</v>
      </c>
      <c r="C160" s="482">
        <v>0</v>
      </c>
      <c r="D160" s="486">
        <v>68</v>
      </c>
      <c r="E160" s="481">
        <v>1</v>
      </c>
      <c r="F160" s="486">
        <v>0</v>
      </c>
      <c r="G160" s="482">
        <v>0</v>
      </c>
      <c r="H160" s="487">
        <v>0</v>
      </c>
      <c r="I160" s="482">
        <v>0</v>
      </c>
      <c r="J160" s="486">
        <v>0</v>
      </c>
      <c r="K160" s="481">
        <v>0</v>
      </c>
      <c r="L160" s="486">
        <v>0</v>
      </c>
      <c r="M160" s="482">
        <v>0</v>
      </c>
      <c r="N160" s="487">
        <v>0</v>
      </c>
      <c r="O160" s="482">
        <v>0</v>
      </c>
      <c r="P160" s="486">
        <v>0</v>
      </c>
      <c r="Q160" s="481">
        <v>0</v>
      </c>
      <c r="R160" s="486">
        <v>0</v>
      </c>
      <c r="S160" s="482">
        <v>0</v>
      </c>
      <c r="T160" s="487">
        <v>0</v>
      </c>
      <c r="U160" s="482">
        <v>0</v>
      </c>
      <c r="V160" s="486">
        <v>0</v>
      </c>
      <c r="W160" s="481">
        <v>0</v>
      </c>
      <c r="X160" s="486">
        <v>0</v>
      </c>
      <c r="Y160" s="482">
        <v>0</v>
      </c>
      <c r="Z160" s="487">
        <v>0</v>
      </c>
      <c r="AA160" s="482">
        <v>0</v>
      </c>
      <c r="AB160" s="486">
        <v>0</v>
      </c>
      <c r="AC160" s="481">
        <v>0</v>
      </c>
      <c r="AD160" s="486">
        <v>0</v>
      </c>
      <c r="AE160" s="482">
        <v>0</v>
      </c>
      <c r="AF160" s="487">
        <v>346</v>
      </c>
      <c r="AG160" s="482">
        <v>0.126</v>
      </c>
      <c r="AH160" s="486">
        <v>1840</v>
      </c>
      <c r="AI160" s="481">
        <v>0.67300000000000004</v>
      </c>
      <c r="AJ160" s="486">
        <v>550</v>
      </c>
      <c r="AK160" s="482">
        <v>0.20100000000000001</v>
      </c>
      <c r="AL160" s="487">
        <v>0</v>
      </c>
      <c r="AM160" s="482">
        <v>0</v>
      </c>
      <c r="AN160" s="486">
        <v>0</v>
      </c>
      <c r="AO160" s="481">
        <v>0</v>
      </c>
      <c r="AP160" s="486">
        <v>0</v>
      </c>
      <c r="AQ160" s="482">
        <v>0</v>
      </c>
      <c r="AR160" s="487">
        <v>0</v>
      </c>
      <c r="AS160" s="482">
        <v>0</v>
      </c>
      <c r="AT160" s="486">
        <v>0</v>
      </c>
      <c r="AU160" s="481">
        <v>0</v>
      </c>
      <c r="AV160" s="486">
        <v>0</v>
      </c>
      <c r="AW160" s="482">
        <v>0</v>
      </c>
      <c r="AX160" s="487">
        <v>0</v>
      </c>
      <c r="AY160" s="482">
        <v>0</v>
      </c>
      <c r="AZ160" s="486">
        <v>0</v>
      </c>
      <c r="BA160" s="481">
        <v>0</v>
      </c>
      <c r="BB160" s="486">
        <v>0</v>
      </c>
      <c r="BC160" s="482">
        <v>0</v>
      </c>
      <c r="BD160" s="487">
        <v>0</v>
      </c>
      <c r="BE160" s="482">
        <v>0</v>
      </c>
      <c r="BF160" s="486">
        <v>68</v>
      </c>
      <c r="BG160" s="481">
        <v>1</v>
      </c>
      <c r="BH160" s="486">
        <v>0</v>
      </c>
      <c r="BI160" s="479">
        <v>0</v>
      </c>
      <c r="BJ160" s="487">
        <v>0</v>
      </c>
      <c r="BK160" s="482">
        <v>0</v>
      </c>
      <c r="BL160" s="486">
        <v>0</v>
      </c>
      <c r="BM160" s="481">
        <v>0</v>
      </c>
      <c r="BN160" s="486">
        <v>0</v>
      </c>
      <c r="BO160" s="479">
        <v>0</v>
      </c>
      <c r="BQ160" s="502"/>
      <c r="BS160" s="502"/>
      <c r="BU160" s="502"/>
      <c r="CC160" s="502"/>
      <c r="CE160" s="502"/>
      <c r="CG160" s="502"/>
      <c r="CI160" s="502"/>
      <c r="CK160" s="502"/>
      <c r="CM160" s="502"/>
    </row>
    <row r="161" spans="1:238">
      <c r="A161" s="472" t="s">
        <v>3</v>
      </c>
      <c r="B161" s="423">
        <v>54</v>
      </c>
      <c r="C161" s="446">
        <v>0.20899999999999999</v>
      </c>
      <c r="D161" s="484">
        <v>135</v>
      </c>
      <c r="E161" s="485">
        <v>0.52700000000000002</v>
      </c>
      <c r="F161" s="484">
        <v>67</v>
      </c>
      <c r="G161" s="446">
        <v>0.26300000000000001</v>
      </c>
      <c r="H161" s="423">
        <v>0</v>
      </c>
      <c r="I161" s="446">
        <v>0</v>
      </c>
      <c r="J161" s="484">
        <v>0</v>
      </c>
      <c r="K161" s="485">
        <v>0</v>
      </c>
      <c r="L161" s="484">
        <v>0</v>
      </c>
      <c r="M161" s="446">
        <v>0</v>
      </c>
      <c r="N161" s="423">
        <v>0</v>
      </c>
      <c r="O161" s="446">
        <v>0</v>
      </c>
      <c r="P161" s="484">
        <v>0</v>
      </c>
      <c r="Q161" s="485">
        <v>0</v>
      </c>
      <c r="R161" s="484">
        <v>0</v>
      </c>
      <c r="S161" s="446">
        <v>0</v>
      </c>
      <c r="T161" s="423">
        <v>86</v>
      </c>
      <c r="U161" s="446">
        <v>7.5999999999999998E-2</v>
      </c>
      <c r="V161" s="484">
        <v>685</v>
      </c>
      <c r="W161" s="485">
        <v>0.60699999999999998</v>
      </c>
      <c r="X161" s="484">
        <v>358</v>
      </c>
      <c r="Y161" s="446">
        <v>0.317</v>
      </c>
      <c r="Z161" s="423">
        <v>0</v>
      </c>
      <c r="AA161" s="446">
        <v>0</v>
      </c>
      <c r="AB161" s="484">
        <v>0</v>
      </c>
      <c r="AC161" s="485">
        <v>0</v>
      </c>
      <c r="AD161" s="484">
        <v>0</v>
      </c>
      <c r="AE161" s="446">
        <v>0</v>
      </c>
      <c r="AF161" s="423">
        <v>18004</v>
      </c>
      <c r="AG161" s="446">
        <v>0.20100000000000001</v>
      </c>
      <c r="AH161" s="484">
        <v>52852</v>
      </c>
      <c r="AI161" s="485">
        <v>0.58899999999999997</v>
      </c>
      <c r="AJ161" s="484">
        <v>18828</v>
      </c>
      <c r="AK161" s="446">
        <v>0.21</v>
      </c>
      <c r="AL161" s="423">
        <v>0</v>
      </c>
      <c r="AM161" s="446">
        <v>0</v>
      </c>
      <c r="AN161" s="484">
        <v>0</v>
      </c>
      <c r="AO161" s="485">
        <v>0</v>
      </c>
      <c r="AP161" s="484">
        <v>0</v>
      </c>
      <c r="AQ161" s="446">
        <v>0</v>
      </c>
      <c r="AR161" s="423">
        <v>0</v>
      </c>
      <c r="AS161" s="446">
        <v>0</v>
      </c>
      <c r="AT161" s="484">
        <v>0</v>
      </c>
      <c r="AU161" s="485">
        <v>0</v>
      </c>
      <c r="AV161" s="484">
        <v>0</v>
      </c>
      <c r="AW161" s="446">
        <v>0</v>
      </c>
      <c r="AX161" s="423">
        <v>0</v>
      </c>
      <c r="AY161" s="446">
        <v>0</v>
      </c>
      <c r="AZ161" s="484">
        <v>0</v>
      </c>
      <c r="BA161" s="485">
        <v>0</v>
      </c>
      <c r="BB161" s="484">
        <v>0</v>
      </c>
      <c r="BC161" s="446">
        <v>0</v>
      </c>
      <c r="BD161" s="423">
        <v>115</v>
      </c>
      <c r="BE161" s="446">
        <v>7.8E-2</v>
      </c>
      <c r="BF161" s="484">
        <v>846</v>
      </c>
      <c r="BG161" s="485">
        <v>0.57399999999999995</v>
      </c>
      <c r="BH161" s="484">
        <v>513</v>
      </c>
      <c r="BI161" s="399">
        <v>0.34799999999999998</v>
      </c>
      <c r="BJ161" s="423">
        <v>0</v>
      </c>
      <c r="BK161" s="446">
        <v>0</v>
      </c>
      <c r="BL161" s="484">
        <v>0</v>
      </c>
      <c r="BM161" s="485">
        <v>0</v>
      </c>
      <c r="BN161" s="484">
        <v>72</v>
      </c>
      <c r="BO161" s="399">
        <v>1</v>
      </c>
      <c r="BQ161" s="502"/>
      <c r="BS161" s="502"/>
      <c r="BU161" s="502"/>
      <c r="CC161" s="502"/>
      <c r="CE161" s="502"/>
      <c r="CG161" s="502"/>
      <c r="CI161" s="502"/>
      <c r="CK161" s="502"/>
      <c r="CM161" s="502"/>
    </row>
    <row r="162" spans="1:238">
      <c r="A162" s="471" t="s">
        <v>309</v>
      </c>
      <c r="B162" s="483">
        <v>0</v>
      </c>
      <c r="C162" s="482">
        <v>0</v>
      </c>
      <c r="D162" s="480">
        <v>0</v>
      </c>
      <c r="E162" s="481">
        <v>0</v>
      </c>
      <c r="F162" s="480">
        <v>0</v>
      </c>
      <c r="G162" s="482">
        <v>0</v>
      </c>
      <c r="H162" s="483">
        <v>0</v>
      </c>
      <c r="I162" s="482">
        <v>0</v>
      </c>
      <c r="J162" s="480">
        <v>0</v>
      </c>
      <c r="K162" s="481">
        <v>0</v>
      </c>
      <c r="L162" s="480">
        <v>0</v>
      </c>
      <c r="M162" s="482">
        <v>0</v>
      </c>
      <c r="N162" s="483">
        <v>0</v>
      </c>
      <c r="O162" s="482">
        <v>0</v>
      </c>
      <c r="P162" s="480">
        <v>0</v>
      </c>
      <c r="Q162" s="481">
        <v>0</v>
      </c>
      <c r="R162" s="480">
        <v>0</v>
      </c>
      <c r="S162" s="482">
        <v>0</v>
      </c>
      <c r="T162" s="483">
        <v>0</v>
      </c>
      <c r="U162" s="482">
        <v>0</v>
      </c>
      <c r="V162" s="480">
        <v>0</v>
      </c>
      <c r="W162" s="481">
        <v>0</v>
      </c>
      <c r="X162" s="480">
        <v>0</v>
      </c>
      <c r="Y162" s="482">
        <v>0</v>
      </c>
      <c r="Z162" s="483">
        <v>0</v>
      </c>
      <c r="AA162" s="482">
        <v>0</v>
      </c>
      <c r="AB162" s="480">
        <v>0</v>
      </c>
      <c r="AC162" s="481">
        <v>0</v>
      </c>
      <c r="AD162" s="480">
        <v>0</v>
      </c>
      <c r="AE162" s="482">
        <v>0</v>
      </c>
      <c r="AF162" s="483">
        <v>464</v>
      </c>
      <c r="AG162" s="482">
        <v>0.33300000000000002</v>
      </c>
      <c r="AH162" s="480">
        <v>817</v>
      </c>
      <c r="AI162" s="481">
        <v>0.58599999999999997</v>
      </c>
      <c r="AJ162" s="480">
        <v>112</v>
      </c>
      <c r="AK162" s="482">
        <v>0.08</v>
      </c>
      <c r="AL162" s="483">
        <v>0</v>
      </c>
      <c r="AM162" s="482">
        <v>0</v>
      </c>
      <c r="AN162" s="480">
        <v>0</v>
      </c>
      <c r="AO162" s="481">
        <v>0</v>
      </c>
      <c r="AP162" s="480">
        <v>0</v>
      </c>
      <c r="AQ162" s="482">
        <v>0</v>
      </c>
      <c r="AR162" s="483">
        <v>0</v>
      </c>
      <c r="AS162" s="482">
        <v>0</v>
      </c>
      <c r="AT162" s="480">
        <v>0</v>
      </c>
      <c r="AU162" s="481">
        <v>0</v>
      </c>
      <c r="AV162" s="480">
        <v>0</v>
      </c>
      <c r="AW162" s="482">
        <v>0</v>
      </c>
      <c r="AX162" s="483">
        <v>0</v>
      </c>
      <c r="AY162" s="482">
        <v>0</v>
      </c>
      <c r="AZ162" s="480">
        <v>0</v>
      </c>
      <c r="BA162" s="481">
        <v>0</v>
      </c>
      <c r="BB162" s="480">
        <v>0</v>
      </c>
      <c r="BC162" s="482">
        <v>0</v>
      </c>
      <c r="BD162" s="483">
        <v>0</v>
      </c>
      <c r="BE162" s="482">
        <v>0</v>
      </c>
      <c r="BF162" s="480">
        <v>51</v>
      </c>
      <c r="BG162" s="481">
        <v>0.48399999999999999</v>
      </c>
      <c r="BH162" s="480">
        <v>55</v>
      </c>
      <c r="BI162" s="479">
        <v>0.51600000000000001</v>
      </c>
      <c r="BJ162" s="483">
        <v>0</v>
      </c>
      <c r="BK162" s="482">
        <v>0</v>
      </c>
      <c r="BL162" s="480">
        <v>0</v>
      </c>
      <c r="BM162" s="481">
        <v>0</v>
      </c>
      <c r="BN162" s="480">
        <v>0</v>
      </c>
      <c r="BO162" s="479">
        <v>0</v>
      </c>
      <c r="BQ162" s="502"/>
      <c r="BS162" s="502"/>
      <c r="BU162" s="502"/>
      <c r="CC162" s="502"/>
      <c r="CE162" s="502"/>
      <c r="CG162" s="502"/>
      <c r="CI162" s="502"/>
      <c r="CK162" s="502"/>
      <c r="CM162" s="502"/>
    </row>
    <row r="163" spans="1:238">
      <c r="A163" s="471" t="s">
        <v>308</v>
      </c>
      <c r="B163" s="483">
        <v>8</v>
      </c>
      <c r="C163" s="482">
        <v>1</v>
      </c>
      <c r="D163" s="480">
        <v>0</v>
      </c>
      <c r="E163" s="481">
        <v>0</v>
      </c>
      <c r="F163" s="480">
        <v>0</v>
      </c>
      <c r="G163" s="482">
        <v>0</v>
      </c>
      <c r="H163" s="483">
        <v>0</v>
      </c>
      <c r="I163" s="482">
        <v>0</v>
      </c>
      <c r="J163" s="480">
        <v>0</v>
      </c>
      <c r="K163" s="481">
        <v>0</v>
      </c>
      <c r="L163" s="480">
        <v>0</v>
      </c>
      <c r="M163" s="482">
        <v>0</v>
      </c>
      <c r="N163" s="483">
        <v>0</v>
      </c>
      <c r="O163" s="482">
        <v>0</v>
      </c>
      <c r="P163" s="480">
        <v>0</v>
      </c>
      <c r="Q163" s="481">
        <v>0</v>
      </c>
      <c r="R163" s="480">
        <v>0</v>
      </c>
      <c r="S163" s="482">
        <v>0</v>
      </c>
      <c r="T163" s="483">
        <v>6</v>
      </c>
      <c r="U163" s="482">
        <v>0.17100000000000001</v>
      </c>
      <c r="V163" s="480">
        <v>21</v>
      </c>
      <c r="W163" s="481">
        <v>0.61</v>
      </c>
      <c r="X163" s="480">
        <v>8</v>
      </c>
      <c r="Y163" s="482">
        <v>0.219</v>
      </c>
      <c r="Z163" s="483">
        <v>0</v>
      </c>
      <c r="AA163" s="482">
        <v>0</v>
      </c>
      <c r="AB163" s="480">
        <v>0</v>
      </c>
      <c r="AC163" s="481">
        <v>0</v>
      </c>
      <c r="AD163" s="480">
        <v>0</v>
      </c>
      <c r="AE163" s="482">
        <v>0</v>
      </c>
      <c r="AF163" s="483">
        <v>698</v>
      </c>
      <c r="AG163" s="482">
        <v>0.13300000000000001</v>
      </c>
      <c r="AH163" s="480">
        <v>2708</v>
      </c>
      <c r="AI163" s="481">
        <v>0.51600000000000001</v>
      </c>
      <c r="AJ163" s="480">
        <v>1847</v>
      </c>
      <c r="AK163" s="482">
        <v>0.35199999999999998</v>
      </c>
      <c r="AL163" s="483">
        <v>0</v>
      </c>
      <c r="AM163" s="482">
        <v>0</v>
      </c>
      <c r="AN163" s="480">
        <v>0</v>
      </c>
      <c r="AO163" s="481">
        <v>0</v>
      </c>
      <c r="AP163" s="480">
        <v>0</v>
      </c>
      <c r="AQ163" s="482">
        <v>0</v>
      </c>
      <c r="AR163" s="483">
        <v>0</v>
      </c>
      <c r="AS163" s="482">
        <v>0</v>
      </c>
      <c r="AT163" s="480">
        <v>0</v>
      </c>
      <c r="AU163" s="481">
        <v>0</v>
      </c>
      <c r="AV163" s="480">
        <v>0</v>
      </c>
      <c r="AW163" s="482">
        <v>0</v>
      </c>
      <c r="AX163" s="483">
        <v>0</v>
      </c>
      <c r="AY163" s="482">
        <v>0</v>
      </c>
      <c r="AZ163" s="480">
        <v>0</v>
      </c>
      <c r="BA163" s="481">
        <v>0</v>
      </c>
      <c r="BB163" s="480">
        <v>0</v>
      </c>
      <c r="BC163" s="482">
        <v>0</v>
      </c>
      <c r="BD163" s="483">
        <v>0</v>
      </c>
      <c r="BE163" s="482">
        <v>0</v>
      </c>
      <c r="BF163" s="480">
        <v>18</v>
      </c>
      <c r="BG163" s="481">
        <v>0.24199999999999999</v>
      </c>
      <c r="BH163" s="480">
        <v>57</v>
      </c>
      <c r="BI163" s="479">
        <v>0.75800000000000001</v>
      </c>
      <c r="BJ163" s="483">
        <v>0</v>
      </c>
      <c r="BK163" s="482">
        <v>0</v>
      </c>
      <c r="BL163" s="480">
        <v>0</v>
      </c>
      <c r="BM163" s="481">
        <v>0</v>
      </c>
      <c r="BN163" s="480">
        <v>0</v>
      </c>
      <c r="BO163" s="479">
        <v>0</v>
      </c>
      <c r="BQ163" s="502"/>
      <c r="BS163" s="502"/>
      <c r="BU163" s="502"/>
      <c r="CC163" s="502"/>
      <c r="CE163" s="502"/>
      <c r="CG163" s="502"/>
      <c r="CI163" s="502"/>
      <c r="CK163" s="502"/>
      <c r="CM163" s="502"/>
    </row>
    <row r="164" spans="1:238">
      <c r="A164" s="471" t="s">
        <v>307</v>
      </c>
      <c r="B164" s="483">
        <v>0</v>
      </c>
      <c r="C164" s="482">
        <v>0</v>
      </c>
      <c r="D164" s="480">
        <v>0</v>
      </c>
      <c r="E164" s="481">
        <v>0</v>
      </c>
      <c r="F164" s="480">
        <v>0</v>
      </c>
      <c r="G164" s="482">
        <v>0</v>
      </c>
      <c r="H164" s="483">
        <v>0</v>
      </c>
      <c r="I164" s="482">
        <v>0</v>
      </c>
      <c r="J164" s="480">
        <v>0</v>
      </c>
      <c r="K164" s="481">
        <v>0</v>
      </c>
      <c r="L164" s="480">
        <v>0</v>
      </c>
      <c r="M164" s="482">
        <v>0</v>
      </c>
      <c r="N164" s="483">
        <v>0</v>
      </c>
      <c r="O164" s="482">
        <v>0</v>
      </c>
      <c r="P164" s="480">
        <v>0</v>
      </c>
      <c r="Q164" s="481">
        <v>0</v>
      </c>
      <c r="R164" s="480">
        <v>0</v>
      </c>
      <c r="S164" s="482">
        <v>0</v>
      </c>
      <c r="T164" s="483">
        <v>0</v>
      </c>
      <c r="U164" s="482">
        <v>0</v>
      </c>
      <c r="V164" s="480">
        <v>191</v>
      </c>
      <c r="W164" s="481">
        <v>0.66700000000000004</v>
      </c>
      <c r="X164" s="480">
        <v>96</v>
      </c>
      <c r="Y164" s="482">
        <v>0.33300000000000002</v>
      </c>
      <c r="Z164" s="483">
        <v>0</v>
      </c>
      <c r="AA164" s="482">
        <v>0</v>
      </c>
      <c r="AB164" s="480">
        <v>0</v>
      </c>
      <c r="AC164" s="481">
        <v>0</v>
      </c>
      <c r="AD164" s="480">
        <v>0</v>
      </c>
      <c r="AE164" s="482">
        <v>0</v>
      </c>
      <c r="AF164" s="483">
        <v>2444</v>
      </c>
      <c r="AG164" s="482">
        <v>0.251</v>
      </c>
      <c r="AH164" s="480">
        <v>5464</v>
      </c>
      <c r="AI164" s="481">
        <v>0.56200000000000006</v>
      </c>
      <c r="AJ164" s="480">
        <v>1823</v>
      </c>
      <c r="AK164" s="482">
        <v>0.187</v>
      </c>
      <c r="AL164" s="483">
        <v>0</v>
      </c>
      <c r="AM164" s="482">
        <v>0</v>
      </c>
      <c r="AN164" s="480">
        <v>0</v>
      </c>
      <c r="AO164" s="481">
        <v>0</v>
      </c>
      <c r="AP164" s="480">
        <v>0</v>
      </c>
      <c r="AQ164" s="482">
        <v>0</v>
      </c>
      <c r="AR164" s="483">
        <v>0</v>
      </c>
      <c r="AS164" s="482">
        <v>0</v>
      </c>
      <c r="AT164" s="480">
        <v>0</v>
      </c>
      <c r="AU164" s="481">
        <v>0</v>
      </c>
      <c r="AV164" s="480">
        <v>0</v>
      </c>
      <c r="AW164" s="482">
        <v>0</v>
      </c>
      <c r="AX164" s="483">
        <v>0</v>
      </c>
      <c r="AY164" s="482">
        <v>0</v>
      </c>
      <c r="AZ164" s="480">
        <v>0</v>
      </c>
      <c r="BA164" s="481">
        <v>0</v>
      </c>
      <c r="BB164" s="480">
        <v>0</v>
      </c>
      <c r="BC164" s="482">
        <v>0</v>
      </c>
      <c r="BD164" s="483">
        <v>0</v>
      </c>
      <c r="BE164" s="482">
        <v>0</v>
      </c>
      <c r="BF164" s="480">
        <v>287</v>
      </c>
      <c r="BG164" s="481">
        <v>1</v>
      </c>
      <c r="BH164" s="480">
        <v>0</v>
      </c>
      <c r="BI164" s="479">
        <v>0</v>
      </c>
      <c r="BJ164" s="483">
        <v>0</v>
      </c>
      <c r="BK164" s="482">
        <v>0</v>
      </c>
      <c r="BL164" s="480">
        <v>0</v>
      </c>
      <c r="BM164" s="481">
        <v>0</v>
      </c>
      <c r="BN164" s="480">
        <v>72</v>
      </c>
      <c r="BO164" s="479">
        <v>1</v>
      </c>
    </row>
    <row r="165" spans="1:238">
      <c r="A165" s="471" t="s">
        <v>306</v>
      </c>
      <c r="B165" s="483">
        <v>0</v>
      </c>
      <c r="C165" s="482">
        <v>0</v>
      </c>
      <c r="D165" s="480">
        <v>72</v>
      </c>
      <c r="E165" s="481">
        <v>1</v>
      </c>
      <c r="F165" s="480">
        <v>0</v>
      </c>
      <c r="G165" s="482">
        <v>0</v>
      </c>
      <c r="H165" s="483">
        <v>0</v>
      </c>
      <c r="I165" s="482">
        <v>0</v>
      </c>
      <c r="J165" s="480">
        <v>0</v>
      </c>
      <c r="K165" s="481">
        <v>0</v>
      </c>
      <c r="L165" s="480">
        <v>0</v>
      </c>
      <c r="M165" s="482">
        <v>0</v>
      </c>
      <c r="N165" s="483">
        <v>0</v>
      </c>
      <c r="O165" s="482">
        <v>0</v>
      </c>
      <c r="P165" s="480">
        <v>0</v>
      </c>
      <c r="Q165" s="481">
        <v>0</v>
      </c>
      <c r="R165" s="480">
        <v>0</v>
      </c>
      <c r="S165" s="482">
        <v>0</v>
      </c>
      <c r="T165" s="483">
        <v>0</v>
      </c>
      <c r="U165" s="482">
        <v>0</v>
      </c>
      <c r="V165" s="480">
        <v>0</v>
      </c>
      <c r="W165" s="481">
        <v>0</v>
      </c>
      <c r="X165" s="480">
        <v>91</v>
      </c>
      <c r="Y165" s="482">
        <v>1</v>
      </c>
      <c r="Z165" s="483">
        <v>0</v>
      </c>
      <c r="AA165" s="482">
        <v>0</v>
      </c>
      <c r="AB165" s="480">
        <v>0</v>
      </c>
      <c r="AC165" s="481">
        <v>0</v>
      </c>
      <c r="AD165" s="480">
        <v>0</v>
      </c>
      <c r="AE165" s="482">
        <v>0</v>
      </c>
      <c r="AF165" s="483">
        <v>1738</v>
      </c>
      <c r="AG165" s="482">
        <v>0.215</v>
      </c>
      <c r="AH165" s="480">
        <v>5368</v>
      </c>
      <c r="AI165" s="481">
        <v>0.66500000000000004</v>
      </c>
      <c r="AJ165" s="480">
        <v>966</v>
      </c>
      <c r="AK165" s="482">
        <v>0.12</v>
      </c>
      <c r="AL165" s="483">
        <v>0</v>
      </c>
      <c r="AM165" s="482">
        <v>0</v>
      </c>
      <c r="AN165" s="480">
        <v>0</v>
      </c>
      <c r="AO165" s="481">
        <v>0</v>
      </c>
      <c r="AP165" s="480">
        <v>0</v>
      </c>
      <c r="AQ165" s="482">
        <v>0</v>
      </c>
      <c r="AR165" s="483">
        <v>0</v>
      </c>
      <c r="AS165" s="482">
        <v>0</v>
      </c>
      <c r="AT165" s="480">
        <v>0</v>
      </c>
      <c r="AU165" s="481">
        <v>0</v>
      </c>
      <c r="AV165" s="480">
        <v>0</v>
      </c>
      <c r="AW165" s="482">
        <v>0</v>
      </c>
      <c r="AX165" s="483">
        <v>0</v>
      </c>
      <c r="AY165" s="482">
        <v>0</v>
      </c>
      <c r="AZ165" s="480">
        <v>0</v>
      </c>
      <c r="BA165" s="481">
        <v>0</v>
      </c>
      <c r="BB165" s="480">
        <v>0</v>
      </c>
      <c r="BC165" s="482">
        <v>0</v>
      </c>
      <c r="BD165" s="483">
        <v>0</v>
      </c>
      <c r="BE165" s="482">
        <v>0</v>
      </c>
      <c r="BF165" s="480">
        <v>108</v>
      </c>
      <c r="BG165" s="481">
        <v>0.70399999999999996</v>
      </c>
      <c r="BH165" s="480">
        <v>45</v>
      </c>
      <c r="BI165" s="479">
        <v>0.29599999999999999</v>
      </c>
      <c r="BJ165" s="483">
        <v>0</v>
      </c>
      <c r="BK165" s="482">
        <v>0</v>
      </c>
      <c r="BL165" s="480">
        <v>0</v>
      </c>
      <c r="BM165" s="481">
        <v>0</v>
      </c>
      <c r="BN165" s="480">
        <v>0</v>
      </c>
      <c r="BO165" s="479">
        <v>0</v>
      </c>
    </row>
    <row r="166" spans="1:238">
      <c r="A166" s="471" t="s">
        <v>305</v>
      </c>
      <c r="B166" s="483">
        <v>46</v>
      </c>
      <c r="C166" s="482">
        <v>0.31</v>
      </c>
      <c r="D166" s="480">
        <v>46</v>
      </c>
      <c r="E166" s="481">
        <v>0.31</v>
      </c>
      <c r="F166" s="480">
        <v>56</v>
      </c>
      <c r="G166" s="482">
        <v>0.38</v>
      </c>
      <c r="H166" s="483">
        <v>0</v>
      </c>
      <c r="I166" s="482">
        <v>0</v>
      </c>
      <c r="J166" s="480">
        <v>0</v>
      </c>
      <c r="K166" s="481">
        <v>0</v>
      </c>
      <c r="L166" s="480">
        <v>0</v>
      </c>
      <c r="M166" s="482">
        <v>0</v>
      </c>
      <c r="N166" s="483">
        <v>0</v>
      </c>
      <c r="O166" s="482">
        <v>0</v>
      </c>
      <c r="P166" s="480">
        <v>0</v>
      </c>
      <c r="Q166" s="481">
        <v>0</v>
      </c>
      <c r="R166" s="480">
        <v>0</v>
      </c>
      <c r="S166" s="482">
        <v>0</v>
      </c>
      <c r="T166" s="483">
        <v>56</v>
      </c>
      <c r="U166" s="482">
        <v>0.26100000000000001</v>
      </c>
      <c r="V166" s="480">
        <v>159</v>
      </c>
      <c r="W166" s="481">
        <v>0.73899999999999999</v>
      </c>
      <c r="X166" s="480">
        <v>0</v>
      </c>
      <c r="Y166" s="482">
        <v>0</v>
      </c>
      <c r="Z166" s="483">
        <v>0</v>
      </c>
      <c r="AA166" s="482">
        <v>0</v>
      </c>
      <c r="AB166" s="480">
        <v>0</v>
      </c>
      <c r="AC166" s="481">
        <v>0</v>
      </c>
      <c r="AD166" s="480">
        <v>0</v>
      </c>
      <c r="AE166" s="482">
        <v>0</v>
      </c>
      <c r="AF166" s="483">
        <v>2186</v>
      </c>
      <c r="AG166" s="482">
        <v>0.16600000000000001</v>
      </c>
      <c r="AH166" s="480">
        <v>7745</v>
      </c>
      <c r="AI166" s="481">
        <v>0.58899999999999997</v>
      </c>
      <c r="AJ166" s="480">
        <v>3207</v>
      </c>
      <c r="AK166" s="482">
        <v>0.24399999999999999</v>
      </c>
      <c r="AL166" s="483">
        <v>0</v>
      </c>
      <c r="AM166" s="482">
        <v>0</v>
      </c>
      <c r="AN166" s="480">
        <v>0</v>
      </c>
      <c r="AO166" s="481">
        <v>0</v>
      </c>
      <c r="AP166" s="480">
        <v>0</v>
      </c>
      <c r="AQ166" s="482">
        <v>0</v>
      </c>
      <c r="AR166" s="483">
        <v>0</v>
      </c>
      <c r="AS166" s="482">
        <v>0</v>
      </c>
      <c r="AT166" s="480">
        <v>0</v>
      </c>
      <c r="AU166" s="481">
        <v>0</v>
      </c>
      <c r="AV166" s="480">
        <v>0</v>
      </c>
      <c r="AW166" s="482">
        <v>0</v>
      </c>
      <c r="AX166" s="483">
        <v>0</v>
      </c>
      <c r="AY166" s="482">
        <v>0</v>
      </c>
      <c r="AZ166" s="480">
        <v>0</v>
      </c>
      <c r="BA166" s="481">
        <v>0</v>
      </c>
      <c r="BB166" s="480">
        <v>0</v>
      </c>
      <c r="BC166" s="482">
        <v>0</v>
      </c>
      <c r="BD166" s="483">
        <v>56</v>
      </c>
      <c r="BE166" s="482">
        <v>0.36199999999999999</v>
      </c>
      <c r="BF166" s="480">
        <v>99</v>
      </c>
      <c r="BG166" s="481">
        <v>0.63800000000000001</v>
      </c>
      <c r="BH166" s="480">
        <v>0</v>
      </c>
      <c r="BI166" s="479">
        <v>0</v>
      </c>
      <c r="BJ166" s="483">
        <v>0</v>
      </c>
      <c r="BK166" s="482">
        <v>0</v>
      </c>
      <c r="BL166" s="480">
        <v>0</v>
      </c>
      <c r="BM166" s="481">
        <v>0</v>
      </c>
      <c r="BN166" s="480">
        <v>0</v>
      </c>
      <c r="BO166" s="479">
        <v>0</v>
      </c>
    </row>
    <row r="167" spans="1:238" ht="24">
      <c r="A167" s="471" t="s">
        <v>304</v>
      </c>
      <c r="B167" s="483">
        <v>0</v>
      </c>
      <c r="C167" s="482">
        <v>0</v>
      </c>
      <c r="D167" s="480">
        <v>17</v>
      </c>
      <c r="E167" s="481">
        <v>0.59899999999999998</v>
      </c>
      <c r="F167" s="480">
        <v>11</v>
      </c>
      <c r="G167" s="482">
        <v>0.40100000000000002</v>
      </c>
      <c r="H167" s="483">
        <v>0</v>
      </c>
      <c r="I167" s="482">
        <v>0</v>
      </c>
      <c r="J167" s="480">
        <v>0</v>
      </c>
      <c r="K167" s="481">
        <v>0</v>
      </c>
      <c r="L167" s="480">
        <v>0</v>
      </c>
      <c r="M167" s="482">
        <v>0</v>
      </c>
      <c r="N167" s="483">
        <v>0</v>
      </c>
      <c r="O167" s="482">
        <v>0</v>
      </c>
      <c r="P167" s="480">
        <v>0</v>
      </c>
      <c r="Q167" s="481">
        <v>0</v>
      </c>
      <c r="R167" s="480">
        <v>0</v>
      </c>
      <c r="S167" s="482">
        <v>0</v>
      </c>
      <c r="T167" s="483">
        <v>0</v>
      </c>
      <c r="U167" s="482">
        <v>0</v>
      </c>
      <c r="V167" s="480">
        <v>126</v>
      </c>
      <c r="W167" s="481">
        <v>0.64300000000000002</v>
      </c>
      <c r="X167" s="480">
        <v>70</v>
      </c>
      <c r="Y167" s="482">
        <v>0.35699999999999998</v>
      </c>
      <c r="Z167" s="483">
        <v>0</v>
      </c>
      <c r="AA167" s="482">
        <v>0</v>
      </c>
      <c r="AB167" s="480">
        <v>0</v>
      </c>
      <c r="AC167" s="481">
        <v>0</v>
      </c>
      <c r="AD167" s="480">
        <v>0</v>
      </c>
      <c r="AE167" s="482">
        <v>0</v>
      </c>
      <c r="AF167" s="483">
        <v>4569</v>
      </c>
      <c r="AG167" s="482">
        <v>0.21199999999999999</v>
      </c>
      <c r="AH167" s="480">
        <v>12633</v>
      </c>
      <c r="AI167" s="481">
        <v>0.58599999999999997</v>
      </c>
      <c r="AJ167" s="480">
        <v>4364</v>
      </c>
      <c r="AK167" s="482">
        <v>0.20200000000000001</v>
      </c>
      <c r="AL167" s="483">
        <v>0</v>
      </c>
      <c r="AM167" s="482">
        <v>0</v>
      </c>
      <c r="AN167" s="480">
        <v>0</v>
      </c>
      <c r="AO167" s="481">
        <v>0</v>
      </c>
      <c r="AP167" s="480">
        <v>0</v>
      </c>
      <c r="AQ167" s="482">
        <v>0</v>
      </c>
      <c r="AR167" s="483">
        <v>0</v>
      </c>
      <c r="AS167" s="482">
        <v>0</v>
      </c>
      <c r="AT167" s="480">
        <v>0</v>
      </c>
      <c r="AU167" s="481">
        <v>0</v>
      </c>
      <c r="AV167" s="480">
        <v>0</v>
      </c>
      <c r="AW167" s="482">
        <v>0</v>
      </c>
      <c r="AX167" s="483">
        <v>0</v>
      </c>
      <c r="AY167" s="482">
        <v>0</v>
      </c>
      <c r="AZ167" s="480">
        <v>0</v>
      </c>
      <c r="BA167" s="481">
        <v>0</v>
      </c>
      <c r="BB167" s="480">
        <v>0</v>
      </c>
      <c r="BC167" s="482">
        <v>0</v>
      </c>
      <c r="BD167" s="483">
        <v>5</v>
      </c>
      <c r="BE167" s="482">
        <v>4.2000000000000003E-2</v>
      </c>
      <c r="BF167" s="480">
        <v>74</v>
      </c>
      <c r="BG167" s="481">
        <v>0.56200000000000006</v>
      </c>
      <c r="BH167" s="480">
        <v>52</v>
      </c>
      <c r="BI167" s="479">
        <v>0.39600000000000002</v>
      </c>
      <c r="BJ167" s="483">
        <v>0</v>
      </c>
      <c r="BK167" s="482">
        <v>0</v>
      </c>
      <c r="BL167" s="480">
        <v>0</v>
      </c>
      <c r="BM167" s="481">
        <v>0</v>
      </c>
      <c r="BN167" s="480">
        <v>0</v>
      </c>
      <c r="BO167" s="479">
        <v>0</v>
      </c>
    </row>
    <row r="168" spans="1:238" ht="24">
      <c r="A168" s="471" t="s">
        <v>303</v>
      </c>
      <c r="B168" s="483">
        <v>0</v>
      </c>
      <c r="C168" s="482">
        <v>0</v>
      </c>
      <c r="D168" s="480">
        <v>0</v>
      </c>
      <c r="E168" s="481">
        <v>0</v>
      </c>
      <c r="F168" s="480">
        <v>0</v>
      </c>
      <c r="G168" s="482">
        <v>0</v>
      </c>
      <c r="H168" s="483">
        <v>0</v>
      </c>
      <c r="I168" s="482">
        <v>0</v>
      </c>
      <c r="J168" s="480">
        <v>0</v>
      </c>
      <c r="K168" s="481">
        <v>0</v>
      </c>
      <c r="L168" s="480">
        <v>0</v>
      </c>
      <c r="M168" s="482">
        <v>0</v>
      </c>
      <c r="N168" s="483">
        <v>0</v>
      </c>
      <c r="O168" s="482">
        <v>0</v>
      </c>
      <c r="P168" s="480">
        <v>0</v>
      </c>
      <c r="Q168" s="481">
        <v>0</v>
      </c>
      <c r="R168" s="480">
        <v>0</v>
      </c>
      <c r="S168" s="482">
        <v>0</v>
      </c>
      <c r="T168" s="483">
        <v>24</v>
      </c>
      <c r="U168" s="482">
        <v>9.8000000000000004E-2</v>
      </c>
      <c r="V168" s="480">
        <v>128</v>
      </c>
      <c r="W168" s="481">
        <v>0.52100000000000002</v>
      </c>
      <c r="X168" s="480">
        <v>94</v>
      </c>
      <c r="Y168" s="482">
        <v>0.38100000000000001</v>
      </c>
      <c r="Z168" s="483">
        <v>0</v>
      </c>
      <c r="AA168" s="482">
        <v>0</v>
      </c>
      <c r="AB168" s="480">
        <v>0</v>
      </c>
      <c r="AC168" s="481">
        <v>0</v>
      </c>
      <c r="AD168" s="480">
        <v>0</v>
      </c>
      <c r="AE168" s="482">
        <v>0</v>
      </c>
      <c r="AF168" s="483">
        <v>5422</v>
      </c>
      <c r="AG168" s="482">
        <v>0.191</v>
      </c>
      <c r="AH168" s="480">
        <v>16890</v>
      </c>
      <c r="AI168" s="481">
        <v>0.59499999999999997</v>
      </c>
      <c r="AJ168" s="480">
        <v>6063</v>
      </c>
      <c r="AK168" s="482">
        <v>0.214</v>
      </c>
      <c r="AL168" s="483">
        <v>0</v>
      </c>
      <c r="AM168" s="482">
        <v>0</v>
      </c>
      <c r="AN168" s="480">
        <v>0</v>
      </c>
      <c r="AO168" s="481">
        <v>0</v>
      </c>
      <c r="AP168" s="480">
        <v>0</v>
      </c>
      <c r="AQ168" s="482">
        <v>0</v>
      </c>
      <c r="AR168" s="483">
        <v>0</v>
      </c>
      <c r="AS168" s="482">
        <v>0</v>
      </c>
      <c r="AT168" s="480">
        <v>0</v>
      </c>
      <c r="AU168" s="481">
        <v>0</v>
      </c>
      <c r="AV168" s="480">
        <v>0</v>
      </c>
      <c r="AW168" s="482">
        <v>0</v>
      </c>
      <c r="AX168" s="483">
        <v>0</v>
      </c>
      <c r="AY168" s="482">
        <v>0</v>
      </c>
      <c r="AZ168" s="480">
        <v>0</v>
      </c>
      <c r="BA168" s="481">
        <v>0</v>
      </c>
      <c r="BB168" s="480">
        <v>0</v>
      </c>
      <c r="BC168" s="482">
        <v>0</v>
      </c>
      <c r="BD168" s="483">
        <v>54</v>
      </c>
      <c r="BE168" s="482">
        <v>0.106</v>
      </c>
      <c r="BF168" s="480">
        <v>208</v>
      </c>
      <c r="BG168" s="481">
        <v>0.41199999999999998</v>
      </c>
      <c r="BH168" s="480">
        <v>244</v>
      </c>
      <c r="BI168" s="479">
        <v>0.48199999999999998</v>
      </c>
      <c r="BJ168" s="483">
        <v>0</v>
      </c>
      <c r="BK168" s="482">
        <v>0</v>
      </c>
      <c r="BL168" s="480">
        <v>0</v>
      </c>
      <c r="BM168" s="481">
        <v>0</v>
      </c>
      <c r="BN168" s="480">
        <v>0</v>
      </c>
      <c r="BO168" s="479">
        <v>0</v>
      </c>
    </row>
    <row r="169" spans="1:238" ht="15.75" thickBot="1">
      <c r="A169" s="465" t="s">
        <v>302</v>
      </c>
      <c r="B169" s="478">
        <v>0</v>
      </c>
      <c r="C169" s="477">
        <v>0</v>
      </c>
      <c r="D169" s="475">
        <v>0</v>
      </c>
      <c r="E169" s="476">
        <v>0</v>
      </c>
      <c r="F169" s="475">
        <v>0</v>
      </c>
      <c r="G169" s="474">
        <v>0</v>
      </c>
      <c r="H169" s="478">
        <v>0</v>
      </c>
      <c r="I169" s="477">
        <v>0</v>
      </c>
      <c r="J169" s="475">
        <v>0</v>
      </c>
      <c r="K169" s="476">
        <v>0</v>
      </c>
      <c r="L169" s="475">
        <v>0</v>
      </c>
      <c r="M169" s="474">
        <v>0</v>
      </c>
      <c r="N169" s="478">
        <v>0</v>
      </c>
      <c r="O169" s="477">
        <v>0</v>
      </c>
      <c r="P169" s="475">
        <v>0</v>
      </c>
      <c r="Q169" s="476">
        <v>0</v>
      </c>
      <c r="R169" s="475">
        <v>0</v>
      </c>
      <c r="S169" s="474">
        <v>0</v>
      </c>
      <c r="T169" s="478">
        <v>0</v>
      </c>
      <c r="U169" s="477">
        <v>0</v>
      </c>
      <c r="V169" s="475">
        <v>59</v>
      </c>
      <c r="W169" s="476">
        <v>1</v>
      </c>
      <c r="X169" s="475">
        <v>0</v>
      </c>
      <c r="Y169" s="474">
        <v>0</v>
      </c>
      <c r="Z169" s="478">
        <v>0</v>
      </c>
      <c r="AA169" s="477">
        <v>0</v>
      </c>
      <c r="AB169" s="475">
        <v>0</v>
      </c>
      <c r="AC169" s="476">
        <v>0</v>
      </c>
      <c r="AD169" s="475">
        <v>0</v>
      </c>
      <c r="AE169" s="474">
        <v>0</v>
      </c>
      <c r="AF169" s="478">
        <v>482</v>
      </c>
      <c r="AG169" s="477">
        <v>0.224</v>
      </c>
      <c r="AH169" s="475">
        <v>1227</v>
      </c>
      <c r="AI169" s="476">
        <v>0.56899999999999995</v>
      </c>
      <c r="AJ169" s="475">
        <v>446</v>
      </c>
      <c r="AK169" s="474">
        <v>0.20699999999999999</v>
      </c>
      <c r="AL169" s="478">
        <v>0</v>
      </c>
      <c r="AM169" s="477">
        <v>0</v>
      </c>
      <c r="AN169" s="475">
        <v>0</v>
      </c>
      <c r="AO169" s="476">
        <v>0</v>
      </c>
      <c r="AP169" s="475">
        <v>0</v>
      </c>
      <c r="AQ169" s="474">
        <v>0</v>
      </c>
      <c r="AR169" s="478">
        <v>0</v>
      </c>
      <c r="AS169" s="477">
        <v>0</v>
      </c>
      <c r="AT169" s="475">
        <v>0</v>
      </c>
      <c r="AU169" s="476">
        <v>0</v>
      </c>
      <c r="AV169" s="475">
        <v>0</v>
      </c>
      <c r="AW169" s="474">
        <v>0</v>
      </c>
      <c r="AX169" s="478">
        <v>0</v>
      </c>
      <c r="AY169" s="477">
        <v>0</v>
      </c>
      <c r="AZ169" s="475">
        <v>0</v>
      </c>
      <c r="BA169" s="476">
        <v>0</v>
      </c>
      <c r="BB169" s="475">
        <v>0</v>
      </c>
      <c r="BC169" s="474">
        <v>0</v>
      </c>
      <c r="BD169" s="478">
        <v>0</v>
      </c>
      <c r="BE169" s="477">
        <v>0</v>
      </c>
      <c r="BF169" s="475">
        <v>0</v>
      </c>
      <c r="BG169" s="476">
        <v>0</v>
      </c>
      <c r="BH169" s="475">
        <v>59</v>
      </c>
      <c r="BI169" s="474">
        <v>1</v>
      </c>
      <c r="BJ169" s="478">
        <v>0</v>
      </c>
      <c r="BK169" s="477">
        <v>0</v>
      </c>
      <c r="BL169" s="475">
        <v>0</v>
      </c>
      <c r="BM169" s="476">
        <v>0</v>
      </c>
      <c r="BN169" s="475">
        <v>0</v>
      </c>
      <c r="BO169" s="474">
        <v>0</v>
      </c>
    </row>
    <row r="174" spans="1:238" ht="15.75" thickBot="1">
      <c r="A174" s="783" t="s">
        <v>283</v>
      </c>
      <c r="B174" s="783"/>
      <c r="C174" s="783"/>
      <c r="D174" s="783"/>
      <c r="E174" s="783"/>
      <c r="F174" s="783"/>
      <c r="G174" s="783"/>
      <c r="H174" s="783"/>
      <c r="I174" s="783"/>
      <c r="J174" s="783"/>
      <c r="K174" s="783"/>
      <c r="L174" s="783"/>
      <c r="M174" s="783"/>
      <c r="N174" s="783"/>
      <c r="O174" s="783"/>
      <c r="P174" s="783"/>
      <c r="Q174" s="783"/>
      <c r="R174" s="783"/>
      <c r="S174" s="783"/>
      <c r="T174" s="783"/>
      <c r="U174" s="783"/>
      <c r="V174" s="783"/>
      <c r="W174" s="783"/>
      <c r="X174" s="783"/>
      <c r="Y174" s="783"/>
      <c r="Z174" s="783"/>
      <c r="AA174" s="783"/>
      <c r="AB174" s="783"/>
      <c r="AC174" s="783"/>
      <c r="AD174" s="783"/>
      <c r="AE174" s="783"/>
      <c r="AF174" s="783"/>
      <c r="AG174" s="783"/>
      <c r="AH174" s="783"/>
      <c r="AI174" s="783"/>
      <c r="AJ174" s="783"/>
      <c r="AK174" s="783"/>
      <c r="AL174" s="783"/>
      <c r="AM174" s="783"/>
      <c r="AN174" s="783"/>
      <c r="AO174" s="783"/>
      <c r="AP174" s="783"/>
      <c r="AQ174" s="783"/>
      <c r="AR174" s="783"/>
      <c r="AS174" s="783"/>
      <c r="AT174" s="783"/>
      <c r="AU174" s="783"/>
      <c r="AV174" s="783"/>
      <c r="AW174" s="783"/>
      <c r="AX174" s="783"/>
      <c r="AY174" s="783"/>
      <c r="AZ174" s="783"/>
      <c r="BA174" s="783"/>
      <c r="BB174" s="783"/>
      <c r="BC174" s="783"/>
      <c r="BD174" s="783"/>
      <c r="BE174" s="783"/>
      <c r="BF174" s="783"/>
      <c r="BG174" s="783"/>
      <c r="BH174" s="783"/>
      <c r="BI174" s="783"/>
      <c r="BJ174" s="783"/>
      <c r="BK174" s="783"/>
      <c r="BL174" s="783"/>
      <c r="BM174" s="783"/>
      <c r="BN174" s="783"/>
      <c r="BO174" s="783"/>
      <c r="BP174" s="783"/>
      <c r="BQ174" s="783"/>
      <c r="BR174" s="783"/>
      <c r="BS174" s="783"/>
      <c r="BT174" s="783"/>
      <c r="BU174" s="783"/>
      <c r="BV174" s="783"/>
      <c r="BW174" s="783"/>
      <c r="BX174" s="783"/>
      <c r="BY174" s="783"/>
      <c r="BZ174" s="783"/>
      <c r="CA174" s="783"/>
      <c r="ID174" t="s">
        <v>283</v>
      </c>
    </row>
    <row r="175" spans="1:238" ht="15" customHeight="1">
      <c r="A175" s="918" t="s">
        <v>311</v>
      </c>
      <c r="B175" s="789" t="s">
        <v>275</v>
      </c>
      <c r="C175" s="789"/>
      <c r="D175" s="789"/>
      <c r="E175" s="789"/>
      <c r="F175" s="789"/>
      <c r="G175" s="789"/>
      <c r="H175" s="789" t="s">
        <v>274</v>
      </c>
      <c r="I175" s="789"/>
      <c r="J175" s="789"/>
      <c r="K175" s="789"/>
      <c r="L175" s="789"/>
      <c r="M175" s="789"/>
      <c r="N175" s="789" t="s">
        <v>273</v>
      </c>
      <c r="O175" s="789"/>
      <c r="P175" s="789"/>
      <c r="Q175" s="789"/>
      <c r="R175" s="789"/>
      <c r="S175" s="789"/>
      <c r="T175" s="789" t="s">
        <v>272</v>
      </c>
      <c r="U175" s="789"/>
      <c r="V175" s="789"/>
      <c r="W175" s="789"/>
      <c r="X175" s="789"/>
      <c r="Y175" s="789"/>
      <c r="Z175" s="789" t="s">
        <v>271</v>
      </c>
      <c r="AA175" s="789"/>
      <c r="AB175" s="789"/>
      <c r="AC175" s="789"/>
      <c r="AD175" s="789"/>
      <c r="AE175" s="789"/>
      <c r="AF175" s="789" t="s">
        <v>270</v>
      </c>
      <c r="AG175" s="789"/>
      <c r="AH175" s="789"/>
      <c r="AI175" s="789"/>
      <c r="AJ175" s="789"/>
      <c r="AK175" s="789"/>
      <c r="AL175" s="789" t="s">
        <v>269</v>
      </c>
      <c r="AM175" s="789"/>
      <c r="AN175" s="789"/>
      <c r="AO175" s="789"/>
      <c r="AP175" s="789"/>
      <c r="AQ175" s="789"/>
      <c r="AR175" s="789" t="s">
        <v>267</v>
      </c>
      <c r="AS175" s="789"/>
      <c r="AT175" s="789"/>
      <c r="AU175" s="789"/>
      <c r="AV175" s="789"/>
      <c r="AW175" s="789"/>
      <c r="AX175" s="789" t="s">
        <v>266</v>
      </c>
      <c r="AY175" s="789"/>
      <c r="AZ175" s="789"/>
      <c r="BA175" s="789"/>
      <c r="BB175" s="789"/>
      <c r="BC175" s="789"/>
      <c r="BD175" s="789" t="s">
        <v>265</v>
      </c>
      <c r="BE175" s="789"/>
      <c r="BF175" s="789"/>
      <c r="BG175" s="789"/>
      <c r="BH175" s="789"/>
      <c r="BI175" s="827"/>
      <c r="BJ175" s="789" t="s">
        <v>264</v>
      </c>
      <c r="BK175" s="789"/>
      <c r="BL175" s="789"/>
      <c r="BM175" s="789"/>
      <c r="BN175" s="789"/>
      <c r="BO175" s="827"/>
    </row>
    <row r="176" spans="1:238" ht="28.5" customHeight="1">
      <c r="A176" s="919"/>
      <c r="B176" s="822" t="s">
        <v>278</v>
      </c>
      <c r="C176" s="822"/>
      <c r="D176" s="822"/>
      <c r="E176" s="822"/>
      <c r="F176" s="822"/>
      <c r="G176" s="822"/>
      <c r="H176" s="822" t="s">
        <v>278</v>
      </c>
      <c r="I176" s="822"/>
      <c r="J176" s="822"/>
      <c r="K176" s="822"/>
      <c r="L176" s="822"/>
      <c r="M176" s="822"/>
      <c r="N176" s="822" t="s">
        <v>278</v>
      </c>
      <c r="O176" s="822"/>
      <c r="P176" s="822"/>
      <c r="Q176" s="822"/>
      <c r="R176" s="822"/>
      <c r="S176" s="822"/>
      <c r="T176" s="822" t="s">
        <v>278</v>
      </c>
      <c r="U176" s="822"/>
      <c r="V176" s="822"/>
      <c r="W176" s="822"/>
      <c r="X176" s="822"/>
      <c r="Y176" s="822"/>
      <c r="Z176" s="822" t="s">
        <v>278</v>
      </c>
      <c r="AA176" s="822"/>
      <c r="AB176" s="822"/>
      <c r="AC176" s="822"/>
      <c r="AD176" s="822"/>
      <c r="AE176" s="822"/>
      <c r="AF176" s="822" t="s">
        <v>278</v>
      </c>
      <c r="AG176" s="822"/>
      <c r="AH176" s="822"/>
      <c r="AI176" s="822"/>
      <c r="AJ176" s="822"/>
      <c r="AK176" s="822"/>
      <c r="AL176" s="822" t="s">
        <v>278</v>
      </c>
      <c r="AM176" s="822"/>
      <c r="AN176" s="822"/>
      <c r="AO176" s="822"/>
      <c r="AP176" s="822"/>
      <c r="AQ176" s="822"/>
      <c r="AR176" s="822" t="s">
        <v>278</v>
      </c>
      <c r="AS176" s="822"/>
      <c r="AT176" s="822"/>
      <c r="AU176" s="822"/>
      <c r="AV176" s="822"/>
      <c r="AW176" s="822"/>
      <c r="AX176" s="822" t="s">
        <v>278</v>
      </c>
      <c r="AY176" s="822"/>
      <c r="AZ176" s="822"/>
      <c r="BA176" s="822"/>
      <c r="BB176" s="822"/>
      <c r="BC176" s="822"/>
      <c r="BD176" s="822" t="s">
        <v>278</v>
      </c>
      <c r="BE176" s="822"/>
      <c r="BF176" s="822"/>
      <c r="BG176" s="822"/>
      <c r="BH176" s="822"/>
      <c r="BI176" s="828"/>
      <c r="BJ176" s="822" t="s">
        <v>278</v>
      </c>
      <c r="BK176" s="822"/>
      <c r="BL176" s="822"/>
      <c r="BM176" s="822"/>
      <c r="BN176" s="822"/>
      <c r="BO176" s="828"/>
    </row>
    <row r="177" spans="1:67" ht="15" customHeight="1">
      <c r="A177" s="919"/>
      <c r="B177" s="787" t="s">
        <v>30</v>
      </c>
      <c r="C177" s="787"/>
      <c r="D177" s="787" t="s">
        <v>29</v>
      </c>
      <c r="E177" s="787"/>
      <c r="F177" s="787" t="s">
        <v>28</v>
      </c>
      <c r="G177" s="787"/>
      <c r="H177" s="787" t="s">
        <v>30</v>
      </c>
      <c r="I177" s="787"/>
      <c r="J177" s="787" t="s">
        <v>29</v>
      </c>
      <c r="K177" s="787"/>
      <c r="L177" s="787" t="s">
        <v>28</v>
      </c>
      <c r="M177" s="787"/>
      <c r="N177" s="787" t="s">
        <v>30</v>
      </c>
      <c r="O177" s="787"/>
      <c r="P177" s="787" t="s">
        <v>29</v>
      </c>
      <c r="Q177" s="787"/>
      <c r="R177" s="787" t="s">
        <v>28</v>
      </c>
      <c r="S177" s="787"/>
      <c r="T177" s="787" t="s">
        <v>30</v>
      </c>
      <c r="U177" s="787"/>
      <c r="V177" s="787" t="s">
        <v>29</v>
      </c>
      <c r="W177" s="787"/>
      <c r="X177" s="787" t="s">
        <v>28</v>
      </c>
      <c r="Y177" s="787"/>
      <c r="Z177" s="787" t="s">
        <v>30</v>
      </c>
      <c r="AA177" s="787"/>
      <c r="AB177" s="787" t="s">
        <v>29</v>
      </c>
      <c r="AC177" s="787"/>
      <c r="AD177" s="787" t="s">
        <v>28</v>
      </c>
      <c r="AE177" s="787"/>
      <c r="AF177" s="787" t="s">
        <v>30</v>
      </c>
      <c r="AG177" s="787"/>
      <c r="AH177" s="787" t="s">
        <v>29</v>
      </c>
      <c r="AI177" s="787"/>
      <c r="AJ177" s="787" t="s">
        <v>28</v>
      </c>
      <c r="AK177" s="787"/>
      <c r="AL177" s="787" t="s">
        <v>30</v>
      </c>
      <c r="AM177" s="787"/>
      <c r="AN177" s="787" t="s">
        <v>29</v>
      </c>
      <c r="AO177" s="787"/>
      <c r="AP177" s="787" t="s">
        <v>28</v>
      </c>
      <c r="AQ177" s="787"/>
      <c r="AR177" s="787" t="s">
        <v>30</v>
      </c>
      <c r="AS177" s="787"/>
      <c r="AT177" s="787" t="s">
        <v>29</v>
      </c>
      <c r="AU177" s="787"/>
      <c r="AV177" s="787" t="s">
        <v>28</v>
      </c>
      <c r="AW177" s="787"/>
      <c r="AX177" s="787" t="s">
        <v>30</v>
      </c>
      <c r="AY177" s="787"/>
      <c r="AZ177" s="787" t="s">
        <v>29</v>
      </c>
      <c r="BA177" s="787"/>
      <c r="BB177" s="787" t="s">
        <v>28</v>
      </c>
      <c r="BC177" s="787"/>
      <c r="BD177" s="787" t="s">
        <v>30</v>
      </c>
      <c r="BE177" s="787"/>
      <c r="BF177" s="787" t="s">
        <v>29</v>
      </c>
      <c r="BG177" s="787"/>
      <c r="BH177" s="787" t="s">
        <v>28</v>
      </c>
      <c r="BI177" s="788"/>
      <c r="BJ177" s="787" t="s">
        <v>30</v>
      </c>
      <c r="BK177" s="787"/>
      <c r="BL177" s="787" t="s">
        <v>29</v>
      </c>
      <c r="BM177" s="787"/>
      <c r="BN177" s="787" t="s">
        <v>28</v>
      </c>
      <c r="BO177" s="788"/>
    </row>
    <row r="178" spans="1:67" ht="15.75" customHeight="1" thickBot="1">
      <c r="A178" s="920"/>
      <c r="B178" s="412" t="s">
        <v>7</v>
      </c>
      <c r="C178" s="412" t="s">
        <v>8</v>
      </c>
      <c r="D178" s="412" t="s">
        <v>7</v>
      </c>
      <c r="E178" s="412" t="s">
        <v>8</v>
      </c>
      <c r="F178" s="412" t="s">
        <v>7</v>
      </c>
      <c r="G178" s="412" t="s">
        <v>8</v>
      </c>
      <c r="H178" s="412" t="s">
        <v>7</v>
      </c>
      <c r="I178" s="412" t="s">
        <v>8</v>
      </c>
      <c r="J178" s="412" t="s">
        <v>7</v>
      </c>
      <c r="K178" s="412" t="s">
        <v>8</v>
      </c>
      <c r="L178" s="412" t="s">
        <v>7</v>
      </c>
      <c r="M178" s="412" t="s">
        <v>8</v>
      </c>
      <c r="N178" s="412" t="s">
        <v>7</v>
      </c>
      <c r="O178" s="412" t="s">
        <v>8</v>
      </c>
      <c r="P178" s="412" t="s">
        <v>7</v>
      </c>
      <c r="Q178" s="412" t="s">
        <v>8</v>
      </c>
      <c r="R178" s="412" t="s">
        <v>7</v>
      </c>
      <c r="S178" s="412" t="s">
        <v>8</v>
      </c>
      <c r="T178" s="412" t="s">
        <v>7</v>
      </c>
      <c r="U178" s="412" t="s">
        <v>8</v>
      </c>
      <c r="V178" s="412" t="s">
        <v>7</v>
      </c>
      <c r="W178" s="412" t="s">
        <v>8</v>
      </c>
      <c r="X178" s="412" t="s">
        <v>7</v>
      </c>
      <c r="Y178" s="412" t="s">
        <v>8</v>
      </c>
      <c r="Z178" s="185" t="s">
        <v>7</v>
      </c>
      <c r="AA178" s="185" t="s">
        <v>8</v>
      </c>
      <c r="AB178" s="185" t="s">
        <v>7</v>
      </c>
      <c r="AC178" s="185" t="s">
        <v>8</v>
      </c>
      <c r="AD178" s="185" t="s">
        <v>7</v>
      </c>
      <c r="AE178" s="185" t="s">
        <v>8</v>
      </c>
      <c r="AF178" s="185" t="s">
        <v>7</v>
      </c>
      <c r="AG178" s="185" t="s">
        <v>8</v>
      </c>
      <c r="AH178" s="185" t="s">
        <v>7</v>
      </c>
      <c r="AI178" s="185" t="s">
        <v>8</v>
      </c>
      <c r="AJ178" s="185" t="s">
        <v>7</v>
      </c>
      <c r="AK178" s="185" t="s">
        <v>8</v>
      </c>
      <c r="AL178" s="185" t="s">
        <v>7</v>
      </c>
      <c r="AM178" s="185" t="s">
        <v>8</v>
      </c>
      <c r="AN178" s="185" t="s">
        <v>7</v>
      </c>
      <c r="AO178" s="185" t="s">
        <v>8</v>
      </c>
      <c r="AP178" s="185" t="s">
        <v>7</v>
      </c>
      <c r="AQ178" s="185" t="s">
        <v>8</v>
      </c>
      <c r="AR178" s="185" t="s">
        <v>7</v>
      </c>
      <c r="AS178" s="185" t="s">
        <v>8</v>
      </c>
      <c r="AT178" s="185" t="s">
        <v>7</v>
      </c>
      <c r="AU178" s="185" t="s">
        <v>8</v>
      </c>
      <c r="AV178" s="185" t="s">
        <v>7</v>
      </c>
      <c r="AW178" s="185" t="s">
        <v>8</v>
      </c>
      <c r="AX178" s="185" t="s">
        <v>7</v>
      </c>
      <c r="AY178" s="185" t="s">
        <v>8</v>
      </c>
      <c r="AZ178" s="185" t="s">
        <v>7</v>
      </c>
      <c r="BA178" s="185" t="s">
        <v>8</v>
      </c>
      <c r="BB178" s="185" t="s">
        <v>7</v>
      </c>
      <c r="BC178" s="185" t="s">
        <v>8</v>
      </c>
      <c r="BD178" s="185" t="s">
        <v>7</v>
      </c>
      <c r="BE178" s="185" t="s">
        <v>8</v>
      </c>
      <c r="BF178" s="185" t="s">
        <v>7</v>
      </c>
      <c r="BG178" s="185" t="s">
        <v>8</v>
      </c>
      <c r="BH178" s="185" t="s">
        <v>7</v>
      </c>
      <c r="BI178" s="447" t="s">
        <v>8</v>
      </c>
      <c r="BJ178" s="185" t="s">
        <v>7</v>
      </c>
      <c r="BK178" s="185" t="s">
        <v>8</v>
      </c>
      <c r="BL178" s="185" t="s">
        <v>7</v>
      </c>
      <c r="BM178" s="185" t="s">
        <v>8</v>
      </c>
      <c r="BN178" s="185" t="s">
        <v>7</v>
      </c>
      <c r="BO178" s="447" t="s">
        <v>8</v>
      </c>
    </row>
    <row r="179" spans="1:67">
      <c r="A179" s="472" t="s">
        <v>5</v>
      </c>
      <c r="B179" s="423">
        <v>0</v>
      </c>
      <c r="C179" s="446">
        <v>0</v>
      </c>
      <c r="D179" s="484">
        <v>0</v>
      </c>
      <c r="E179" s="485">
        <v>0</v>
      </c>
      <c r="F179" s="484">
        <v>0</v>
      </c>
      <c r="G179" s="446">
        <v>0</v>
      </c>
      <c r="H179" s="423">
        <v>0</v>
      </c>
      <c r="I179" s="446">
        <v>0</v>
      </c>
      <c r="J179" s="484">
        <v>0</v>
      </c>
      <c r="K179" s="485">
        <v>0</v>
      </c>
      <c r="L179" s="484">
        <v>0</v>
      </c>
      <c r="M179" s="446">
        <v>0</v>
      </c>
      <c r="N179" s="423">
        <v>0</v>
      </c>
      <c r="O179" s="446">
        <v>0</v>
      </c>
      <c r="P179" s="484">
        <v>0</v>
      </c>
      <c r="Q179" s="485">
        <v>0</v>
      </c>
      <c r="R179" s="484">
        <v>0</v>
      </c>
      <c r="S179" s="446">
        <v>0</v>
      </c>
      <c r="T179" s="423">
        <v>0</v>
      </c>
      <c r="U179" s="446">
        <v>0</v>
      </c>
      <c r="V179" s="484">
        <v>47</v>
      </c>
      <c r="W179" s="485">
        <v>1</v>
      </c>
      <c r="X179" s="484">
        <v>0</v>
      </c>
      <c r="Y179" s="446">
        <v>0</v>
      </c>
      <c r="Z179" s="423">
        <v>0</v>
      </c>
      <c r="AA179" s="446">
        <v>0</v>
      </c>
      <c r="AB179" s="484">
        <v>0</v>
      </c>
      <c r="AC179" s="485">
        <v>0</v>
      </c>
      <c r="AD179" s="484">
        <v>0</v>
      </c>
      <c r="AE179" s="446">
        <v>0</v>
      </c>
      <c r="AF179" s="444">
        <v>890</v>
      </c>
      <c r="AG179" s="445">
        <v>0.374</v>
      </c>
      <c r="AH179" s="498">
        <v>1030</v>
      </c>
      <c r="AI179" s="499">
        <v>0.432</v>
      </c>
      <c r="AJ179" s="498">
        <v>462</v>
      </c>
      <c r="AK179" s="445">
        <v>0.19400000000000001</v>
      </c>
      <c r="AL179" s="444">
        <v>0</v>
      </c>
      <c r="AM179" s="445">
        <v>0</v>
      </c>
      <c r="AN179" s="498">
        <v>0</v>
      </c>
      <c r="AO179" s="499">
        <v>0</v>
      </c>
      <c r="AP179" s="498">
        <v>0</v>
      </c>
      <c r="AQ179" s="445">
        <v>0</v>
      </c>
      <c r="AR179" s="444">
        <v>0</v>
      </c>
      <c r="AS179" s="445">
        <v>0</v>
      </c>
      <c r="AT179" s="498">
        <v>0</v>
      </c>
      <c r="AU179" s="499">
        <v>0</v>
      </c>
      <c r="AV179" s="498">
        <v>0</v>
      </c>
      <c r="AW179" s="445">
        <v>0</v>
      </c>
      <c r="AX179" s="444">
        <v>0</v>
      </c>
      <c r="AY179" s="445">
        <v>0</v>
      </c>
      <c r="AZ179" s="498">
        <v>0</v>
      </c>
      <c r="BA179" s="499">
        <v>0</v>
      </c>
      <c r="BB179" s="498">
        <v>0</v>
      </c>
      <c r="BC179" s="445">
        <v>0</v>
      </c>
      <c r="BD179" s="444">
        <v>0</v>
      </c>
      <c r="BE179" s="445">
        <v>0</v>
      </c>
      <c r="BF179" s="498">
        <v>94</v>
      </c>
      <c r="BG179" s="499">
        <v>0.66700000000000004</v>
      </c>
      <c r="BH179" s="498">
        <v>47</v>
      </c>
      <c r="BI179" s="417">
        <v>0.33300000000000002</v>
      </c>
      <c r="BJ179" s="444">
        <v>0</v>
      </c>
      <c r="BK179" s="445">
        <v>0</v>
      </c>
      <c r="BL179" s="498">
        <v>0</v>
      </c>
      <c r="BM179" s="499">
        <v>0</v>
      </c>
      <c r="BN179" s="498">
        <v>0</v>
      </c>
      <c r="BO179" s="417">
        <v>0</v>
      </c>
    </row>
    <row r="180" spans="1:67">
      <c r="A180" s="471" t="s">
        <v>309</v>
      </c>
      <c r="B180" s="483">
        <v>0</v>
      </c>
      <c r="C180" s="482">
        <v>0</v>
      </c>
      <c r="D180" s="480">
        <v>0</v>
      </c>
      <c r="E180" s="481">
        <v>0</v>
      </c>
      <c r="F180" s="480">
        <v>0</v>
      </c>
      <c r="G180" s="482">
        <v>0</v>
      </c>
      <c r="H180" s="483">
        <v>0</v>
      </c>
      <c r="I180" s="482">
        <v>0</v>
      </c>
      <c r="J180" s="480">
        <v>0</v>
      </c>
      <c r="K180" s="481">
        <v>0</v>
      </c>
      <c r="L180" s="480">
        <v>0</v>
      </c>
      <c r="M180" s="482">
        <v>0</v>
      </c>
      <c r="N180" s="483">
        <v>0</v>
      </c>
      <c r="O180" s="482">
        <v>0</v>
      </c>
      <c r="P180" s="480">
        <v>0</v>
      </c>
      <c r="Q180" s="481">
        <v>0</v>
      </c>
      <c r="R180" s="480">
        <v>0</v>
      </c>
      <c r="S180" s="482">
        <v>0</v>
      </c>
      <c r="T180" s="483">
        <v>0</v>
      </c>
      <c r="U180" s="482">
        <v>0</v>
      </c>
      <c r="V180" s="480">
        <v>14</v>
      </c>
      <c r="W180" s="481">
        <v>0.14399999999999999</v>
      </c>
      <c r="X180" s="480">
        <v>82</v>
      </c>
      <c r="Y180" s="482">
        <v>0.85599999999999998</v>
      </c>
      <c r="Z180" s="483">
        <v>0</v>
      </c>
      <c r="AA180" s="482">
        <v>0</v>
      </c>
      <c r="AB180" s="480">
        <v>0</v>
      </c>
      <c r="AC180" s="481">
        <v>0</v>
      </c>
      <c r="AD180" s="480">
        <v>0</v>
      </c>
      <c r="AE180" s="482">
        <v>0</v>
      </c>
      <c r="AF180" s="497">
        <v>529</v>
      </c>
      <c r="AG180" s="496">
        <v>7.6999999999999999E-2</v>
      </c>
      <c r="AH180" s="494">
        <v>3189</v>
      </c>
      <c r="AI180" s="495">
        <v>0.46100000000000002</v>
      </c>
      <c r="AJ180" s="494">
        <v>3198</v>
      </c>
      <c r="AK180" s="496">
        <v>0.46200000000000002</v>
      </c>
      <c r="AL180" s="497">
        <v>0</v>
      </c>
      <c r="AM180" s="496">
        <v>0</v>
      </c>
      <c r="AN180" s="494">
        <v>0</v>
      </c>
      <c r="AO180" s="495">
        <v>0</v>
      </c>
      <c r="AP180" s="494">
        <v>0</v>
      </c>
      <c r="AQ180" s="496">
        <v>0</v>
      </c>
      <c r="AR180" s="497">
        <v>0</v>
      </c>
      <c r="AS180" s="496">
        <v>0</v>
      </c>
      <c r="AT180" s="494">
        <v>7</v>
      </c>
      <c r="AU180" s="495">
        <v>1</v>
      </c>
      <c r="AV180" s="494">
        <v>0</v>
      </c>
      <c r="AW180" s="496">
        <v>0</v>
      </c>
      <c r="AX180" s="497">
        <v>0</v>
      </c>
      <c r="AY180" s="496">
        <v>0</v>
      </c>
      <c r="AZ180" s="494">
        <v>0</v>
      </c>
      <c r="BA180" s="495">
        <v>0</v>
      </c>
      <c r="BB180" s="494">
        <v>0</v>
      </c>
      <c r="BC180" s="496">
        <v>0</v>
      </c>
      <c r="BD180" s="497">
        <v>0</v>
      </c>
      <c r="BE180" s="496">
        <v>0</v>
      </c>
      <c r="BF180" s="494">
        <v>82</v>
      </c>
      <c r="BG180" s="495">
        <v>0.43</v>
      </c>
      <c r="BH180" s="494">
        <v>109</v>
      </c>
      <c r="BI180" s="493">
        <v>0.56999999999999995</v>
      </c>
      <c r="BJ180" s="497">
        <v>0</v>
      </c>
      <c r="BK180" s="496">
        <v>0</v>
      </c>
      <c r="BL180" s="494">
        <v>0</v>
      </c>
      <c r="BM180" s="495">
        <v>0</v>
      </c>
      <c r="BN180" s="494">
        <v>0</v>
      </c>
      <c r="BO180" s="493">
        <v>0</v>
      </c>
    </row>
    <row r="181" spans="1:67">
      <c r="A181" s="471" t="s">
        <v>308</v>
      </c>
      <c r="B181" s="483">
        <v>0</v>
      </c>
      <c r="C181" s="482">
        <v>0</v>
      </c>
      <c r="D181" s="480">
        <v>0</v>
      </c>
      <c r="E181" s="481">
        <v>0</v>
      </c>
      <c r="F181" s="480">
        <v>90</v>
      </c>
      <c r="G181" s="482">
        <v>1</v>
      </c>
      <c r="H181" s="483">
        <v>0</v>
      </c>
      <c r="I181" s="482">
        <v>0</v>
      </c>
      <c r="J181" s="480">
        <v>0</v>
      </c>
      <c r="K181" s="481">
        <v>0</v>
      </c>
      <c r="L181" s="480">
        <v>0</v>
      </c>
      <c r="M181" s="482">
        <v>0</v>
      </c>
      <c r="N181" s="483">
        <v>0</v>
      </c>
      <c r="O181" s="482">
        <v>0</v>
      </c>
      <c r="P181" s="480">
        <v>0</v>
      </c>
      <c r="Q181" s="481">
        <v>0</v>
      </c>
      <c r="R181" s="480">
        <v>0</v>
      </c>
      <c r="S181" s="482">
        <v>0</v>
      </c>
      <c r="T181" s="483">
        <v>0</v>
      </c>
      <c r="U181" s="482">
        <v>0</v>
      </c>
      <c r="V181" s="480">
        <v>242</v>
      </c>
      <c r="W181" s="481">
        <v>0.72899999999999998</v>
      </c>
      <c r="X181" s="480">
        <v>90</v>
      </c>
      <c r="Y181" s="482">
        <v>0.27100000000000002</v>
      </c>
      <c r="Z181" s="483">
        <v>0</v>
      </c>
      <c r="AA181" s="482">
        <v>0</v>
      </c>
      <c r="AB181" s="480">
        <v>0</v>
      </c>
      <c r="AC181" s="481">
        <v>0</v>
      </c>
      <c r="AD181" s="480">
        <v>0</v>
      </c>
      <c r="AE181" s="482">
        <v>0</v>
      </c>
      <c r="AF181" s="497">
        <v>2408</v>
      </c>
      <c r="AG181" s="496">
        <v>0.23200000000000001</v>
      </c>
      <c r="AH181" s="494">
        <v>5179</v>
      </c>
      <c r="AI181" s="495">
        <v>0.498</v>
      </c>
      <c r="AJ181" s="494">
        <v>2813</v>
      </c>
      <c r="AK181" s="496">
        <v>0.27</v>
      </c>
      <c r="AL181" s="497">
        <v>0</v>
      </c>
      <c r="AM181" s="496">
        <v>0</v>
      </c>
      <c r="AN181" s="494">
        <v>0</v>
      </c>
      <c r="AO181" s="495">
        <v>0</v>
      </c>
      <c r="AP181" s="494">
        <v>0</v>
      </c>
      <c r="AQ181" s="496">
        <v>0</v>
      </c>
      <c r="AR181" s="497">
        <v>0</v>
      </c>
      <c r="AS181" s="496">
        <v>0</v>
      </c>
      <c r="AT181" s="494">
        <v>0</v>
      </c>
      <c r="AU181" s="495">
        <v>0</v>
      </c>
      <c r="AV181" s="494">
        <v>0</v>
      </c>
      <c r="AW181" s="496">
        <v>0</v>
      </c>
      <c r="AX181" s="497">
        <v>90</v>
      </c>
      <c r="AY181" s="496">
        <v>1</v>
      </c>
      <c r="AZ181" s="494">
        <v>0</v>
      </c>
      <c r="BA181" s="495">
        <v>0</v>
      </c>
      <c r="BB181" s="494">
        <v>0</v>
      </c>
      <c r="BC181" s="496">
        <v>0</v>
      </c>
      <c r="BD181" s="497">
        <v>0</v>
      </c>
      <c r="BE181" s="496">
        <v>0</v>
      </c>
      <c r="BF181" s="494">
        <v>0</v>
      </c>
      <c r="BG181" s="495">
        <v>0</v>
      </c>
      <c r="BH181" s="494">
        <v>62</v>
      </c>
      <c r="BI181" s="493">
        <v>1</v>
      </c>
      <c r="BJ181" s="497">
        <v>0</v>
      </c>
      <c r="BK181" s="496">
        <v>0</v>
      </c>
      <c r="BL181" s="494">
        <v>0</v>
      </c>
      <c r="BM181" s="495">
        <v>0</v>
      </c>
      <c r="BN181" s="494">
        <v>0</v>
      </c>
      <c r="BO181" s="493">
        <v>0</v>
      </c>
    </row>
    <row r="182" spans="1:67">
      <c r="A182" s="471" t="s">
        <v>307</v>
      </c>
      <c r="B182" s="483">
        <v>0</v>
      </c>
      <c r="C182" s="482">
        <v>0</v>
      </c>
      <c r="D182" s="480">
        <v>0</v>
      </c>
      <c r="E182" s="481">
        <v>0</v>
      </c>
      <c r="F182" s="480">
        <v>0</v>
      </c>
      <c r="G182" s="482">
        <v>0</v>
      </c>
      <c r="H182" s="483">
        <v>0</v>
      </c>
      <c r="I182" s="482">
        <v>0</v>
      </c>
      <c r="J182" s="480">
        <v>0</v>
      </c>
      <c r="K182" s="481">
        <v>0</v>
      </c>
      <c r="L182" s="480">
        <v>0</v>
      </c>
      <c r="M182" s="482">
        <v>0</v>
      </c>
      <c r="N182" s="483">
        <v>0</v>
      </c>
      <c r="O182" s="482">
        <v>0</v>
      </c>
      <c r="P182" s="480">
        <v>0</v>
      </c>
      <c r="Q182" s="481">
        <v>0</v>
      </c>
      <c r="R182" s="480">
        <v>0</v>
      </c>
      <c r="S182" s="482">
        <v>0</v>
      </c>
      <c r="T182" s="483">
        <v>0</v>
      </c>
      <c r="U182" s="482">
        <v>0</v>
      </c>
      <c r="V182" s="480">
        <v>79</v>
      </c>
      <c r="W182" s="481">
        <v>1</v>
      </c>
      <c r="X182" s="480">
        <v>0</v>
      </c>
      <c r="Y182" s="482">
        <v>0</v>
      </c>
      <c r="Z182" s="483">
        <v>0</v>
      </c>
      <c r="AA182" s="482">
        <v>0</v>
      </c>
      <c r="AB182" s="480">
        <v>0</v>
      </c>
      <c r="AC182" s="481">
        <v>0</v>
      </c>
      <c r="AD182" s="480">
        <v>0</v>
      </c>
      <c r="AE182" s="482">
        <v>0</v>
      </c>
      <c r="AF182" s="497">
        <v>1637</v>
      </c>
      <c r="AG182" s="496">
        <v>0.16900000000000001</v>
      </c>
      <c r="AH182" s="494">
        <v>5872</v>
      </c>
      <c r="AI182" s="495">
        <v>0.60499999999999998</v>
      </c>
      <c r="AJ182" s="494">
        <v>2196</v>
      </c>
      <c r="AK182" s="496">
        <v>0.22600000000000001</v>
      </c>
      <c r="AL182" s="497">
        <v>0</v>
      </c>
      <c r="AM182" s="496">
        <v>0</v>
      </c>
      <c r="AN182" s="494">
        <v>0</v>
      </c>
      <c r="AO182" s="495">
        <v>0</v>
      </c>
      <c r="AP182" s="494">
        <v>0</v>
      </c>
      <c r="AQ182" s="496">
        <v>0</v>
      </c>
      <c r="AR182" s="497">
        <v>0</v>
      </c>
      <c r="AS182" s="496">
        <v>0</v>
      </c>
      <c r="AT182" s="494">
        <v>0</v>
      </c>
      <c r="AU182" s="495">
        <v>0</v>
      </c>
      <c r="AV182" s="494">
        <v>0</v>
      </c>
      <c r="AW182" s="496">
        <v>0</v>
      </c>
      <c r="AX182" s="497">
        <v>0</v>
      </c>
      <c r="AY182" s="496">
        <v>0</v>
      </c>
      <c r="AZ182" s="494">
        <v>0</v>
      </c>
      <c r="BA182" s="495">
        <v>0</v>
      </c>
      <c r="BB182" s="494">
        <v>0</v>
      </c>
      <c r="BC182" s="496">
        <v>0</v>
      </c>
      <c r="BD182" s="497">
        <v>72</v>
      </c>
      <c r="BE182" s="496">
        <v>0.47599999999999998</v>
      </c>
      <c r="BF182" s="494">
        <v>0</v>
      </c>
      <c r="BG182" s="495">
        <v>0</v>
      </c>
      <c r="BH182" s="494">
        <v>79</v>
      </c>
      <c r="BI182" s="493">
        <v>0.52400000000000002</v>
      </c>
      <c r="BJ182" s="497">
        <v>0</v>
      </c>
      <c r="BK182" s="496">
        <v>0</v>
      </c>
      <c r="BL182" s="494">
        <v>0</v>
      </c>
      <c r="BM182" s="495">
        <v>0</v>
      </c>
      <c r="BN182" s="494">
        <v>0</v>
      </c>
      <c r="BO182" s="493">
        <v>0</v>
      </c>
    </row>
    <row r="183" spans="1:67">
      <c r="A183" s="471" t="s">
        <v>306</v>
      </c>
      <c r="B183" s="483">
        <v>0</v>
      </c>
      <c r="C183" s="482">
        <v>0</v>
      </c>
      <c r="D183" s="480">
        <v>0</v>
      </c>
      <c r="E183" s="481">
        <v>0</v>
      </c>
      <c r="F183" s="480">
        <v>0</v>
      </c>
      <c r="G183" s="482">
        <v>0</v>
      </c>
      <c r="H183" s="483">
        <v>0</v>
      </c>
      <c r="I183" s="482">
        <v>0</v>
      </c>
      <c r="J183" s="480">
        <v>0</v>
      </c>
      <c r="K183" s="481">
        <v>0</v>
      </c>
      <c r="L183" s="480">
        <v>0</v>
      </c>
      <c r="M183" s="482">
        <v>0</v>
      </c>
      <c r="N183" s="483">
        <v>0</v>
      </c>
      <c r="O183" s="482">
        <v>0</v>
      </c>
      <c r="P183" s="480">
        <v>0</v>
      </c>
      <c r="Q183" s="481">
        <v>0</v>
      </c>
      <c r="R183" s="480">
        <v>0</v>
      </c>
      <c r="S183" s="482">
        <v>0</v>
      </c>
      <c r="T183" s="483">
        <v>54</v>
      </c>
      <c r="U183" s="482">
        <v>0.30099999999999999</v>
      </c>
      <c r="V183" s="480">
        <v>117</v>
      </c>
      <c r="W183" s="481">
        <v>0.65</v>
      </c>
      <c r="X183" s="480">
        <v>9</v>
      </c>
      <c r="Y183" s="482">
        <v>4.9000000000000002E-2</v>
      </c>
      <c r="Z183" s="483">
        <v>0</v>
      </c>
      <c r="AA183" s="482">
        <v>0</v>
      </c>
      <c r="AB183" s="480">
        <v>0</v>
      </c>
      <c r="AC183" s="481">
        <v>0</v>
      </c>
      <c r="AD183" s="480">
        <v>0</v>
      </c>
      <c r="AE183" s="482">
        <v>0</v>
      </c>
      <c r="AF183" s="497">
        <v>3190</v>
      </c>
      <c r="AG183" s="496">
        <v>0.16200000000000001</v>
      </c>
      <c r="AH183" s="494">
        <v>10736</v>
      </c>
      <c r="AI183" s="495">
        <v>0.54600000000000004</v>
      </c>
      <c r="AJ183" s="494">
        <v>5751</v>
      </c>
      <c r="AK183" s="496">
        <v>0.29199999999999998</v>
      </c>
      <c r="AL183" s="497">
        <v>0</v>
      </c>
      <c r="AM183" s="496">
        <v>0</v>
      </c>
      <c r="AN183" s="494">
        <v>0</v>
      </c>
      <c r="AO183" s="495">
        <v>0</v>
      </c>
      <c r="AP183" s="494">
        <v>9</v>
      </c>
      <c r="AQ183" s="496">
        <v>1</v>
      </c>
      <c r="AR183" s="497">
        <v>0</v>
      </c>
      <c r="AS183" s="496">
        <v>0</v>
      </c>
      <c r="AT183" s="494">
        <v>0</v>
      </c>
      <c r="AU183" s="495">
        <v>0</v>
      </c>
      <c r="AV183" s="494">
        <v>0</v>
      </c>
      <c r="AW183" s="496">
        <v>0</v>
      </c>
      <c r="AX183" s="497">
        <v>0</v>
      </c>
      <c r="AY183" s="496">
        <v>0</v>
      </c>
      <c r="AZ183" s="494">
        <v>0</v>
      </c>
      <c r="BA183" s="495">
        <v>0</v>
      </c>
      <c r="BB183" s="494">
        <v>0</v>
      </c>
      <c r="BC183" s="496">
        <v>0</v>
      </c>
      <c r="BD183" s="497">
        <v>0</v>
      </c>
      <c r="BE183" s="496">
        <v>0</v>
      </c>
      <c r="BF183" s="494">
        <v>0</v>
      </c>
      <c r="BG183" s="495">
        <v>0</v>
      </c>
      <c r="BH183" s="494">
        <v>240</v>
      </c>
      <c r="BI183" s="493">
        <v>1</v>
      </c>
      <c r="BJ183" s="497">
        <v>0</v>
      </c>
      <c r="BK183" s="496">
        <v>0</v>
      </c>
      <c r="BL183" s="494">
        <v>0</v>
      </c>
      <c r="BM183" s="495">
        <v>0</v>
      </c>
      <c r="BN183" s="494">
        <v>0</v>
      </c>
      <c r="BO183" s="493">
        <v>0</v>
      </c>
    </row>
    <row r="184" spans="1:67">
      <c r="A184" s="471" t="s">
        <v>305</v>
      </c>
      <c r="B184" s="483">
        <v>6</v>
      </c>
      <c r="C184" s="482">
        <v>6.6000000000000003E-2</v>
      </c>
      <c r="D184" s="480">
        <v>87</v>
      </c>
      <c r="E184" s="481">
        <v>0.93400000000000005</v>
      </c>
      <c r="F184" s="480">
        <v>0</v>
      </c>
      <c r="G184" s="482">
        <v>0</v>
      </c>
      <c r="H184" s="483">
        <v>0</v>
      </c>
      <c r="I184" s="482">
        <v>0</v>
      </c>
      <c r="J184" s="480">
        <v>6</v>
      </c>
      <c r="K184" s="481">
        <v>1</v>
      </c>
      <c r="L184" s="480">
        <v>0</v>
      </c>
      <c r="M184" s="482">
        <v>0</v>
      </c>
      <c r="N184" s="483">
        <v>87</v>
      </c>
      <c r="O184" s="482">
        <v>1</v>
      </c>
      <c r="P184" s="480">
        <v>0</v>
      </c>
      <c r="Q184" s="481">
        <v>0</v>
      </c>
      <c r="R184" s="480">
        <v>0</v>
      </c>
      <c r="S184" s="482">
        <v>0</v>
      </c>
      <c r="T184" s="483">
        <v>18</v>
      </c>
      <c r="U184" s="482">
        <v>3.6999999999999998E-2</v>
      </c>
      <c r="V184" s="480">
        <v>211</v>
      </c>
      <c r="W184" s="481">
        <v>0.44</v>
      </c>
      <c r="X184" s="480">
        <v>251</v>
      </c>
      <c r="Y184" s="482">
        <v>0.52400000000000002</v>
      </c>
      <c r="Z184" s="483">
        <v>0</v>
      </c>
      <c r="AA184" s="482">
        <v>0</v>
      </c>
      <c r="AB184" s="480">
        <v>18</v>
      </c>
      <c r="AC184" s="481">
        <v>1</v>
      </c>
      <c r="AD184" s="480">
        <v>0</v>
      </c>
      <c r="AE184" s="482">
        <v>0</v>
      </c>
      <c r="AF184" s="497">
        <v>8630</v>
      </c>
      <c r="AG184" s="496">
        <v>0.17699999999999999</v>
      </c>
      <c r="AH184" s="494">
        <v>25710</v>
      </c>
      <c r="AI184" s="495">
        <v>0.52600000000000002</v>
      </c>
      <c r="AJ184" s="494">
        <v>14517</v>
      </c>
      <c r="AK184" s="496">
        <v>0.29699999999999999</v>
      </c>
      <c r="AL184" s="497">
        <v>0</v>
      </c>
      <c r="AM184" s="496">
        <v>0</v>
      </c>
      <c r="AN184" s="494">
        <v>6</v>
      </c>
      <c r="AO184" s="495">
        <v>6.5000000000000002E-2</v>
      </c>
      <c r="AP184" s="494">
        <v>87</v>
      </c>
      <c r="AQ184" s="496">
        <v>0.93500000000000005</v>
      </c>
      <c r="AR184" s="497">
        <v>0</v>
      </c>
      <c r="AS184" s="496">
        <v>0</v>
      </c>
      <c r="AT184" s="494">
        <v>0</v>
      </c>
      <c r="AU184" s="495">
        <v>0</v>
      </c>
      <c r="AV184" s="494">
        <v>0</v>
      </c>
      <c r="AW184" s="496">
        <v>0</v>
      </c>
      <c r="AX184" s="497">
        <v>0</v>
      </c>
      <c r="AY184" s="496">
        <v>0</v>
      </c>
      <c r="AZ184" s="494">
        <v>0</v>
      </c>
      <c r="BA184" s="495">
        <v>0</v>
      </c>
      <c r="BB184" s="494">
        <v>0</v>
      </c>
      <c r="BC184" s="496">
        <v>0</v>
      </c>
      <c r="BD184" s="497">
        <v>0</v>
      </c>
      <c r="BE184" s="496">
        <v>0</v>
      </c>
      <c r="BF184" s="494">
        <v>235</v>
      </c>
      <c r="BG184" s="495">
        <v>0.85099999999999998</v>
      </c>
      <c r="BH184" s="494">
        <v>41</v>
      </c>
      <c r="BI184" s="493">
        <v>0.14899999999999999</v>
      </c>
      <c r="BJ184" s="497">
        <v>0</v>
      </c>
      <c r="BK184" s="496">
        <v>0</v>
      </c>
      <c r="BL184" s="494">
        <v>0</v>
      </c>
      <c r="BM184" s="495">
        <v>0</v>
      </c>
      <c r="BN184" s="494">
        <v>0</v>
      </c>
      <c r="BO184" s="493">
        <v>0</v>
      </c>
    </row>
    <row r="185" spans="1:67" ht="24">
      <c r="A185" s="471" t="s">
        <v>304</v>
      </c>
      <c r="B185" s="483">
        <v>73</v>
      </c>
      <c r="C185" s="482">
        <v>0.88400000000000001</v>
      </c>
      <c r="D185" s="480">
        <v>5</v>
      </c>
      <c r="E185" s="481">
        <v>5.8000000000000003E-2</v>
      </c>
      <c r="F185" s="480">
        <v>5</v>
      </c>
      <c r="G185" s="482">
        <v>5.8000000000000003E-2</v>
      </c>
      <c r="H185" s="483">
        <v>0</v>
      </c>
      <c r="I185" s="482">
        <v>0</v>
      </c>
      <c r="J185" s="480">
        <v>0</v>
      </c>
      <c r="K185" s="481">
        <v>0</v>
      </c>
      <c r="L185" s="480">
        <v>0</v>
      </c>
      <c r="M185" s="482">
        <v>0</v>
      </c>
      <c r="N185" s="483">
        <v>0</v>
      </c>
      <c r="O185" s="482">
        <v>0</v>
      </c>
      <c r="P185" s="480">
        <v>0</v>
      </c>
      <c r="Q185" s="481">
        <v>0</v>
      </c>
      <c r="R185" s="480">
        <v>0</v>
      </c>
      <c r="S185" s="482">
        <v>0</v>
      </c>
      <c r="T185" s="483">
        <v>66</v>
      </c>
      <c r="U185" s="482">
        <v>0.317</v>
      </c>
      <c r="V185" s="480">
        <v>0</v>
      </c>
      <c r="W185" s="481">
        <v>0</v>
      </c>
      <c r="X185" s="480">
        <v>142</v>
      </c>
      <c r="Y185" s="482">
        <v>0.68300000000000005</v>
      </c>
      <c r="Z185" s="483">
        <v>0</v>
      </c>
      <c r="AA185" s="482">
        <v>0</v>
      </c>
      <c r="AB185" s="480">
        <v>0</v>
      </c>
      <c r="AC185" s="481">
        <v>0</v>
      </c>
      <c r="AD185" s="480">
        <v>0</v>
      </c>
      <c r="AE185" s="482">
        <v>0</v>
      </c>
      <c r="AF185" s="497">
        <v>8444</v>
      </c>
      <c r="AG185" s="496">
        <v>0.17799999999999999</v>
      </c>
      <c r="AH185" s="494">
        <v>27605</v>
      </c>
      <c r="AI185" s="495">
        <v>0.58299999999999996</v>
      </c>
      <c r="AJ185" s="494">
        <v>11338</v>
      </c>
      <c r="AK185" s="496">
        <v>0.23899999999999999</v>
      </c>
      <c r="AL185" s="497">
        <v>0</v>
      </c>
      <c r="AM185" s="496">
        <v>0</v>
      </c>
      <c r="AN185" s="494">
        <v>58</v>
      </c>
      <c r="AO185" s="495">
        <v>1</v>
      </c>
      <c r="AP185" s="494">
        <v>0</v>
      </c>
      <c r="AQ185" s="496">
        <v>0</v>
      </c>
      <c r="AR185" s="497">
        <v>0</v>
      </c>
      <c r="AS185" s="496">
        <v>0</v>
      </c>
      <c r="AT185" s="494">
        <v>0</v>
      </c>
      <c r="AU185" s="495">
        <v>0</v>
      </c>
      <c r="AV185" s="494">
        <v>0</v>
      </c>
      <c r="AW185" s="496">
        <v>0</v>
      </c>
      <c r="AX185" s="497">
        <v>0</v>
      </c>
      <c r="AY185" s="496">
        <v>0</v>
      </c>
      <c r="AZ185" s="494">
        <v>0</v>
      </c>
      <c r="BA185" s="495">
        <v>0</v>
      </c>
      <c r="BB185" s="494">
        <v>0</v>
      </c>
      <c r="BC185" s="496">
        <v>0</v>
      </c>
      <c r="BD185" s="497">
        <v>80</v>
      </c>
      <c r="BE185" s="496">
        <v>0.16800000000000001</v>
      </c>
      <c r="BF185" s="494">
        <v>140</v>
      </c>
      <c r="BG185" s="495">
        <v>0.29399999999999998</v>
      </c>
      <c r="BH185" s="494">
        <v>257</v>
      </c>
      <c r="BI185" s="493">
        <v>0.53800000000000003</v>
      </c>
      <c r="BJ185" s="497">
        <v>0</v>
      </c>
      <c r="BK185" s="496">
        <v>0</v>
      </c>
      <c r="BL185" s="494">
        <v>0</v>
      </c>
      <c r="BM185" s="495">
        <v>0</v>
      </c>
      <c r="BN185" s="494">
        <v>0</v>
      </c>
      <c r="BO185" s="493">
        <v>0</v>
      </c>
    </row>
    <row r="186" spans="1:67" ht="24">
      <c r="A186" s="471" t="s">
        <v>303</v>
      </c>
      <c r="B186" s="483">
        <v>0</v>
      </c>
      <c r="C186" s="482">
        <v>0</v>
      </c>
      <c r="D186" s="480">
        <v>0</v>
      </c>
      <c r="E186" s="481">
        <v>0</v>
      </c>
      <c r="F186" s="480">
        <v>0</v>
      </c>
      <c r="G186" s="482">
        <v>0</v>
      </c>
      <c r="H186" s="483">
        <v>0</v>
      </c>
      <c r="I186" s="482">
        <v>0</v>
      </c>
      <c r="J186" s="480">
        <v>0</v>
      </c>
      <c r="K186" s="481">
        <v>0</v>
      </c>
      <c r="L186" s="480">
        <v>0</v>
      </c>
      <c r="M186" s="482">
        <v>0</v>
      </c>
      <c r="N186" s="483">
        <v>0</v>
      </c>
      <c r="O186" s="482">
        <v>0</v>
      </c>
      <c r="P186" s="480">
        <v>0</v>
      </c>
      <c r="Q186" s="481">
        <v>0</v>
      </c>
      <c r="R186" s="480">
        <v>0</v>
      </c>
      <c r="S186" s="482">
        <v>0</v>
      </c>
      <c r="T186" s="483">
        <v>0</v>
      </c>
      <c r="U186" s="482">
        <v>0</v>
      </c>
      <c r="V186" s="480">
        <v>0</v>
      </c>
      <c r="W186" s="481">
        <v>0</v>
      </c>
      <c r="X186" s="480">
        <v>0</v>
      </c>
      <c r="Y186" s="482">
        <v>0</v>
      </c>
      <c r="Z186" s="483">
        <v>0</v>
      </c>
      <c r="AA186" s="482">
        <v>0</v>
      </c>
      <c r="AB186" s="480">
        <v>0</v>
      </c>
      <c r="AC186" s="481">
        <v>0</v>
      </c>
      <c r="AD186" s="480">
        <v>0</v>
      </c>
      <c r="AE186" s="482">
        <v>0</v>
      </c>
      <c r="AF186" s="497">
        <v>346</v>
      </c>
      <c r="AG186" s="496">
        <v>0.184</v>
      </c>
      <c r="AH186" s="494">
        <v>955</v>
      </c>
      <c r="AI186" s="495">
        <v>0.50900000000000001</v>
      </c>
      <c r="AJ186" s="494">
        <v>574</v>
      </c>
      <c r="AK186" s="496">
        <v>0.30599999999999999</v>
      </c>
      <c r="AL186" s="497">
        <v>0</v>
      </c>
      <c r="AM186" s="496">
        <v>0</v>
      </c>
      <c r="AN186" s="494">
        <v>0</v>
      </c>
      <c r="AO186" s="495">
        <v>0</v>
      </c>
      <c r="AP186" s="494">
        <v>0</v>
      </c>
      <c r="AQ186" s="496">
        <v>0</v>
      </c>
      <c r="AR186" s="497">
        <v>0</v>
      </c>
      <c r="AS186" s="496">
        <v>0</v>
      </c>
      <c r="AT186" s="494">
        <v>0</v>
      </c>
      <c r="AU186" s="495">
        <v>0</v>
      </c>
      <c r="AV186" s="494">
        <v>0</v>
      </c>
      <c r="AW186" s="496">
        <v>0</v>
      </c>
      <c r="AX186" s="497">
        <v>0</v>
      </c>
      <c r="AY186" s="496">
        <v>0</v>
      </c>
      <c r="AZ186" s="494">
        <v>0</v>
      </c>
      <c r="BA186" s="495">
        <v>0</v>
      </c>
      <c r="BB186" s="494">
        <v>0</v>
      </c>
      <c r="BC186" s="496">
        <v>0</v>
      </c>
      <c r="BD186" s="497">
        <v>0</v>
      </c>
      <c r="BE186" s="496">
        <v>0</v>
      </c>
      <c r="BF186" s="494">
        <v>0</v>
      </c>
      <c r="BG186" s="495">
        <v>0</v>
      </c>
      <c r="BH186" s="494">
        <v>68</v>
      </c>
      <c r="BI186" s="493">
        <v>1</v>
      </c>
      <c r="BJ186" s="497">
        <v>0</v>
      </c>
      <c r="BK186" s="496">
        <v>0</v>
      </c>
      <c r="BL186" s="494">
        <v>0</v>
      </c>
      <c r="BM186" s="495">
        <v>0</v>
      </c>
      <c r="BN186" s="494">
        <v>0</v>
      </c>
      <c r="BO186" s="493">
        <v>0</v>
      </c>
    </row>
    <row r="187" spans="1:67" ht="15.75" thickBot="1">
      <c r="A187" s="473" t="s">
        <v>302</v>
      </c>
      <c r="B187" s="487">
        <v>79</v>
      </c>
      <c r="C187" s="482">
        <v>0.29799999999999999</v>
      </c>
      <c r="D187" s="486">
        <v>92</v>
      </c>
      <c r="E187" s="481">
        <v>0.34599999999999997</v>
      </c>
      <c r="F187" s="486">
        <v>94</v>
      </c>
      <c r="G187" s="482">
        <v>0.35599999999999998</v>
      </c>
      <c r="H187" s="487">
        <v>0</v>
      </c>
      <c r="I187" s="482">
        <v>0</v>
      </c>
      <c r="J187" s="486">
        <v>6</v>
      </c>
      <c r="K187" s="481">
        <v>1</v>
      </c>
      <c r="L187" s="486">
        <v>0</v>
      </c>
      <c r="M187" s="482">
        <v>0</v>
      </c>
      <c r="N187" s="487">
        <v>87</v>
      </c>
      <c r="O187" s="482">
        <v>1</v>
      </c>
      <c r="P187" s="486">
        <v>0</v>
      </c>
      <c r="Q187" s="481">
        <v>0</v>
      </c>
      <c r="R187" s="486">
        <v>0</v>
      </c>
      <c r="S187" s="482">
        <v>0</v>
      </c>
      <c r="T187" s="487">
        <v>138</v>
      </c>
      <c r="U187" s="482">
        <v>9.7000000000000003E-2</v>
      </c>
      <c r="V187" s="486">
        <v>710</v>
      </c>
      <c r="W187" s="481">
        <v>0.5</v>
      </c>
      <c r="X187" s="486">
        <v>573</v>
      </c>
      <c r="Y187" s="482">
        <v>0.40300000000000002</v>
      </c>
      <c r="Z187" s="487">
        <v>0</v>
      </c>
      <c r="AA187" s="482">
        <v>0</v>
      </c>
      <c r="AB187" s="486">
        <v>18</v>
      </c>
      <c r="AC187" s="481">
        <v>1</v>
      </c>
      <c r="AD187" s="486">
        <v>0</v>
      </c>
      <c r="AE187" s="482">
        <v>0</v>
      </c>
      <c r="AF187" s="501">
        <v>26074</v>
      </c>
      <c r="AG187" s="496">
        <v>0.17699999999999999</v>
      </c>
      <c r="AH187" s="500">
        <v>80276</v>
      </c>
      <c r="AI187" s="495">
        <v>0.54500000000000004</v>
      </c>
      <c r="AJ187" s="500">
        <v>40850</v>
      </c>
      <c r="AK187" s="496">
        <v>0.27800000000000002</v>
      </c>
      <c r="AL187" s="501">
        <v>0</v>
      </c>
      <c r="AM187" s="496">
        <v>0</v>
      </c>
      <c r="AN187" s="500">
        <v>64</v>
      </c>
      <c r="AO187" s="495">
        <v>0.40100000000000002</v>
      </c>
      <c r="AP187" s="500">
        <v>96</v>
      </c>
      <c r="AQ187" s="496">
        <v>0.59899999999999998</v>
      </c>
      <c r="AR187" s="501">
        <v>0</v>
      </c>
      <c r="AS187" s="496">
        <v>0</v>
      </c>
      <c r="AT187" s="500">
        <v>7</v>
      </c>
      <c r="AU187" s="495">
        <v>1</v>
      </c>
      <c r="AV187" s="500">
        <v>0</v>
      </c>
      <c r="AW187" s="496">
        <v>0</v>
      </c>
      <c r="AX187" s="501">
        <v>90</v>
      </c>
      <c r="AY187" s="496">
        <v>1</v>
      </c>
      <c r="AZ187" s="500">
        <v>0</v>
      </c>
      <c r="BA187" s="495">
        <v>0</v>
      </c>
      <c r="BB187" s="500">
        <v>0</v>
      </c>
      <c r="BC187" s="496">
        <v>0</v>
      </c>
      <c r="BD187" s="501">
        <v>152</v>
      </c>
      <c r="BE187" s="496">
        <v>9.4E-2</v>
      </c>
      <c r="BF187" s="500">
        <v>552</v>
      </c>
      <c r="BG187" s="495">
        <v>0.34399999999999997</v>
      </c>
      <c r="BH187" s="500">
        <v>903</v>
      </c>
      <c r="BI187" s="493">
        <v>0.56200000000000006</v>
      </c>
      <c r="BJ187" s="501">
        <v>0</v>
      </c>
      <c r="BK187" s="496">
        <v>0</v>
      </c>
      <c r="BL187" s="500">
        <v>0</v>
      </c>
      <c r="BM187" s="495">
        <v>0</v>
      </c>
      <c r="BN187" s="500">
        <v>0</v>
      </c>
      <c r="BO187" s="493">
        <v>0</v>
      </c>
    </row>
    <row r="188" spans="1:67">
      <c r="A188" s="472" t="s">
        <v>4</v>
      </c>
      <c r="B188" s="423">
        <v>0</v>
      </c>
      <c r="C188" s="446">
        <v>0</v>
      </c>
      <c r="D188" s="484">
        <v>0</v>
      </c>
      <c r="E188" s="485">
        <v>0</v>
      </c>
      <c r="F188" s="484">
        <v>0</v>
      </c>
      <c r="G188" s="446">
        <v>0</v>
      </c>
      <c r="H188" s="423">
        <v>0</v>
      </c>
      <c r="I188" s="446">
        <v>0</v>
      </c>
      <c r="J188" s="484">
        <v>0</v>
      </c>
      <c r="K188" s="485">
        <v>0</v>
      </c>
      <c r="L188" s="484">
        <v>0</v>
      </c>
      <c r="M188" s="446">
        <v>0</v>
      </c>
      <c r="N188" s="423">
        <v>0</v>
      </c>
      <c r="O188" s="446">
        <v>0</v>
      </c>
      <c r="P188" s="484">
        <v>0</v>
      </c>
      <c r="Q188" s="485">
        <v>0</v>
      </c>
      <c r="R188" s="484">
        <v>0</v>
      </c>
      <c r="S188" s="446">
        <v>0</v>
      </c>
      <c r="T188" s="423">
        <v>0</v>
      </c>
      <c r="U188" s="446">
        <v>0</v>
      </c>
      <c r="V188" s="484">
        <v>0</v>
      </c>
      <c r="W188" s="485">
        <v>0</v>
      </c>
      <c r="X188" s="484">
        <v>0</v>
      </c>
      <c r="Y188" s="446">
        <v>0</v>
      </c>
      <c r="Z188" s="423">
        <v>0</v>
      </c>
      <c r="AA188" s="446">
        <v>0</v>
      </c>
      <c r="AB188" s="484">
        <v>0</v>
      </c>
      <c r="AC188" s="485">
        <v>0</v>
      </c>
      <c r="AD188" s="484">
        <v>0</v>
      </c>
      <c r="AE188" s="446">
        <v>0</v>
      </c>
      <c r="AF188" s="444">
        <v>637</v>
      </c>
      <c r="AG188" s="445">
        <v>0.23300000000000001</v>
      </c>
      <c r="AH188" s="498">
        <v>1452</v>
      </c>
      <c r="AI188" s="499">
        <v>0.53100000000000003</v>
      </c>
      <c r="AJ188" s="498">
        <v>647</v>
      </c>
      <c r="AK188" s="445">
        <v>0.23699999999999999</v>
      </c>
      <c r="AL188" s="444">
        <v>0</v>
      </c>
      <c r="AM188" s="445">
        <v>0</v>
      </c>
      <c r="AN188" s="498">
        <v>0</v>
      </c>
      <c r="AO188" s="499">
        <v>0</v>
      </c>
      <c r="AP188" s="498">
        <v>0</v>
      </c>
      <c r="AQ188" s="445">
        <v>0</v>
      </c>
      <c r="AR188" s="444">
        <v>0</v>
      </c>
      <c r="AS188" s="445">
        <v>0</v>
      </c>
      <c r="AT188" s="498">
        <v>0</v>
      </c>
      <c r="AU188" s="499">
        <v>0</v>
      </c>
      <c r="AV188" s="498">
        <v>0</v>
      </c>
      <c r="AW188" s="445">
        <v>0</v>
      </c>
      <c r="AX188" s="444">
        <v>0</v>
      </c>
      <c r="AY188" s="445">
        <v>0</v>
      </c>
      <c r="AZ188" s="498">
        <v>0</v>
      </c>
      <c r="BA188" s="499">
        <v>0</v>
      </c>
      <c r="BB188" s="498">
        <v>0</v>
      </c>
      <c r="BC188" s="445">
        <v>0</v>
      </c>
      <c r="BD188" s="444">
        <v>0</v>
      </c>
      <c r="BE188" s="445">
        <v>0</v>
      </c>
      <c r="BF188" s="498">
        <v>159</v>
      </c>
      <c r="BG188" s="499">
        <v>0.66700000000000004</v>
      </c>
      <c r="BH188" s="498">
        <v>80</v>
      </c>
      <c r="BI188" s="417">
        <v>0.33300000000000002</v>
      </c>
      <c r="BJ188" s="444">
        <v>0</v>
      </c>
      <c r="BK188" s="445">
        <v>0</v>
      </c>
      <c r="BL188" s="498">
        <v>0</v>
      </c>
      <c r="BM188" s="499">
        <v>0</v>
      </c>
      <c r="BN188" s="498">
        <v>0</v>
      </c>
      <c r="BO188" s="417">
        <v>0</v>
      </c>
    </row>
    <row r="189" spans="1:67">
      <c r="A189" s="471" t="s">
        <v>309</v>
      </c>
      <c r="B189" s="483">
        <v>0</v>
      </c>
      <c r="C189" s="482">
        <v>0</v>
      </c>
      <c r="D189" s="480">
        <v>0</v>
      </c>
      <c r="E189" s="481">
        <v>0</v>
      </c>
      <c r="F189" s="480">
        <v>0</v>
      </c>
      <c r="G189" s="482">
        <v>0</v>
      </c>
      <c r="H189" s="483">
        <v>0</v>
      </c>
      <c r="I189" s="482">
        <v>0</v>
      </c>
      <c r="J189" s="480">
        <v>0</v>
      </c>
      <c r="K189" s="481">
        <v>0</v>
      </c>
      <c r="L189" s="480">
        <v>0</v>
      </c>
      <c r="M189" s="482">
        <v>0</v>
      </c>
      <c r="N189" s="483">
        <v>0</v>
      </c>
      <c r="O189" s="482">
        <v>0</v>
      </c>
      <c r="P189" s="480">
        <v>0</v>
      </c>
      <c r="Q189" s="481">
        <v>0</v>
      </c>
      <c r="R189" s="480">
        <v>0</v>
      </c>
      <c r="S189" s="482">
        <v>0</v>
      </c>
      <c r="T189" s="483">
        <v>5</v>
      </c>
      <c r="U189" s="482">
        <v>0.06</v>
      </c>
      <c r="V189" s="480">
        <v>58</v>
      </c>
      <c r="W189" s="481">
        <v>0.64700000000000002</v>
      </c>
      <c r="X189" s="480">
        <v>26</v>
      </c>
      <c r="Y189" s="482">
        <v>0.29299999999999998</v>
      </c>
      <c r="Z189" s="483">
        <v>0</v>
      </c>
      <c r="AA189" s="482">
        <v>0</v>
      </c>
      <c r="AB189" s="480">
        <v>0</v>
      </c>
      <c r="AC189" s="481">
        <v>0</v>
      </c>
      <c r="AD189" s="480">
        <v>0</v>
      </c>
      <c r="AE189" s="482">
        <v>0</v>
      </c>
      <c r="AF189" s="497">
        <v>556</v>
      </c>
      <c r="AG189" s="496">
        <v>8.2000000000000003E-2</v>
      </c>
      <c r="AH189" s="494">
        <v>3286</v>
      </c>
      <c r="AI189" s="495">
        <v>0.48499999999999999</v>
      </c>
      <c r="AJ189" s="494">
        <v>2934</v>
      </c>
      <c r="AK189" s="496">
        <v>0.433</v>
      </c>
      <c r="AL189" s="497">
        <v>0</v>
      </c>
      <c r="AM189" s="496">
        <v>0</v>
      </c>
      <c r="AN189" s="494">
        <v>0</v>
      </c>
      <c r="AO189" s="495">
        <v>0</v>
      </c>
      <c r="AP189" s="494">
        <v>0</v>
      </c>
      <c r="AQ189" s="496">
        <v>0</v>
      </c>
      <c r="AR189" s="497">
        <v>0</v>
      </c>
      <c r="AS189" s="496">
        <v>0</v>
      </c>
      <c r="AT189" s="494">
        <v>5</v>
      </c>
      <c r="AU189" s="495">
        <v>1</v>
      </c>
      <c r="AV189" s="494">
        <v>0</v>
      </c>
      <c r="AW189" s="496">
        <v>0</v>
      </c>
      <c r="AX189" s="497">
        <v>0</v>
      </c>
      <c r="AY189" s="496">
        <v>0</v>
      </c>
      <c r="AZ189" s="494">
        <v>0</v>
      </c>
      <c r="BA189" s="495">
        <v>0</v>
      </c>
      <c r="BB189" s="494">
        <v>0</v>
      </c>
      <c r="BC189" s="496">
        <v>0</v>
      </c>
      <c r="BD189" s="497">
        <v>21</v>
      </c>
      <c r="BE189" s="496">
        <v>0.13800000000000001</v>
      </c>
      <c r="BF189" s="494">
        <v>26</v>
      </c>
      <c r="BG189" s="495">
        <v>0.17399999999999999</v>
      </c>
      <c r="BH189" s="494">
        <v>103</v>
      </c>
      <c r="BI189" s="493">
        <v>0.68700000000000006</v>
      </c>
      <c r="BJ189" s="497">
        <v>0</v>
      </c>
      <c r="BK189" s="496">
        <v>0</v>
      </c>
      <c r="BL189" s="494">
        <v>0</v>
      </c>
      <c r="BM189" s="495">
        <v>0</v>
      </c>
      <c r="BN189" s="494">
        <v>0</v>
      </c>
      <c r="BO189" s="493">
        <v>0</v>
      </c>
    </row>
    <row r="190" spans="1:67">
      <c r="A190" s="471" t="s">
        <v>308</v>
      </c>
      <c r="B190" s="483">
        <v>0</v>
      </c>
      <c r="C190" s="482">
        <v>0</v>
      </c>
      <c r="D190" s="480">
        <v>0</v>
      </c>
      <c r="E190" s="481">
        <v>0</v>
      </c>
      <c r="F190" s="480">
        <v>0</v>
      </c>
      <c r="G190" s="482">
        <v>0</v>
      </c>
      <c r="H190" s="483">
        <v>0</v>
      </c>
      <c r="I190" s="482">
        <v>0</v>
      </c>
      <c r="J190" s="480">
        <v>0</v>
      </c>
      <c r="K190" s="481">
        <v>0</v>
      </c>
      <c r="L190" s="480">
        <v>0</v>
      </c>
      <c r="M190" s="482">
        <v>0</v>
      </c>
      <c r="N190" s="483">
        <v>0</v>
      </c>
      <c r="O190" s="482">
        <v>0</v>
      </c>
      <c r="P190" s="480">
        <v>0</v>
      </c>
      <c r="Q190" s="481">
        <v>0</v>
      </c>
      <c r="R190" s="480">
        <v>0</v>
      </c>
      <c r="S190" s="482">
        <v>0</v>
      </c>
      <c r="T190" s="483">
        <v>0</v>
      </c>
      <c r="U190" s="482">
        <v>0</v>
      </c>
      <c r="V190" s="480">
        <v>241</v>
      </c>
      <c r="W190" s="481">
        <v>0.66700000000000004</v>
      </c>
      <c r="X190" s="480">
        <v>120</v>
      </c>
      <c r="Y190" s="482">
        <v>0.33300000000000002</v>
      </c>
      <c r="Z190" s="483">
        <v>0</v>
      </c>
      <c r="AA190" s="482">
        <v>0</v>
      </c>
      <c r="AB190" s="480">
        <v>0</v>
      </c>
      <c r="AC190" s="481">
        <v>0</v>
      </c>
      <c r="AD190" s="480">
        <v>0</v>
      </c>
      <c r="AE190" s="482">
        <v>0</v>
      </c>
      <c r="AF190" s="497">
        <v>2119</v>
      </c>
      <c r="AG190" s="496">
        <v>0.187</v>
      </c>
      <c r="AH190" s="494">
        <v>6840</v>
      </c>
      <c r="AI190" s="495">
        <v>0.60299999999999998</v>
      </c>
      <c r="AJ190" s="494">
        <v>2393</v>
      </c>
      <c r="AK190" s="496">
        <v>0.21099999999999999</v>
      </c>
      <c r="AL190" s="497">
        <v>0</v>
      </c>
      <c r="AM190" s="496">
        <v>0</v>
      </c>
      <c r="AN190" s="494">
        <v>0</v>
      </c>
      <c r="AO190" s="495">
        <v>0</v>
      </c>
      <c r="AP190" s="494">
        <v>0</v>
      </c>
      <c r="AQ190" s="496">
        <v>0</v>
      </c>
      <c r="AR190" s="497">
        <v>0</v>
      </c>
      <c r="AS190" s="496">
        <v>0</v>
      </c>
      <c r="AT190" s="494">
        <v>0</v>
      </c>
      <c r="AU190" s="495">
        <v>0</v>
      </c>
      <c r="AV190" s="494">
        <v>0</v>
      </c>
      <c r="AW190" s="496">
        <v>0</v>
      </c>
      <c r="AX190" s="497">
        <v>0</v>
      </c>
      <c r="AY190" s="496">
        <v>0</v>
      </c>
      <c r="AZ190" s="494">
        <v>0</v>
      </c>
      <c r="BA190" s="495">
        <v>0</v>
      </c>
      <c r="BB190" s="494">
        <v>0</v>
      </c>
      <c r="BC190" s="496">
        <v>0</v>
      </c>
      <c r="BD190" s="497">
        <v>0</v>
      </c>
      <c r="BE190" s="496">
        <v>0</v>
      </c>
      <c r="BF190" s="494">
        <v>267</v>
      </c>
      <c r="BG190" s="495">
        <v>0.9</v>
      </c>
      <c r="BH190" s="494">
        <v>30</v>
      </c>
      <c r="BI190" s="493">
        <v>0.1</v>
      </c>
      <c r="BJ190" s="497">
        <v>0</v>
      </c>
      <c r="BK190" s="496">
        <v>0</v>
      </c>
      <c r="BL190" s="494">
        <v>0</v>
      </c>
      <c r="BM190" s="495">
        <v>0</v>
      </c>
      <c r="BN190" s="494">
        <v>0</v>
      </c>
      <c r="BO190" s="493">
        <v>0</v>
      </c>
    </row>
    <row r="191" spans="1:67">
      <c r="A191" s="471" t="s">
        <v>307</v>
      </c>
      <c r="B191" s="483">
        <v>0</v>
      </c>
      <c r="C191" s="482">
        <v>0</v>
      </c>
      <c r="D191" s="480">
        <v>0</v>
      </c>
      <c r="E191" s="481">
        <v>0</v>
      </c>
      <c r="F191" s="480">
        <v>0</v>
      </c>
      <c r="G191" s="482">
        <v>0</v>
      </c>
      <c r="H191" s="483">
        <v>0</v>
      </c>
      <c r="I191" s="482">
        <v>0</v>
      </c>
      <c r="J191" s="480">
        <v>0</v>
      </c>
      <c r="K191" s="481">
        <v>0</v>
      </c>
      <c r="L191" s="480">
        <v>0</v>
      </c>
      <c r="M191" s="482">
        <v>0</v>
      </c>
      <c r="N191" s="483">
        <v>0</v>
      </c>
      <c r="O191" s="482">
        <v>0</v>
      </c>
      <c r="P191" s="480">
        <v>0</v>
      </c>
      <c r="Q191" s="481">
        <v>0</v>
      </c>
      <c r="R191" s="480">
        <v>0</v>
      </c>
      <c r="S191" s="482">
        <v>0</v>
      </c>
      <c r="T191" s="483">
        <v>0</v>
      </c>
      <c r="U191" s="482">
        <v>0</v>
      </c>
      <c r="V191" s="480">
        <v>57</v>
      </c>
      <c r="W191" s="481">
        <v>1</v>
      </c>
      <c r="X191" s="480">
        <v>0</v>
      </c>
      <c r="Y191" s="482">
        <v>0</v>
      </c>
      <c r="Z191" s="483">
        <v>0</v>
      </c>
      <c r="AA191" s="482">
        <v>0</v>
      </c>
      <c r="AB191" s="480">
        <v>0</v>
      </c>
      <c r="AC191" s="481">
        <v>0</v>
      </c>
      <c r="AD191" s="480">
        <v>0</v>
      </c>
      <c r="AE191" s="482">
        <v>0</v>
      </c>
      <c r="AF191" s="497">
        <v>2434</v>
      </c>
      <c r="AG191" s="496">
        <v>0.23300000000000001</v>
      </c>
      <c r="AH191" s="494">
        <v>5725</v>
      </c>
      <c r="AI191" s="495">
        <v>0.54900000000000004</v>
      </c>
      <c r="AJ191" s="494">
        <v>2269</v>
      </c>
      <c r="AK191" s="496">
        <v>0.218</v>
      </c>
      <c r="AL191" s="497">
        <v>0</v>
      </c>
      <c r="AM191" s="496">
        <v>0</v>
      </c>
      <c r="AN191" s="494">
        <v>0</v>
      </c>
      <c r="AO191" s="495">
        <v>0</v>
      </c>
      <c r="AP191" s="494">
        <v>0</v>
      </c>
      <c r="AQ191" s="496">
        <v>0</v>
      </c>
      <c r="AR191" s="497">
        <v>0</v>
      </c>
      <c r="AS191" s="496">
        <v>0</v>
      </c>
      <c r="AT191" s="494">
        <v>0</v>
      </c>
      <c r="AU191" s="495">
        <v>0</v>
      </c>
      <c r="AV191" s="494">
        <v>0</v>
      </c>
      <c r="AW191" s="496">
        <v>0</v>
      </c>
      <c r="AX191" s="497">
        <v>0</v>
      </c>
      <c r="AY191" s="496">
        <v>0</v>
      </c>
      <c r="AZ191" s="494">
        <v>0</v>
      </c>
      <c r="BA191" s="495">
        <v>0</v>
      </c>
      <c r="BB191" s="494">
        <v>0</v>
      </c>
      <c r="BC191" s="496">
        <v>0</v>
      </c>
      <c r="BD191" s="497">
        <v>0</v>
      </c>
      <c r="BE191" s="496">
        <v>0</v>
      </c>
      <c r="BF191" s="494">
        <v>202</v>
      </c>
      <c r="BG191" s="495">
        <v>1</v>
      </c>
      <c r="BH191" s="494">
        <v>0</v>
      </c>
      <c r="BI191" s="493">
        <v>0</v>
      </c>
      <c r="BJ191" s="497">
        <v>0</v>
      </c>
      <c r="BK191" s="496">
        <v>0</v>
      </c>
      <c r="BL191" s="494">
        <v>0</v>
      </c>
      <c r="BM191" s="495">
        <v>0</v>
      </c>
      <c r="BN191" s="494">
        <v>0</v>
      </c>
      <c r="BO191" s="493">
        <v>0</v>
      </c>
    </row>
    <row r="192" spans="1:67">
      <c r="A192" s="471" t="s">
        <v>306</v>
      </c>
      <c r="B192" s="483">
        <v>0</v>
      </c>
      <c r="C192" s="482">
        <v>0</v>
      </c>
      <c r="D192" s="480">
        <v>75</v>
      </c>
      <c r="E192" s="481">
        <v>1</v>
      </c>
      <c r="F192" s="480">
        <v>0</v>
      </c>
      <c r="G192" s="482">
        <v>0</v>
      </c>
      <c r="H192" s="483">
        <v>0</v>
      </c>
      <c r="I192" s="482">
        <v>0</v>
      </c>
      <c r="J192" s="480">
        <v>0</v>
      </c>
      <c r="K192" s="481">
        <v>0</v>
      </c>
      <c r="L192" s="480">
        <v>0</v>
      </c>
      <c r="M192" s="482">
        <v>0</v>
      </c>
      <c r="N192" s="483">
        <v>0</v>
      </c>
      <c r="O192" s="482">
        <v>0</v>
      </c>
      <c r="P192" s="480">
        <v>0</v>
      </c>
      <c r="Q192" s="481">
        <v>0</v>
      </c>
      <c r="R192" s="480">
        <v>0</v>
      </c>
      <c r="S192" s="482">
        <v>0</v>
      </c>
      <c r="T192" s="483">
        <v>53</v>
      </c>
      <c r="U192" s="482">
        <v>0.16900000000000001</v>
      </c>
      <c r="V192" s="480">
        <v>155</v>
      </c>
      <c r="W192" s="481">
        <v>0.49399999999999999</v>
      </c>
      <c r="X192" s="480">
        <v>106</v>
      </c>
      <c r="Y192" s="482">
        <v>0.33800000000000002</v>
      </c>
      <c r="Z192" s="483">
        <v>0</v>
      </c>
      <c r="AA192" s="482">
        <v>0</v>
      </c>
      <c r="AB192" s="480">
        <v>0</v>
      </c>
      <c r="AC192" s="481">
        <v>0</v>
      </c>
      <c r="AD192" s="480">
        <v>0</v>
      </c>
      <c r="AE192" s="482">
        <v>0</v>
      </c>
      <c r="AF192" s="497">
        <v>2227</v>
      </c>
      <c r="AG192" s="496">
        <v>0.127</v>
      </c>
      <c r="AH192" s="494">
        <v>8999</v>
      </c>
      <c r="AI192" s="495">
        <v>0.51300000000000001</v>
      </c>
      <c r="AJ192" s="494">
        <v>6325</v>
      </c>
      <c r="AK192" s="496">
        <v>0.36</v>
      </c>
      <c r="AL192" s="497">
        <v>0</v>
      </c>
      <c r="AM192" s="496">
        <v>0</v>
      </c>
      <c r="AN192" s="494">
        <v>53</v>
      </c>
      <c r="AO192" s="495">
        <v>1</v>
      </c>
      <c r="AP192" s="494">
        <v>0</v>
      </c>
      <c r="AQ192" s="496">
        <v>0</v>
      </c>
      <c r="AR192" s="497">
        <v>0</v>
      </c>
      <c r="AS192" s="496">
        <v>0</v>
      </c>
      <c r="AT192" s="494">
        <v>0</v>
      </c>
      <c r="AU192" s="495">
        <v>0</v>
      </c>
      <c r="AV192" s="494">
        <v>0</v>
      </c>
      <c r="AW192" s="496">
        <v>0</v>
      </c>
      <c r="AX192" s="497">
        <v>0</v>
      </c>
      <c r="AY192" s="496">
        <v>0</v>
      </c>
      <c r="AZ192" s="494">
        <v>0</v>
      </c>
      <c r="BA192" s="495">
        <v>0</v>
      </c>
      <c r="BB192" s="494">
        <v>0</v>
      </c>
      <c r="BC192" s="496">
        <v>0</v>
      </c>
      <c r="BD192" s="497">
        <v>0</v>
      </c>
      <c r="BE192" s="496">
        <v>0</v>
      </c>
      <c r="BF192" s="494">
        <v>277</v>
      </c>
      <c r="BG192" s="495">
        <v>0.53700000000000003</v>
      </c>
      <c r="BH192" s="494">
        <v>239</v>
      </c>
      <c r="BI192" s="493">
        <v>0.46300000000000002</v>
      </c>
      <c r="BJ192" s="497">
        <v>0</v>
      </c>
      <c r="BK192" s="496">
        <v>0</v>
      </c>
      <c r="BL192" s="494">
        <v>0</v>
      </c>
      <c r="BM192" s="495">
        <v>0</v>
      </c>
      <c r="BN192" s="494">
        <v>0</v>
      </c>
      <c r="BO192" s="493">
        <v>0</v>
      </c>
    </row>
    <row r="193" spans="1:67">
      <c r="A193" s="471" t="s">
        <v>305</v>
      </c>
      <c r="B193" s="483">
        <v>0</v>
      </c>
      <c r="C193" s="482">
        <v>0</v>
      </c>
      <c r="D193" s="480">
        <v>0</v>
      </c>
      <c r="E193" s="481">
        <v>0</v>
      </c>
      <c r="F193" s="480">
        <v>0</v>
      </c>
      <c r="G193" s="482">
        <v>0</v>
      </c>
      <c r="H193" s="483">
        <v>0</v>
      </c>
      <c r="I193" s="482">
        <v>0</v>
      </c>
      <c r="J193" s="480">
        <v>0</v>
      </c>
      <c r="K193" s="481">
        <v>0</v>
      </c>
      <c r="L193" s="480">
        <v>0</v>
      </c>
      <c r="M193" s="482">
        <v>0</v>
      </c>
      <c r="N193" s="483">
        <v>0</v>
      </c>
      <c r="O193" s="482">
        <v>0</v>
      </c>
      <c r="P193" s="480">
        <v>0</v>
      </c>
      <c r="Q193" s="481">
        <v>0</v>
      </c>
      <c r="R193" s="480">
        <v>0</v>
      </c>
      <c r="S193" s="482">
        <v>0</v>
      </c>
      <c r="T193" s="483">
        <v>50</v>
      </c>
      <c r="U193" s="482">
        <v>0.14199999999999999</v>
      </c>
      <c r="V193" s="480">
        <v>172</v>
      </c>
      <c r="W193" s="481">
        <v>0.48599999999999999</v>
      </c>
      <c r="X193" s="480">
        <v>132</v>
      </c>
      <c r="Y193" s="482">
        <v>0.373</v>
      </c>
      <c r="Z193" s="483">
        <v>0</v>
      </c>
      <c r="AA193" s="482">
        <v>0</v>
      </c>
      <c r="AB193" s="480">
        <v>0</v>
      </c>
      <c r="AC193" s="481">
        <v>0</v>
      </c>
      <c r="AD193" s="480">
        <v>0</v>
      </c>
      <c r="AE193" s="482">
        <v>0</v>
      </c>
      <c r="AF193" s="497">
        <v>7280</v>
      </c>
      <c r="AG193" s="496">
        <v>0.17899999999999999</v>
      </c>
      <c r="AH193" s="494">
        <v>23546</v>
      </c>
      <c r="AI193" s="495">
        <v>0.57999999999999996</v>
      </c>
      <c r="AJ193" s="494">
        <v>9802</v>
      </c>
      <c r="AK193" s="496">
        <v>0.24099999999999999</v>
      </c>
      <c r="AL193" s="497">
        <v>0</v>
      </c>
      <c r="AM193" s="496">
        <v>0</v>
      </c>
      <c r="AN193" s="494">
        <v>0</v>
      </c>
      <c r="AO193" s="495">
        <v>0</v>
      </c>
      <c r="AP193" s="494">
        <v>15</v>
      </c>
      <c r="AQ193" s="496">
        <v>1</v>
      </c>
      <c r="AR193" s="497">
        <v>0</v>
      </c>
      <c r="AS193" s="496">
        <v>0</v>
      </c>
      <c r="AT193" s="494">
        <v>0</v>
      </c>
      <c r="AU193" s="495">
        <v>0</v>
      </c>
      <c r="AV193" s="494">
        <v>0</v>
      </c>
      <c r="AW193" s="496">
        <v>0</v>
      </c>
      <c r="AX193" s="497">
        <v>0</v>
      </c>
      <c r="AY193" s="496">
        <v>0</v>
      </c>
      <c r="AZ193" s="494">
        <v>0</v>
      </c>
      <c r="BA193" s="495">
        <v>0</v>
      </c>
      <c r="BB193" s="494">
        <v>0</v>
      </c>
      <c r="BC193" s="496">
        <v>0</v>
      </c>
      <c r="BD193" s="497">
        <v>0</v>
      </c>
      <c r="BE193" s="496">
        <v>0</v>
      </c>
      <c r="BF193" s="494">
        <v>169</v>
      </c>
      <c r="BG193" s="495">
        <v>0.40400000000000003</v>
      </c>
      <c r="BH193" s="494">
        <v>249</v>
      </c>
      <c r="BI193" s="493">
        <v>0.59599999999999997</v>
      </c>
      <c r="BJ193" s="497">
        <v>0</v>
      </c>
      <c r="BK193" s="496">
        <v>0</v>
      </c>
      <c r="BL193" s="494">
        <v>0</v>
      </c>
      <c r="BM193" s="495">
        <v>0</v>
      </c>
      <c r="BN193" s="494">
        <v>0</v>
      </c>
      <c r="BO193" s="493">
        <v>0</v>
      </c>
    </row>
    <row r="194" spans="1:67" ht="24">
      <c r="A194" s="471" t="s">
        <v>304</v>
      </c>
      <c r="B194" s="483">
        <v>0</v>
      </c>
      <c r="C194" s="482">
        <v>0</v>
      </c>
      <c r="D194" s="480">
        <v>0</v>
      </c>
      <c r="E194" s="481">
        <v>0</v>
      </c>
      <c r="F194" s="480">
        <v>79</v>
      </c>
      <c r="G194" s="482">
        <v>1</v>
      </c>
      <c r="H194" s="483">
        <v>0</v>
      </c>
      <c r="I194" s="482">
        <v>0</v>
      </c>
      <c r="J194" s="480">
        <v>0</v>
      </c>
      <c r="K194" s="481">
        <v>0</v>
      </c>
      <c r="L194" s="480">
        <v>0</v>
      </c>
      <c r="M194" s="482">
        <v>0</v>
      </c>
      <c r="N194" s="483">
        <v>0</v>
      </c>
      <c r="O194" s="482">
        <v>0</v>
      </c>
      <c r="P194" s="480">
        <v>0</v>
      </c>
      <c r="Q194" s="481">
        <v>0</v>
      </c>
      <c r="R194" s="480">
        <v>0</v>
      </c>
      <c r="S194" s="482">
        <v>0</v>
      </c>
      <c r="T194" s="483">
        <v>52</v>
      </c>
      <c r="U194" s="482">
        <v>0.17799999999999999</v>
      </c>
      <c r="V194" s="480">
        <v>169</v>
      </c>
      <c r="W194" s="481">
        <v>0.57599999999999996</v>
      </c>
      <c r="X194" s="480">
        <v>72</v>
      </c>
      <c r="Y194" s="482">
        <v>0.246</v>
      </c>
      <c r="Z194" s="483">
        <v>0</v>
      </c>
      <c r="AA194" s="482">
        <v>0</v>
      </c>
      <c r="AB194" s="480">
        <v>0</v>
      </c>
      <c r="AC194" s="481">
        <v>0</v>
      </c>
      <c r="AD194" s="480">
        <v>0</v>
      </c>
      <c r="AE194" s="482">
        <v>0</v>
      </c>
      <c r="AF194" s="497">
        <v>7918</v>
      </c>
      <c r="AG194" s="496">
        <v>0.193</v>
      </c>
      <c r="AH194" s="494">
        <v>23980</v>
      </c>
      <c r="AI194" s="495">
        <v>0.58299999999999996</v>
      </c>
      <c r="AJ194" s="494">
        <v>9209</v>
      </c>
      <c r="AK194" s="496">
        <v>0.224</v>
      </c>
      <c r="AL194" s="497">
        <v>0</v>
      </c>
      <c r="AM194" s="496">
        <v>0</v>
      </c>
      <c r="AN194" s="494">
        <v>69</v>
      </c>
      <c r="AO194" s="495">
        <v>1</v>
      </c>
      <c r="AP194" s="494">
        <v>0</v>
      </c>
      <c r="AQ194" s="496">
        <v>0</v>
      </c>
      <c r="AR194" s="497">
        <v>0</v>
      </c>
      <c r="AS194" s="496">
        <v>0</v>
      </c>
      <c r="AT194" s="494">
        <v>0</v>
      </c>
      <c r="AU194" s="495">
        <v>0</v>
      </c>
      <c r="AV194" s="494">
        <v>0</v>
      </c>
      <c r="AW194" s="496">
        <v>0</v>
      </c>
      <c r="AX194" s="497">
        <v>0</v>
      </c>
      <c r="AY194" s="496">
        <v>0</v>
      </c>
      <c r="AZ194" s="494">
        <v>0</v>
      </c>
      <c r="BA194" s="495">
        <v>0</v>
      </c>
      <c r="BB194" s="494">
        <v>0</v>
      </c>
      <c r="BC194" s="496">
        <v>0</v>
      </c>
      <c r="BD194" s="497">
        <v>5</v>
      </c>
      <c r="BE194" s="496">
        <v>1.2E-2</v>
      </c>
      <c r="BF194" s="494">
        <v>210</v>
      </c>
      <c r="BG194" s="495">
        <v>0.504</v>
      </c>
      <c r="BH194" s="494">
        <v>202</v>
      </c>
      <c r="BI194" s="493">
        <v>0.48299999999999998</v>
      </c>
      <c r="BJ194" s="497">
        <v>0</v>
      </c>
      <c r="BK194" s="496">
        <v>0</v>
      </c>
      <c r="BL194" s="494">
        <v>0</v>
      </c>
      <c r="BM194" s="495">
        <v>0</v>
      </c>
      <c r="BN194" s="494">
        <v>0</v>
      </c>
      <c r="BO194" s="493">
        <v>0</v>
      </c>
    </row>
    <row r="195" spans="1:67" ht="24">
      <c r="A195" s="471" t="s">
        <v>303</v>
      </c>
      <c r="B195" s="483">
        <v>0</v>
      </c>
      <c r="C195" s="482">
        <v>0</v>
      </c>
      <c r="D195" s="480">
        <v>68</v>
      </c>
      <c r="E195" s="481">
        <v>1</v>
      </c>
      <c r="F195" s="480">
        <v>0</v>
      </c>
      <c r="G195" s="482">
        <v>0</v>
      </c>
      <c r="H195" s="483">
        <v>0</v>
      </c>
      <c r="I195" s="482">
        <v>0</v>
      </c>
      <c r="J195" s="480">
        <v>0</v>
      </c>
      <c r="K195" s="481">
        <v>0</v>
      </c>
      <c r="L195" s="480">
        <v>0</v>
      </c>
      <c r="M195" s="482">
        <v>0</v>
      </c>
      <c r="N195" s="483">
        <v>0</v>
      </c>
      <c r="O195" s="482">
        <v>0</v>
      </c>
      <c r="P195" s="480">
        <v>0</v>
      </c>
      <c r="Q195" s="481">
        <v>0</v>
      </c>
      <c r="R195" s="480">
        <v>0</v>
      </c>
      <c r="S195" s="482">
        <v>0</v>
      </c>
      <c r="T195" s="483">
        <v>0</v>
      </c>
      <c r="U195" s="482">
        <v>0</v>
      </c>
      <c r="V195" s="480">
        <v>0</v>
      </c>
      <c r="W195" s="481">
        <v>0</v>
      </c>
      <c r="X195" s="480">
        <v>0</v>
      </c>
      <c r="Y195" s="482">
        <v>0</v>
      </c>
      <c r="Z195" s="483">
        <v>0</v>
      </c>
      <c r="AA195" s="482">
        <v>0</v>
      </c>
      <c r="AB195" s="480">
        <v>0</v>
      </c>
      <c r="AC195" s="481">
        <v>0</v>
      </c>
      <c r="AD195" s="480">
        <v>0</v>
      </c>
      <c r="AE195" s="482">
        <v>0</v>
      </c>
      <c r="AF195" s="497">
        <v>343</v>
      </c>
      <c r="AG195" s="496">
        <v>0.125</v>
      </c>
      <c r="AH195" s="494">
        <v>1557</v>
      </c>
      <c r="AI195" s="495">
        <v>0.56899999999999995</v>
      </c>
      <c r="AJ195" s="494">
        <v>836</v>
      </c>
      <c r="AK195" s="496">
        <v>0.30599999999999999</v>
      </c>
      <c r="AL195" s="497">
        <v>0</v>
      </c>
      <c r="AM195" s="496">
        <v>0</v>
      </c>
      <c r="AN195" s="494">
        <v>0</v>
      </c>
      <c r="AO195" s="495">
        <v>0</v>
      </c>
      <c r="AP195" s="494">
        <v>0</v>
      </c>
      <c r="AQ195" s="496">
        <v>0</v>
      </c>
      <c r="AR195" s="497">
        <v>0</v>
      </c>
      <c r="AS195" s="496">
        <v>0</v>
      </c>
      <c r="AT195" s="494">
        <v>0</v>
      </c>
      <c r="AU195" s="495">
        <v>0</v>
      </c>
      <c r="AV195" s="494">
        <v>0</v>
      </c>
      <c r="AW195" s="496">
        <v>0</v>
      </c>
      <c r="AX195" s="497">
        <v>0</v>
      </c>
      <c r="AY195" s="496">
        <v>0</v>
      </c>
      <c r="AZ195" s="494">
        <v>0</v>
      </c>
      <c r="BA195" s="495">
        <v>0</v>
      </c>
      <c r="BB195" s="494">
        <v>0</v>
      </c>
      <c r="BC195" s="496">
        <v>0</v>
      </c>
      <c r="BD195" s="497">
        <v>0</v>
      </c>
      <c r="BE195" s="496">
        <v>0</v>
      </c>
      <c r="BF195" s="494">
        <v>0</v>
      </c>
      <c r="BG195" s="495">
        <v>0</v>
      </c>
      <c r="BH195" s="494">
        <v>68</v>
      </c>
      <c r="BI195" s="493">
        <v>1</v>
      </c>
      <c r="BJ195" s="497">
        <v>0</v>
      </c>
      <c r="BK195" s="496">
        <v>0</v>
      </c>
      <c r="BL195" s="494">
        <v>0</v>
      </c>
      <c r="BM195" s="495">
        <v>0</v>
      </c>
      <c r="BN195" s="494">
        <v>0</v>
      </c>
      <c r="BO195" s="493">
        <v>0</v>
      </c>
    </row>
    <row r="196" spans="1:67" ht="15.75" thickBot="1">
      <c r="A196" s="473" t="s">
        <v>302</v>
      </c>
      <c r="B196" s="487">
        <v>0</v>
      </c>
      <c r="C196" s="482">
        <v>0</v>
      </c>
      <c r="D196" s="486">
        <v>142</v>
      </c>
      <c r="E196" s="481">
        <v>0.64200000000000002</v>
      </c>
      <c r="F196" s="486">
        <v>79</v>
      </c>
      <c r="G196" s="482">
        <v>0.35799999999999998</v>
      </c>
      <c r="H196" s="487">
        <v>0</v>
      </c>
      <c r="I196" s="482">
        <v>0</v>
      </c>
      <c r="J196" s="486">
        <v>0</v>
      </c>
      <c r="K196" s="481">
        <v>0</v>
      </c>
      <c r="L196" s="486">
        <v>0</v>
      </c>
      <c r="M196" s="482">
        <v>0</v>
      </c>
      <c r="N196" s="487">
        <v>0</v>
      </c>
      <c r="O196" s="482">
        <v>0</v>
      </c>
      <c r="P196" s="486">
        <v>0</v>
      </c>
      <c r="Q196" s="481">
        <v>0</v>
      </c>
      <c r="R196" s="486">
        <v>0</v>
      </c>
      <c r="S196" s="482">
        <v>0</v>
      </c>
      <c r="T196" s="487">
        <v>161</v>
      </c>
      <c r="U196" s="482">
        <v>0.11</v>
      </c>
      <c r="V196" s="486">
        <v>851</v>
      </c>
      <c r="W196" s="481">
        <v>0.57999999999999996</v>
      </c>
      <c r="X196" s="486">
        <v>457</v>
      </c>
      <c r="Y196" s="482">
        <v>0.311</v>
      </c>
      <c r="Z196" s="487">
        <v>0</v>
      </c>
      <c r="AA196" s="482">
        <v>0</v>
      </c>
      <c r="AB196" s="486">
        <v>0</v>
      </c>
      <c r="AC196" s="481">
        <v>0</v>
      </c>
      <c r="AD196" s="486">
        <v>0</v>
      </c>
      <c r="AE196" s="482">
        <v>0</v>
      </c>
      <c r="AF196" s="501">
        <v>23514</v>
      </c>
      <c r="AG196" s="496">
        <v>0.17599999999999999</v>
      </c>
      <c r="AH196" s="500">
        <v>75386</v>
      </c>
      <c r="AI196" s="495">
        <v>0.56499999999999995</v>
      </c>
      <c r="AJ196" s="500">
        <v>34416</v>
      </c>
      <c r="AK196" s="496">
        <v>0.25800000000000001</v>
      </c>
      <c r="AL196" s="501">
        <v>0</v>
      </c>
      <c r="AM196" s="496">
        <v>0</v>
      </c>
      <c r="AN196" s="500">
        <v>122</v>
      </c>
      <c r="AO196" s="495">
        <v>0.88900000000000001</v>
      </c>
      <c r="AP196" s="500">
        <v>15</v>
      </c>
      <c r="AQ196" s="496">
        <v>0.111</v>
      </c>
      <c r="AR196" s="501">
        <v>0</v>
      </c>
      <c r="AS196" s="496">
        <v>0</v>
      </c>
      <c r="AT196" s="500">
        <v>5</v>
      </c>
      <c r="AU196" s="495">
        <v>1</v>
      </c>
      <c r="AV196" s="500">
        <v>0</v>
      </c>
      <c r="AW196" s="496">
        <v>0</v>
      </c>
      <c r="AX196" s="501">
        <v>0</v>
      </c>
      <c r="AY196" s="496">
        <v>0</v>
      </c>
      <c r="AZ196" s="500">
        <v>0</v>
      </c>
      <c r="BA196" s="495">
        <v>0</v>
      </c>
      <c r="BB196" s="500">
        <v>0</v>
      </c>
      <c r="BC196" s="496">
        <v>0</v>
      </c>
      <c r="BD196" s="501">
        <v>26</v>
      </c>
      <c r="BE196" s="496">
        <v>1.0999999999999999E-2</v>
      </c>
      <c r="BF196" s="500">
        <v>1312</v>
      </c>
      <c r="BG196" s="495">
        <v>0.56799999999999995</v>
      </c>
      <c r="BH196" s="500">
        <v>971</v>
      </c>
      <c r="BI196" s="493">
        <v>0.42099999999999999</v>
      </c>
      <c r="BJ196" s="501">
        <v>0</v>
      </c>
      <c r="BK196" s="496">
        <v>0</v>
      </c>
      <c r="BL196" s="500">
        <v>0</v>
      </c>
      <c r="BM196" s="495">
        <v>0</v>
      </c>
      <c r="BN196" s="500">
        <v>0</v>
      </c>
      <c r="BO196" s="493">
        <v>0</v>
      </c>
    </row>
    <row r="197" spans="1:67">
      <c r="A197" s="472" t="s">
        <v>3</v>
      </c>
      <c r="B197" s="423">
        <v>0</v>
      </c>
      <c r="C197" s="446">
        <v>0</v>
      </c>
      <c r="D197" s="484">
        <v>0</v>
      </c>
      <c r="E197" s="485">
        <v>0</v>
      </c>
      <c r="F197" s="484">
        <v>0</v>
      </c>
      <c r="G197" s="446">
        <v>0</v>
      </c>
      <c r="H197" s="423">
        <v>0</v>
      </c>
      <c r="I197" s="446">
        <v>0</v>
      </c>
      <c r="J197" s="484">
        <v>0</v>
      </c>
      <c r="K197" s="485">
        <v>0</v>
      </c>
      <c r="L197" s="484">
        <v>0</v>
      </c>
      <c r="M197" s="446">
        <v>0</v>
      </c>
      <c r="N197" s="423">
        <v>0</v>
      </c>
      <c r="O197" s="446">
        <v>0</v>
      </c>
      <c r="P197" s="484">
        <v>0</v>
      </c>
      <c r="Q197" s="485">
        <v>0</v>
      </c>
      <c r="R197" s="484">
        <v>0</v>
      </c>
      <c r="S197" s="446">
        <v>0</v>
      </c>
      <c r="T197" s="423">
        <v>0</v>
      </c>
      <c r="U197" s="446">
        <v>0</v>
      </c>
      <c r="V197" s="484">
        <v>0</v>
      </c>
      <c r="W197" s="485">
        <v>0</v>
      </c>
      <c r="X197" s="484">
        <v>0</v>
      </c>
      <c r="Y197" s="446">
        <v>0</v>
      </c>
      <c r="Z197" s="423">
        <v>0</v>
      </c>
      <c r="AA197" s="446">
        <v>0</v>
      </c>
      <c r="AB197" s="484">
        <v>0</v>
      </c>
      <c r="AC197" s="485">
        <v>0</v>
      </c>
      <c r="AD197" s="484">
        <v>0</v>
      </c>
      <c r="AE197" s="446">
        <v>0</v>
      </c>
      <c r="AF197" s="444">
        <v>194</v>
      </c>
      <c r="AG197" s="445">
        <v>0.14000000000000001</v>
      </c>
      <c r="AH197" s="498">
        <v>737</v>
      </c>
      <c r="AI197" s="499">
        <v>0.52900000000000003</v>
      </c>
      <c r="AJ197" s="498">
        <v>461</v>
      </c>
      <c r="AK197" s="445">
        <v>0.33100000000000002</v>
      </c>
      <c r="AL197" s="444">
        <v>0</v>
      </c>
      <c r="AM197" s="445">
        <v>0</v>
      </c>
      <c r="AN197" s="498">
        <v>0</v>
      </c>
      <c r="AO197" s="499">
        <v>0</v>
      </c>
      <c r="AP197" s="498">
        <v>0</v>
      </c>
      <c r="AQ197" s="445">
        <v>0</v>
      </c>
      <c r="AR197" s="444">
        <v>0</v>
      </c>
      <c r="AS197" s="445">
        <v>0</v>
      </c>
      <c r="AT197" s="498">
        <v>0</v>
      </c>
      <c r="AU197" s="499">
        <v>0</v>
      </c>
      <c r="AV197" s="498">
        <v>0</v>
      </c>
      <c r="AW197" s="445">
        <v>0</v>
      </c>
      <c r="AX197" s="444">
        <v>0</v>
      </c>
      <c r="AY197" s="445">
        <v>0</v>
      </c>
      <c r="AZ197" s="498">
        <v>0</v>
      </c>
      <c r="BA197" s="499">
        <v>0</v>
      </c>
      <c r="BB197" s="498">
        <v>0</v>
      </c>
      <c r="BC197" s="445">
        <v>0</v>
      </c>
      <c r="BD197" s="444">
        <v>0</v>
      </c>
      <c r="BE197" s="445">
        <v>0</v>
      </c>
      <c r="BF197" s="498">
        <v>51</v>
      </c>
      <c r="BG197" s="499">
        <v>0.48399999999999999</v>
      </c>
      <c r="BH197" s="498">
        <v>55</v>
      </c>
      <c r="BI197" s="417">
        <v>0.51600000000000001</v>
      </c>
      <c r="BJ197" s="444">
        <v>0</v>
      </c>
      <c r="BK197" s="445">
        <v>0</v>
      </c>
      <c r="BL197" s="498">
        <v>0</v>
      </c>
      <c r="BM197" s="499">
        <v>0</v>
      </c>
      <c r="BN197" s="498">
        <v>0</v>
      </c>
      <c r="BO197" s="417">
        <v>0</v>
      </c>
    </row>
    <row r="198" spans="1:67">
      <c r="A198" s="471" t="s">
        <v>309</v>
      </c>
      <c r="B198" s="483">
        <v>0</v>
      </c>
      <c r="C198" s="482">
        <v>0</v>
      </c>
      <c r="D198" s="480">
        <v>8</v>
      </c>
      <c r="E198" s="481">
        <v>1</v>
      </c>
      <c r="F198" s="480">
        <v>0</v>
      </c>
      <c r="G198" s="482">
        <v>0</v>
      </c>
      <c r="H198" s="483">
        <v>0</v>
      </c>
      <c r="I198" s="482">
        <v>0</v>
      </c>
      <c r="J198" s="480">
        <v>0</v>
      </c>
      <c r="K198" s="481">
        <v>0</v>
      </c>
      <c r="L198" s="480">
        <v>0</v>
      </c>
      <c r="M198" s="482">
        <v>0</v>
      </c>
      <c r="N198" s="483">
        <v>0</v>
      </c>
      <c r="O198" s="482">
        <v>0</v>
      </c>
      <c r="P198" s="480">
        <v>0</v>
      </c>
      <c r="Q198" s="481">
        <v>0</v>
      </c>
      <c r="R198" s="480">
        <v>0</v>
      </c>
      <c r="S198" s="482">
        <v>0</v>
      </c>
      <c r="T198" s="483">
        <v>0</v>
      </c>
      <c r="U198" s="482">
        <v>0</v>
      </c>
      <c r="V198" s="480">
        <v>21</v>
      </c>
      <c r="W198" s="481">
        <v>0.61</v>
      </c>
      <c r="X198" s="480">
        <v>13</v>
      </c>
      <c r="Y198" s="482">
        <v>0.39</v>
      </c>
      <c r="Z198" s="483">
        <v>0</v>
      </c>
      <c r="AA198" s="482">
        <v>0</v>
      </c>
      <c r="AB198" s="480">
        <v>0</v>
      </c>
      <c r="AC198" s="481">
        <v>0</v>
      </c>
      <c r="AD198" s="480">
        <v>0</v>
      </c>
      <c r="AE198" s="482">
        <v>0</v>
      </c>
      <c r="AF198" s="497">
        <v>443</v>
      </c>
      <c r="AG198" s="496">
        <v>8.4000000000000005E-2</v>
      </c>
      <c r="AH198" s="494">
        <v>2332</v>
      </c>
      <c r="AI198" s="495">
        <v>0.44400000000000001</v>
      </c>
      <c r="AJ198" s="494">
        <v>2478</v>
      </c>
      <c r="AK198" s="496">
        <v>0.47199999999999998</v>
      </c>
      <c r="AL198" s="497">
        <v>0</v>
      </c>
      <c r="AM198" s="496">
        <v>0</v>
      </c>
      <c r="AN198" s="494">
        <v>0</v>
      </c>
      <c r="AO198" s="495">
        <v>0</v>
      </c>
      <c r="AP198" s="494">
        <v>0</v>
      </c>
      <c r="AQ198" s="496">
        <v>0</v>
      </c>
      <c r="AR198" s="497">
        <v>0</v>
      </c>
      <c r="AS198" s="496">
        <v>0</v>
      </c>
      <c r="AT198" s="494">
        <v>0</v>
      </c>
      <c r="AU198" s="495">
        <v>0</v>
      </c>
      <c r="AV198" s="494">
        <v>0</v>
      </c>
      <c r="AW198" s="496">
        <v>0</v>
      </c>
      <c r="AX198" s="497">
        <v>0</v>
      </c>
      <c r="AY198" s="496">
        <v>0</v>
      </c>
      <c r="AZ198" s="494">
        <v>0</v>
      </c>
      <c r="BA198" s="495">
        <v>0</v>
      </c>
      <c r="BB198" s="494">
        <v>0</v>
      </c>
      <c r="BC198" s="496">
        <v>0</v>
      </c>
      <c r="BD198" s="497">
        <v>0</v>
      </c>
      <c r="BE198" s="496">
        <v>0</v>
      </c>
      <c r="BF198" s="494">
        <v>8</v>
      </c>
      <c r="BG198" s="495">
        <v>0.1</v>
      </c>
      <c r="BH198" s="494">
        <v>68</v>
      </c>
      <c r="BI198" s="493">
        <v>0.9</v>
      </c>
      <c r="BJ198" s="497">
        <v>0</v>
      </c>
      <c r="BK198" s="496">
        <v>0</v>
      </c>
      <c r="BL198" s="494">
        <v>0</v>
      </c>
      <c r="BM198" s="495">
        <v>0</v>
      </c>
      <c r="BN198" s="494">
        <v>0</v>
      </c>
      <c r="BO198" s="493">
        <v>0</v>
      </c>
    </row>
    <row r="199" spans="1:67">
      <c r="A199" s="471" t="s">
        <v>308</v>
      </c>
      <c r="B199" s="483">
        <v>0</v>
      </c>
      <c r="C199" s="482">
        <v>0</v>
      </c>
      <c r="D199" s="480">
        <v>0</v>
      </c>
      <c r="E199" s="481">
        <v>0</v>
      </c>
      <c r="F199" s="480">
        <v>0</v>
      </c>
      <c r="G199" s="482">
        <v>0</v>
      </c>
      <c r="H199" s="483">
        <v>0</v>
      </c>
      <c r="I199" s="482">
        <v>0</v>
      </c>
      <c r="J199" s="480">
        <v>0</v>
      </c>
      <c r="K199" s="481">
        <v>0</v>
      </c>
      <c r="L199" s="480">
        <v>0</v>
      </c>
      <c r="M199" s="482">
        <v>0</v>
      </c>
      <c r="N199" s="483">
        <v>0</v>
      </c>
      <c r="O199" s="482">
        <v>0</v>
      </c>
      <c r="P199" s="480">
        <v>0</v>
      </c>
      <c r="Q199" s="481">
        <v>0</v>
      </c>
      <c r="R199" s="480">
        <v>0</v>
      </c>
      <c r="S199" s="482">
        <v>0</v>
      </c>
      <c r="T199" s="483">
        <v>0</v>
      </c>
      <c r="U199" s="482">
        <v>0</v>
      </c>
      <c r="V199" s="480">
        <v>191</v>
      </c>
      <c r="W199" s="481">
        <v>0.66700000000000004</v>
      </c>
      <c r="X199" s="480">
        <v>96</v>
      </c>
      <c r="Y199" s="482">
        <v>0.33300000000000002</v>
      </c>
      <c r="Z199" s="483">
        <v>0</v>
      </c>
      <c r="AA199" s="482">
        <v>0</v>
      </c>
      <c r="AB199" s="480">
        <v>0</v>
      </c>
      <c r="AC199" s="481">
        <v>0</v>
      </c>
      <c r="AD199" s="480">
        <v>0</v>
      </c>
      <c r="AE199" s="482">
        <v>0</v>
      </c>
      <c r="AF199" s="497">
        <v>1870</v>
      </c>
      <c r="AG199" s="496">
        <v>0.192</v>
      </c>
      <c r="AH199" s="494">
        <v>4766</v>
      </c>
      <c r="AI199" s="495">
        <v>0.49</v>
      </c>
      <c r="AJ199" s="494">
        <v>3096</v>
      </c>
      <c r="AK199" s="496">
        <v>0.318</v>
      </c>
      <c r="AL199" s="497">
        <v>0</v>
      </c>
      <c r="AM199" s="496">
        <v>0</v>
      </c>
      <c r="AN199" s="494">
        <v>0</v>
      </c>
      <c r="AO199" s="495">
        <v>0</v>
      </c>
      <c r="AP199" s="494">
        <v>0</v>
      </c>
      <c r="AQ199" s="496">
        <v>0</v>
      </c>
      <c r="AR199" s="497">
        <v>0</v>
      </c>
      <c r="AS199" s="496">
        <v>0</v>
      </c>
      <c r="AT199" s="494">
        <v>0</v>
      </c>
      <c r="AU199" s="495">
        <v>0</v>
      </c>
      <c r="AV199" s="494">
        <v>0</v>
      </c>
      <c r="AW199" s="496">
        <v>0</v>
      </c>
      <c r="AX199" s="497">
        <v>0</v>
      </c>
      <c r="AY199" s="496">
        <v>0</v>
      </c>
      <c r="AZ199" s="494">
        <v>0</v>
      </c>
      <c r="BA199" s="495">
        <v>0</v>
      </c>
      <c r="BB199" s="494">
        <v>0</v>
      </c>
      <c r="BC199" s="496">
        <v>0</v>
      </c>
      <c r="BD199" s="497">
        <v>0</v>
      </c>
      <c r="BE199" s="496">
        <v>0</v>
      </c>
      <c r="BF199" s="494">
        <v>287</v>
      </c>
      <c r="BG199" s="495">
        <v>1</v>
      </c>
      <c r="BH199" s="494">
        <v>0</v>
      </c>
      <c r="BI199" s="493">
        <v>0</v>
      </c>
      <c r="BJ199" s="497">
        <v>0</v>
      </c>
      <c r="BK199" s="496">
        <v>0</v>
      </c>
      <c r="BL199" s="494">
        <v>72</v>
      </c>
      <c r="BM199" s="495">
        <v>1</v>
      </c>
      <c r="BN199" s="494">
        <v>0</v>
      </c>
      <c r="BO199" s="493">
        <v>0</v>
      </c>
    </row>
    <row r="200" spans="1:67">
      <c r="A200" s="471" t="s">
        <v>307</v>
      </c>
      <c r="B200" s="483">
        <v>0</v>
      </c>
      <c r="C200" s="482">
        <v>0</v>
      </c>
      <c r="D200" s="480">
        <v>72</v>
      </c>
      <c r="E200" s="481">
        <v>1</v>
      </c>
      <c r="F200" s="480">
        <v>0</v>
      </c>
      <c r="G200" s="482">
        <v>0</v>
      </c>
      <c r="H200" s="483">
        <v>0</v>
      </c>
      <c r="I200" s="482">
        <v>0</v>
      </c>
      <c r="J200" s="480">
        <v>0</v>
      </c>
      <c r="K200" s="481">
        <v>0</v>
      </c>
      <c r="L200" s="480">
        <v>0</v>
      </c>
      <c r="M200" s="482">
        <v>0</v>
      </c>
      <c r="N200" s="483">
        <v>0</v>
      </c>
      <c r="O200" s="482">
        <v>0</v>
      </c>
      <c r="P200" s="480">
        <v>0</v>
      </c>
      <c r="Q200" s="481">
        <v>0</v>
      </c>
      <c r="R200" s="480">
        <v>0</v>
      </c>
      <c r="S200" s="482">
        <v>0</v>
      </c>
      <c r="T200" s="483">
        <v>0</v>
      </c>
      <c r="U200" s="482">
        <v>0</v>
      </c>
      <c r="V200" s="480">
        <v>0</v>
      </c>
      <c r="W200" s="481">
        <v>0</v>
      </c>
      <c r="X200" s="480">
        <v>91</v>
      </c>
      <c r="Y200" s="482">
        <v>1</v>
      </c>
      <c r="Z200" s="483">
        <v>0</v>
      </c>
      <c r="AA200" s="482">
        <v>0</v>
      </c>
      <c r="AB200" s="480">
        <v>0</v>
      </c>
      <c r="AC200" s="481">
        <v>0</v>
      </c>
      <c r="AD200" s="480">
        <v>0</v>
      </c>
      <c r="AE200" s="482">
        <v>0</v>
      </c>
      <c r="AF200" s="497">
        <v>1378</v>
      </c>
      <c r="AG200" s="496">
        <v>0.17100000000000001</v>
      </c>
      <c r="AH200" s="494">
        <v>4844</v>
      </c>
      <c r="AI200" s="495">
        <v>0.6</v>
      </c>
      <c r="AJ200" s="494">
        <v>1850</v>
      </c>
      <c r="AK200" s="496">
        <v>0.22900000000000001</v>
      </c>
      <c r="AL200" s="497">
        <v>0</v>
      </c>
      <c r="AM200" s="496">
        <v>0</v>
      </c>
      <c r="AN200" s="494">
        <v>0</v>
      </c>
      <c r="AO200" s="495">
        <v>0</v>
      </c>
      <c r="AP200" s="494">
        <v>0</v>
      </c>
      <c r="AQ200" s="496">
        <v>0</v>
      </c>
      <c r="AR200" s="497">
        <v>0</v>
      </c>
      <c r="AS200" s="496">
        <v>0</v>
      </c>
      <c r="AT200" s="494">
        <v>0</v>
      </c>
      <c r="AU200" s="495">
        <v>0</v>
      </c>
      <c r="AV200" s="494">
        <v>0</v>
      </c>
      <c r="AW200" s="496">
        <v>0</v>
      </c>
      <c r="AX200" s="497">
        <v>0</v>
      </c>
      <c r="AY200" s="496">
        <v>0</v>
      </c>
      <c r="AZ200" s="494">
        <v>0</v>
      </c>
      <c r="BA200" s="495">
        <v>0</v>
      </c>
      <c r="BB200" s="494">
        <v>0</v>
      </c>
      <c r="BC200" s="496">
        <v>0</v>
      </c>
      <c r="BD200" s="497">
        <v>0</v>
      </c>
      <c r="BE200" s="496">
        <v>0</v>
      </c>
      <c r="BF200" s="494">
        <v>72</v>
      </c>
      <c r="BG200" s="495">
        <v>0.46899999999999997</v>
      </c>
      <c r="BH200" s="494">
        <v>82</v>
      </c>
      <c r="BI200" s="493">
        <v>0.53100000000000003</v>
      </c>
      <c r="BJ200" s="497">
        <v>0</v>
      </c>
      <c r="BK200" s="496">
        <v>0</v>
      </c>
      <c r="BL200" s="494">
        <v>0</v>
      </c>
      <c r="BM200" s="495">
        <v>0</v>
      </c>
      <c r="BN200" s="494">
        <v>0</v>
      </c>
      <c r="BO200" s="493">
        <v>0</v>
      </c>
    </row>
    <row r="201" spans="1:67">
      <c r="A201" s="471" t="s">
        <v>306</v>
      </c>
      <c r="B201" s="483">
        <v>0</v>
      </c>
      <c r="C201" s="482">
        <v>0</v>
      </c>
      <c r="D201" s="480">
        <v>92</v>
      </c>
      <c r="E201" s="481">
        <v>0.62</v>
      </c>
      <c r="F201" s="480">
        <v>56</v>
      </c>
      <c r="G201" s="482">
        <v>0.38</v>
      </c>
      <c r="H201" s="483">
        <v>0</v>
      </c>
      <c r="I201" s="482">
        <v>0</v>
      </c>
      <c r="J201" s="480">
        <v>0</v>
      </c>
      <c r="K201" s="481">
        <v>0</v>
      </c>
      <c r="L201" s="480">
        <v>0</v>
      </c>
      <c r="M201" s="482">
        <v>0</v>
      </c>
      <c r="N201" s="483">
        <v>0</v>
      </c>
      <c r="O201" s="482">
        <v>0</v>
      </c>
      <c r="P201" s="480">
        <v>0</v>
      </c>
      <c r="Q201" s="481">
        <v>0</v>
      </c>
      <c r="R201" s="480">
        <v>0</v>
      </c>
      <c r="S201" s="482">
        <v>0</v>
      </c>
      <c r="T201" s="483">
        <v>56</v>
      </c>
      <c r="U201" s="482">
        <v>0.26100000000000001</v>
      </c>
      <c r="V201" s="480">
        <v>159</v>
      </c>
      <c r="W201" s="481">
        <v>0.73899999999999999</v>
      </c>
      <c r="X201" s="480">
        <v>0</v>
      </c>
      <c r="Y201" s="482">
        <v>0</v>
      </c>
      <c r="Z201" s="483">
        <v>0</v>
      </c>
      <c r="AA201" s="482">
        <v>0</v>
      </c>
      <c r="AB201" s="480">
        <v>0</v>
      </c>
      <c r="AC201" s="481">
        <v>0</v>
      </c>
      <c r="AD201" s="480">
        <v>0</v>
      </c>
      <c r="AE201" s="482">
        <v>0</v>
      </c>
      <c r="AF201" s="497">
        <v>1976</v>
      </c>
      <c r="AG201" s="496">
        <v>0.15</v>
      </c>
      <c r="AH201" s="494">
        <v>5825</v>
      </c>
      <c r="AI201" s="495">
        <v>0.443</v>
      </c>
      <c r="AJ201" s="494">
        <v>5338</v>
      </c>
      <c r="AK201" s="496">
        <v>0.40600000000000003</v>
      </c>
      <c r="AL201" s="497">
        <v>0</v>
      </c>
      <c r="AM201" s="496">
        <v>0</v>
      </c>
      <c r="AN201" s="494">
        <v>0</v>
      </c>
      <c r="AO201" s="495">
        <v>0</v>
      </c>
      <c r="AP201" s="494">
        <v>0</v>
      </c>
      <c r="AQ201" s="496">
        <v>0</v>
      </c>
      <c r="AR201" s="497">
        <v>0</v>
      </c>
      <c r="AS201" s="496">
        <v>0</v>
      </c>
      <c r="AT201" s="494">
        <v>0</v>
      </c>
      <c r="AU201" s="495">
        <v>0</v>
      </c>
      <c r="AV201" s="494">
        <v>0</v>
      </c>
      <c r="AW201" s="496">
        <v>0</v>
      </c>
      <c r="AX201" s="497">
        <v>0</v>
      </c>
      <c r="AY201" s="496">
        <v>0</v>
      </c>
      <c r="AZ201" s="494">
        <v>0</v>
      </c>
      <c r="BA201" s="495">
        <v>0</v>
      </c>
      <c r="BB201" s="494">
        <v>0</v>
      </c>
      <c r="BC201" s="496">
        <v>0</v>
      </c>
      <c r="BD201" s="497">
        <v>0</v>
      </c>
      <c r="BE201" s="496">
        <v>0</v>
      </c>
      <c r="BF201" s="494">
        <v>99</v>
      </c>
      <c r="BG201" s="495">
        <v>0.63800000000000001</v>
      </c>
      <c r="BH201" s="494">
        <v>56</v>
      </c>
      <c r="BI201" s="493">
        <v>0.36199999999999999</v>
      </c>
      <c r="BJ201" s="497">
        <v>0</v>
      </c>
      <c r="BK201" s="496">
        <v>0</v>
      </c>
      <c r="BL201" s="494">
        <v>0</v>
      </c>
      <c r="BM201" s="495">
        <v>0</v>
      </c>
      <c r="BN201" s="494">
        <v>0</v>
      </c>
      <c r="BO201" s="493">
        <v>0</v>
      </c>
    </row>
    <row r="202" spans="1:67">
      <c r="A202" s="471" t="s">
        <v>305</v>
      </c>
      <c r="B202" s="483">
        <v>0</v>
      </c>
      <c r="C202" s="482">
        <v>0</v>
      </c>
      <c r="D202" s="480">
        <v>17</v>
      </c>
      <c r="E202" s="481">
        <v>0.59899999999999998</v>
      </c>
      <c r="F202" s="480">
        <v>11</v>
      </c>
      <c r="G202" s="482">
        <v>0.40100000000000002</v>
      </c>
      <c r="H202" s="483">
        <v>0</v>
      </c>
      <c r="I202" s="482">
        <v>0</v>
      </c>
      <c r="J202" s="480">
        <v>0</v>
      </c>
      <c r="K202" s="481">
        <v>0</v>
      </c>
      <c r="L202" s="480">
        <v>0</v>
      </c>
      <c r="M202" s="482">
        <v>0</v>
      </c>
      <c r="N202" s="483">
        <v>0</v>
      </c>
      <c r="O202" s="482">
        <v>0</v>
      </c>
      <c r="P202" s="480">
        <v>0</v>
      </c>
      <c r="Q202" s="481">
        <v>0</v>
      </c>
      <c r="R202" s="480">
        <v>0</v>
      </c>
      <c r="S202" s="482">
        <v>0</v>
      </c>
      <c r="T202" s="483">
        <v>5</v>
      </c>
      <c r="U202" s="482">
        <v>2.8000000000000001E-2</v>
      </c>
      <c r="V202" s="480">
        <v>171</v>
      </c>
      <c r="W202" s="481">
        <v>0.87</v>
      </c>
      <c r="X202" s="480">
        <v>20</v>
      </c>
      <c r="Y202" s="482">
        <v>0.10199999999999999</v>
      </c>
      <c r="Z202" s="483">
        <v>0</v>
      </c>
      <c r="AA202" s="482">
        <v>0</v>
      </c>
      <c r="AB202" s="480">
        <v>0</v>
      </c>
      <c r="AC202" s="481">
        <v>0</v>
      </c>
      <c r="AD202" s="480">
        <v>0</v>
      </c>
      <c r="AE202" s="482">
        <v>0</v>
      </c>
      <c r="AF202" s="497">
        <v>3310</v>
      </c>
      <c r="AG202" s="496">
        <v>0.153</v>
      </c>
      <c r="AH202" s="494">
        <v>11225</v>
      </c>
      <c r="AI202" s="495">
        <v>0.52100000000000002</v>
      </c>
      <c r="AJ202" s="494">
        <v>7031</v>
      </c>
      <c r="AK202" s="496">
        <v>0.32600000000000001</v>
      </c>
      <c r="AL202" s="497">
        <v>0</v>
      </c>
      <c r="AM202" s="496">
        <v>0</v>
      </c>
      <c r="AN202" s="494">
        <v>0</v>
      </c>
      <c r="AO202" s="495">
        <v>0</v>
      </c>
      <c r="AP202" s="494">
        <v>0</v>
      </c>
      <c r="AQ202" s="496">
        <v>0</v>
      </c>
      <c r="AR202" s="497">
        <v>0</v>
      </c>
      <c r="AS202" s="496">
        <v>0</v>
      </c>
      <c r="AT202" s="494">
        <v>0</v>
      </c>
      <c r="AU202" s="495">
        <v>0</v>
      </c>
      <c r="AV202" s="494">
        <v>0</v>
      </c>
      <c r="AW202" s="496">
        <v>0</v>
      </c>
      <c r="AX202" s="497">
        <v>0</v>
      </c>
      <c r="AY202" s="496">
        <v>0</v>
      </c>
      <c r="AZ202" s="494">
        <v>0</v>
      </c>
      <c r="BA202" s="495">
        <v>0</v>
      </c>
      <c r="BB202" s="494">
        <v>0</v>
      </c>
      <c r="BC202" s="496">
        <v>0</v>
      </c>
      <c r="BD202" s="497">
        <v>5</v>
      </c>
      <c r="BE202" s="496">
        <v>4.2000000000000003E-2</v>
      </c>
      <c r="BF202" s="494">
        <v>65</v>
      </c>
      <c r="BG202" s="495">
        <v>0.49299999999999999</v>
      </c>
      <c r="BH202" s="494">
        <v>61</v>
      </c>
      <c r="BI202" s="493">
        <v>0.46500000000000002</v>
      </c>
      <c r="BJ202" s="497">
        <v>0</v>
      </c>
      <c r="BK202" s="496">
        <v>0</v>
      </c>
      <c r="BL202" s="494">
        <v>0</v>
      </c>
      <c r="BM202" s="495">
        <v>0</v>
      </c>
      <c r="BN202" s="494">
        <v>0</v>
      </c>
      <c r="BO202" s="493">
        <v>0</v>
      </c>
    </row>
    <row r="203" spans="1:67" ht="24">
      <c r="A203" s="471" t="s">
        <v>304</v>
      </c>
      <c r="B203" s="483">
        <v>0</v>
      </c>
      <c r="C203" s="482">
        <v>0</v>
      </c>
      <c r="D203" s="480">
        <v>0</v>
      </c>
      <c r="E203" s="481">
        <v>0</v>
      </c>
      <c r="F203" s="480">
        <v>0</v>
      </c>
      <c r="G203" s="482">
        <v>0</v>
      </c>
      <c r="H203" s="483">
        <v>0</v>
      </c>
      <c r="I203" s="482">
        <v>0</v>
      </c>
      <c r="J203" s="480">
        <v>0</v>
      </c>
      <c r="K203" s="481">
        <v>0</v>
      </c>
      <c r="L203" s="480">
        <v>0</v>
      </c>
      <c r="M203" s="482">
        <v>0</v>
      </c>
      <c r="N203" s="483">
        <v>0</v>
      </c>
      <c r="O203" s="482">
        <v>0</v>
      </c>
      <c r="P203" s="480">
        <v>0</v>
      </c>
      <c r="Q203" s="481">
        <v>0</v>
      </c>
      <c r="R203" s="480">
        <v>0</v>
      </c>
      <c r="S203" s="482">
        <v>0</v>
      </c>
      <c r="T203" s="483">
        <v>15</v>
      </c>
      <c r="U203" s="482">
        <v>5.8999999999999997E-2</v>
      </c>
      <c r="V203" s="480">
        <v>138</v>
      </c>
      <c r="W203" s="481">
        <v>0.56000000000000005</v>
      </c>
      <c r="X203" s="480">
        <v>94</v>
      </c>
      <c r="Y203" s="482">
        <v>0.38100000000000001</v>
      </c>
      <c r="Z203" s="483">
        <v>0</v>
      </c>
      <c r="AA203" s="482">
        <v>0</v>
      </c>
      <c r="AB203" s="480">
        <v>0</v>
      </c>
      <c r="AC203" s="481">
        <v>0</v>
      </c>
      <c r="AD203" s="480">
        <v>0</v>
      </c>
      <c r="AE203" s="482">
        <v>0</v>
      </c>
      <c r="AF203" s="497">
        <v>4599</v>
      </c>
      <c r="AG203" s="496">
        <v>0.16200000000000001</v>
      </c>
      <c r="AH203" s="494">
        <v>15285</v>
      </c>
      <c r="AI203" s="495">
        <v>0.53900000000000003</v>
      </c>
      <c r="AJ203" s="494">
        <v>8492</v>
      </c>
      <c r="AK203" s="496">
        <v>0.29899999999999999</v>
      </c>
      <c r="AL203" s="497">
        <v>0</v>
      </c>
      <c r="AM203" s="496">
        <v>0</v>
      </c>
      <c r="AN203" s="494">
        <v>0</v>
      </c>
      <c r="AO203" s="495">
        <v>0</v>
      </c>
      <c r="AP203" s="494">
        <v>0</v>
      </c>
      <c r="AQ203" s="496">
        <v>0</v>
      </c>
      <c r="AR203" s="497">
        <v>0</v>
      </c>
      <c r="AS203" s="496">
        <v>0</v>
      </c>
      <c r="AT203" s="494">
        <v>0</v>
      </c>
      <c r="AU203" s="495">
        <v>0</v>
      </c>
      <c r="AV203" s="494">
        <v>0</v>
      </c>
      <c r="AW203" s="496">
        <v>0</v>
      </c>
      <c r="AX203" s="497">
        <v>0</v>
      </c>
      <c r="AY203" s="496">
        <v>0</v>
      </c>
      <c r="AZ203" s="494">
        <v>0</v>
      </c>
      <c r="BA203" s="495">
        <v>0</v>
      </c>
      <c r="BB203" s="494">
        <v>0</v>
      </c>
      <c r="BC203" s="496">
        <v>0</v>
      </c>
      <c r="BD203" s="497">
        <v>44</v>
      </c>
      <c r="BE203" s="496">
        <v>8.6999999999999994E-2</v>
      </c>
      <c r="BF203" s="494">
        <v>199</v>
      </c>
      <c r="BG203" s="495">
        <v>0.39400000000000002</v>
      </c>
      <c r="BH203" s="494">
        <v>262</v>
      </c>
      <c r="BI203" s="493">
        <v>0.51900000000000002</v>
      </c>
      <c r="BJ203" s="497">
        <v>0</v>
      </c>
      <c r="BK203" s="496">
        <v>0</v>
      </c>
      <c r="BL203" s="494">
        <v>0</v>
      </c>
      <c r="BM203" s="495">
        <v>0</v>
      </c>
      <c r="BN203" s="494">
        <v>0</v>
      </c>
      <c r="BO203" s="493">
        <v>0</v>
      </c>
    </row>
    <row r="204" spans="1:67" ht="24">
      <c r="A204" s="471" t="s">
        <v>303</v>
      </c>
      <c r="B204" s="483">
        <v>0</v>
      </c>
      <c r="C204" s="482">
        <v>0</v>
      </c>
      <c r="D204" s="480">
        <v>0</v>
      </c>
      <c r="E204" s="481">
        <v>0</v>
      </c>
      <c r="F204" s="480">
        <v>0</v>
      </c>
      <c r="G204" s="482">
        <v>0</v>
      </c>
      <c r="H204" s="483">
        <v>0</v>
      </c>
      <c r="I204" s="482">
        <v>0</v>
      </c>
      <c r="J204" s="480">
        <v>0</v>
      </c>
      <c r="K204" s="481">
        <v>0</v>
      </c>
      <c r="L204" s="480">
        <v>0</v>
      </c>
      <c r="M204" s="482">
        <v>0</v>
      </c>
      <c r="N204" s="483">
        <v>0</v>
      </c>
      <c r="O204" s="482">
        <v>0</v>
      </c>
      <c r="P204" s="480">
        <v>0</v>
      </c>
      <c r="Q204" s="481">
        <v>0</v>
      </c>
      <c r="R204" s="480">
        <v>0</v>
      </c>
      <c r="S204" s="482">
        <v>0</v>
      </c>
      <c r="T204" s="483">
        <v>0</v>
      </c>
      <c r="U204" s="482">
        <v>0</v>
      </c>
      <c r="V204" s="480">
        <v>59</v>
      </c>
      <c r="W204" s="481">
        <v>1</v>
      </c>
      <c r="X204" s="480">
        <v>0</v>
      </c>
      <c r="Y204" s="482">
        <v>0</v>
      </c>
      <c r="Z204" s="483">
        <v>0</v>
      </c>
      <c r="AA204" s="482">
        <v>0</v>
      </c>
      <c r="AB204" s="480">
        <v>0</v>
      </c>
      <c r="AC204" s="481">
        <v>0</v>
      </c>
      <c r="AD204" s="480">
        <v>0</v>
      </c>
      <c r="AE204" s="482">
        <v>0</v>
      </c>
      <c r="AF204" s="497">
        <v>541</v>
      </c>
      <c r="AG204" s="496">
        <v>0.251</v>
      </c>
      <c r="AH204" s="494">
        <v>901</v>
      </c>
      <c r="AI204" s="495">
        <v>0.41799999999999998</v>
      </c>
      <c r="AJ204" s="494">
        <v>713</v>
      </c>
      <c r="AK204" s="496">
        <v>0.33100000000000002</v>
      </c>
      <c r="AL204" s="497">
        <v>0</v>
      </c>
      <c r="AM204" s="496">
        <v>0</v>
      </c>
      <c r="AN204" s="494">
        <v>0</v>
      </c>
      <c r="AO204" s="495">
        <v>0</v>
      </c>
      <c r="AP204" s="494">
        <v>0</v>
      </c>
      <c r="AQ204" s="496">
        <v>0</v>
      </c>
      <c r="AR204" s="497">
        <v>0</v>
      </c>
      <c r="AS204" s="496">
        <v>0</v>
      </c>
      <c r="AT204" s="494">
        <v>0</v>
      </c>
      <c r="AU204" s="495">
        <v>0</v>
      </c>
      <c r="AV204" s="494">
        <v>0</v>
      </c>
      <c r="AW204" s="496">
        <v>0</v>
      </c>
      <c r="AX204" s="497">
        <v>0</v>
      </c>
      <c r="AY204" s="496">
        <v>0</v>
      </c>
      <c r="AZ204" s="494">
        <v>0</v>
      </c>
      <c r="BA204" s="495">
        <v>0</v>
      </c>
      <c r="BB204" s="494">
        <v>0</v>
      </c>
      <c r="BC204" s="496">
        <v>0</v>
      </c>
      <c r="BD204" s="497">
        <v>0</v>
      </c>
      <c r="BE204" s="496">
        <v>0</v>
      </c>
      <c r="BF204" s="494">
        <v>0</v>
      </c>
      <c r="BG204" s="495">
        <v>0</v>
      </c>
      <c r="BH204" s="494">
        <v>59</v>
      </c>
      <c r="BI204" s="493">
        <v>1</v>
      </c>
      <c r="BJ204" s="497">
        <v>0</v>
      </c>
      <c r="BK204" s="496">
        <v>0</v>
      </c>
      <c r="BL204" s="494">
        <v>0</v>
      </c>
      <c r="BM204" s="495">
        <v>0</v>
      </c>
      <c r="BN204" s="494">
        <v>0</v>
      </c>
      <c r="BO204" s="493">
        <v>0</v>
      </c>
    </row>
    <row r="205" spans="1:67" ht="15.75" thickBot="1">
      <c r="A205" s="465" t="s">
        <v>302</v>
      </c>
      <c r="B205" s="478">
        <v>0</v>
      </c>
      <c r="C205" s="477">
        <v>0</v>
      </c>
      <c r="D205" s="475">
        <v>188</v>
      </c>
      <c r="E205" s="476">
        <v>0.73699999999999999</v>
      </c>
      <c r="F205" s="475">
        <v>67</v>
      </c>
      <c r="G205" s="474">
        <v>0.26300000000000001</v>
      </c>
      <c r="H205" s="478">
        <v>0</v>
      </c>
      <c r="I205" s="477">
        <v>0</v>
      </c>
      <c r="J205" s="475">
        <v>0</v>
      </c>
      <c r="K205" s="476">
        <v>0</v>
      </c>
      <c r="L205" s="475">
        <v>0</v>
      </c>
      <c r="M205" s="474">
        <v>0</v>
      </c>
      <c r="N205" s="478">
        <v>0</v>
      </c>
      <c r="O205" s="477">
        <v>0</v>
      </c>
      <c r="P205" s="475">
        <v>0</v>
      </c>
      <c r="Q205" s="476">
        <v>0</v>
      </c>
      <c r="R205" s="475">
        <v>0</v>
      </c>
      <c r="S205" s="474">
        <v>0</v>
      </c>
      <c r="T205" s="478">
        <v>76</v>
      </c>
      <c r="U205" s="477">
        <v>6.7000000000000004E-2</v>
      </c>
      <c r="V205" s="475">
        <v>740</v>
      </c>
      <c r="W205" s="476">
        <v>0.65500000000000003</v>
      </c>
      <c r="X205" s="475">
        <v>314</v>
      </c>
      <c r="Y205" s="474">
        <v>0.27800000000000002</v>
      </c>
      <c r="Z205" s="478">
        <v>0</v>
      </c>
      <c r="AA205" s="477">
        <v>0</v>
      </c>
      <c r="AB205" s="475">
        <v>0</v>
      </c>
      <c r="AC205" s="476">
        <v>0</v>
      </c>
      <c r="AD205" s="475">
        <v>0</v>
      </c>
      <c r="AE205" s="474">
        <v>0</v>
      </c>
      <c r="AF205" s="492">
        <v>14311</v>
      </c>
      <c r="AG205" s="491">
        <v>0.16</v>
      </c>
      <c r="AH205" s="489">
        <v>45915</v>
      </c>
      <c r="AI205" s="490">
        <v>0.51200000000000001</v>
      </c>
      <c r="AJ205" s="489">
        <v>29457</v>
      </c>
      <c r="AK205" s="488">
        <v>0.32800000000000001</v>
      </c>
      <c r="AL205" s="492">
        <v>0</v>
      </c>
      <c r="AM205" s="491">
        <v>0</v>
      </c>
      <c r="AN205" s="489">
        <v>0</v>
      </c>
      <c r="AO205" s="490">
        <v>0</v>
      </c>
      <c r="AP205" s="489">
        <v>0</v>
      </c>
      <c r="AQ205" s="488">
        <v>0</v>
      </c>
      <c r="AR205" s="492">
        <v>0</v>
      </c>
      <c r="AS205" s="491">
        <v>0</v>
      </c>
      <c r="AT205" s="489">
        <v>0</v>
      </c>
      <c r="AU205" s="490">
        <v>0</v>
      </c>
      <c r="AV205" s="489">
        <v>0</v>
      </c>
      <c r="AW205" s="488">
        <v>0</v>
      </c>
      <c r="AX205" s="492">
        <v>0</v>
      </c>
      <c r="AY205" s="491">
        <v>0</v>
      </c>
      <c r="AZ205" s="489">
        <v>0</v>
      </c>
      <c r="BA205" s="490">
        <v>0</v>
      </c>
      <c r="BB205" s="489">
        <v>0</v>
      </c>
      <c r="BC205" s="488">
        <v>0</v>
      </c>
      <c r="BD205" s="492">
        <v>50</v>
      </c>
      <c r="BE205" s="491">
        <v>3.4000000000000002E-2</v>
      </c>
      <c r="BF205" s="489">
        <v>781</v>
      </c>
      <c r="BG205" s="490">
        <v>0.53</v>
      </c>
      <c r="BH205" s="489">
        <v>643</v>
      </c>
      <c r="BI205" s="488">
        <v>0.436</v>
      </c>
      <c r="BJ205" s="492">
        <v>0</v>
      </c>
      <c r="BK205" s="491">
        <v>0</v>
      </c>
      <c r="BL205" s="489">
        <v>72</v>
      </c>
      <c r="BM205" s="490">
        <v>1</v>
      </c>
      <c r="BN205" s="489">
        <v>0</v>
      </c>
      <c r="BO205" s="488">
        <v>0</v>
      </c>
    </row>
    <row r="210" spans="1:238" ht="15.75" thickBot="1">
      <c r="A210" s="783" t="s">
        <v>283</v>
      </c>
      <c r="B210" s="783"/>
      <c r="C210" s="783"/>
      <c r="D210" s="783"/>
      <c r="E210" s="783"/>
      <c r="F210" s="783"/>
      <c r="G210" s="783"/>
      <c r="H210" s="783"/>
      <c r="I210" s="783"/>
      <c r="J210" s="783"/>
      <c r="K210" s="783"/>
      <c r="L210" s="783"/>
      <c r="M210" s="783"/>
      <c r="N210" s="783"/>
      <c r="O210" s="783"/>
      <c r="P210" s="783"/>
      <c r="Q210" s="783"/>
      <c r="R210" s="783"/>
      <c r="S210" s="783"/>
      <c r="T210" s="783"/>
      <c r="U210" s="783"/>
      <c r="V210" s="783"/>
      <c r="W210" s="783"/>
      <c r="X210" s="783"/>
      <c r="Y210" s="783"/>
      <c r="Z210" s="783"/>
      <c r="AA210" s="783"/>
      <c r="AB210" s="783"/>
      <c r="AC210" s="783"/>
      <c r="AD210" s="783"/>
      <c r="AE210" s="783"/>
      <c r="AF210" s="783"/>
      <c r="AG210" s="783"/>
      <c r="AH210" s="783"/>
      <c r="AI210" s="783"/>
      <c r="AJ210" s="783"/>
      <c r="AK210" s="783"/>
      <c r="AL210" s="783"/>
      <c r="AM210" s="783"/>
      <c r="AN210" s="783"/>
      <c r="AO210" s="783"/>
      <c r="AP210" s="783"/>
      <c r="AQ210" s="783"/>
      <c r="AR210" s="783"/>
      <c r="AS210" s="783"/>
      <c r="AT210" s="783"/>
      <c r="AU210" s="783"/>
      <c r="AV210" s="783"/>
      <c r="AW210" s="783"/>
      <c r="AX210" s="783"/>
      <c r="AY210" s="783"/>
      <c r="AZ210" s="783"/>
      <c r="BA210" s="783"/>
      <c r="BB210" s="783"/>
      <c r="BC210" s="783"/>
      <c r="BD210" s="783"/>
      <c r="BE210" s="783"/>
      <c r="BF210" s="783"/>
      <c r="BG210" s="783"/>
      <c r="BH210" s="783"/>
      <c r="BI210" s="783"/>
      <c r="BJ210" s="783"/>
      <c r="BK210" s="783"/>
      <c r="BL210" s="783"/>
      <c r="BM210" s="783"/>
      <c r="BN210" s="783"/>
      <c r="BO210" s="783"/>
      <c r="BP210" s="783"/>
      <c r="BQ210" s="783"/>
      <c r="BR210" s="783"/>
      <c r="BS210" s="783"/>
      <c r="BT210" s="783"/>
      <c r="BU210" s="783"/>
      <c r="BV210" s="783"/>
      <c r="BW210" s="783"/>
      <c r="BX210" s="783"/>
      <c r="BY210" s="783"/>
      <c r="BZ210" s="783"/>
      <c r="CA210" s="783"/>
      <c r="ID210" t="s">
        <v>283</v>
      </c>
    </row>
    <row r="211" spans="1:238" ht="15" customHeight="1">
      <c r="A211" s="918" t="s">
        <v>311</v>
      </c>
      <c r="B211" s="789" t="s">
        <v>275</v>
      </c>
      <c r="C211" s="789"/>
      <c r="D211" s="789"/>
      <c r="E211" s="789"/>
      <c r="F211" s="789"/>
      <c r="G211" s="789"/>
      <c r="H211" s="789" t="s">
        <v>274</v>
      </c>
      <c r="I211" s="789"/>
      <c r="J211" s="789"/>
      <c r="K211" s="789"/>
      <c r="L211" s="789"/>
      <c r="M211" s="789"/>
      <c r="N211" s="789" t="s">
        <v>273</v>
      </c>
      <c r="O211" s="789"/>
      <c r="P211" s="789"/>
      <c r="Q211" s="789"/>
      <c r="R211" s="789"/>
      <c r="S211" s="789"/>
      <c r="T211" s="789" t="s">
        <v>272</v>
      </c>
      <c r="U211" s="789"/>
      <c r="V211" s="789"/>
      <c r="W211" s="789"/>
      <c r="X211" s="789"/>
      <c r="Y211" s="789"/>
      <c r="Z211" s="789" t="s">
        <v>271</v>
      </c>
      <c r="AA211" s="789"/>
      <c r="AB211" s="789"/>
      <c r="AC211" s="789"/>
      <c r="AD211" s="789"/>
      <c r="AE211" s="789"/>
      <c r="AF211" s="789" t="s">
        <v>270</v>
      </c>
      <c r="AG211" s="789"/>
      <c r="AH211" s="789"/>
      <c r="AI211" s="789"/>
      <c r="AJ211" s="789"/>
      <c r="AK211" s="789"/>
      <c r="AL211" s="789" t="s">
        <v>269</v>
      </c>
      <c r="AM211" s="789"/>
      <c r="AN211" s="789"/>
      <c r="AO211" s="789"/>
      <c r="AP211" s="789"/>
      <c r="AQ211" s="789"/>
      <c r="AR211" s="789" t="s">
        <v>267</v>
      </c>
      <c r="AS211" s="789"/>
      <c r="AT211" s="789"/>
      <c r="AU211" s="789"/>
      <c r="AV211" s="789"/>
      <c r="AW211" s="789"/>
      <c r="AX211" s="789" t="s">
        <v>266</v>
      </c>
      <c r="AY211" s="789"/>
      <c r="AZ211" s="789"/>
      <c r="BA211" s="789"/>
      <c r="BB211" s="789"/>
      <c r="BC211" s="789"/>
      <c r="BD211" s="789" t="s">
        <v>265</v>
      </c>
      <c r="BE211" s="789"/>
      <c r="BF211" s="789"/>
      <c r="BG211" s="789"/>
      <c r="BH211" s="789"/>
      <c r="BI211" s="827"/>
      <c r="BJ211" s="789" t="s">
        <v>264</v>
      </c>
      <c r="BK211" s="789"/>
      <c r="BL211" s="789"/>
      <c r="BM211" s="789"/>
      <c r="BN211" s="789"/>
      <c r="BO211" s="827"/>
    </row>
    <row r="212" spans="1:238" ht="32.25" customHeight="1">
      <c r="A212" s="919"/>
      <c r="B212" s="822" t="s">
        <v>277</v>
      </c>
      <c r="C212" s="822"/>
      <c r="D212" s="822"/>
      <c r="E212" s="822"/>
      <c r="F212" s="822"/>
      <c r="G212" s="822"/>
      <c r="H212" s="822" t="s">
        <v>277</v>
      </c>
      <c r="I212" s="822"/>
      <c r="J212" s="822"/>
      <c r="K212" s="822"/>
      <c r="L212" s="822"/>
      <c r="M212" s="822"/>
      <c r="N212" s="822" t="s">
        <v>277</v>
      </c>
      <c r="O212" s="822"/>
      <c r="P212" s="822"/>
      <c r="Q212" s="822"/>
      <c r="R212" s="822"/>
      <c r="S212" s="822"/>
      <c r="T212" s="822" t="s">
        <v>277</v>
      </c>
      <c r="U212" s="822"/>
      <c r="V212" s="822"/>
      <c r="W212" s="822"/>
      <c r="X212" s="822"/>
      <c r="Y212" s="822"/>
      <c r="Z212" s="822" t="s">
        <v>277</v>
      </c>
      <c r="AA212" s="822"/>
      <c r="AB212" s="822"/>
      <c r="AC212" s="822"/>
      <c r="AD212" s="822"/>
      <c r="AE212" s="822"/>
      <c r="AF212" s="822" t="s">
        <v>277</v>
      </c>
      <c r="AG212" s="822"/>
      <c r="AH212" s="822"/>
      <c r="AI212" s="822"/>
      <c r="AJ212" s="822"/>
      <c r="AK212" s="822"/>
      <c r="AL212" s="822" t="s">
        <v>277</v>
      </c>
      <c r="AM212" s="822"/>
      <c r="AN212" s="822"/>
      <c r="AO212" s="822"/>
      <c r="AP212" s="822"/>
      <c r="AQ212" s="822"/>
      <c r="AR212" s="822" t="s">
        <v>277</v>
      </c>
      <c r="AS212" s="822"/>
      <c r="AT212" s="822"/>
      <c r="AU212" s="822"/>
      <c r="AV212" s="822"/>
      <c r="AW212" s="822"/>
      <c r="AX212" s="822" t="s">
        <v>277</v>
      </c>
      <c r="AY212" s="822"/>
      <c r="AZ212" s="822"/>
      <c r="BA212" s="822"/>
      <c r="BB212" s="822"/>
      <c r="BC212" s="822"/>
      <c r="BD212" s="822" t="s">
        <v>277</v>
      </c>
      <c r="BE212" s="822"/>
      <c r="BF212" s="822"/>
      <c r="BG212" s="822"/>
      <c r="BH212" s="822"/>
      <c r="BI212" s="828"/>
      <c r="BJ212" s="822" t="s">
        <v>277</v>
      </c>
      <c r="BK212" s="822"/>
      <c r="BL212" s="822"/>
      <c r="BM212" s="822"/>
      <c r="BN212" s="822"/>
      <c r="BO212" s="828"/>
    </row>
    <row r="213" spans="1:238" ht="15" customHeight="1">
      <c r="A213" s="919"/>
      <c r="B213" s="787" t="s">
        <v>30</v>
      </c>
      <c r="C213" s="787"/>
      <c r="D213" s="787" t="s">
        <v>29</v>
      </c>
      <c r="E213" s="787"/>
      <c r="F213" s="787" t="s">
        <v>28</v>
      </c>
      <c r="G213" s="787"/>
      <c r="H213" s="787" t="s">
        <v>30</v>
      </c>
      <c r="I213" s="787"/>
      <c r="J213" s="787" t="s">
        <v>29</v>
      </c>
      <c r="K213" s="787"/>
      <c r="L213" s="787" t="s">
        <v>28</v>
      </c>
      <c r="M213" s="787"/>
      <c r="N213" s="787" t="s">
        <v>30</v>
      </c>
      <c r="O213" s="787"/>
      <c r="P213" s="787" t="s">
        <v>29</v>
      </c>
      <c r="Q213" s="787"/>
      <c r="R213" s="787" t="s">
        <v>28</v>
      </c>
      <c r="S213" s="787"/>
      <c r="T213" s="787" t="s">
        <v>30</v>
      </c>
      <c r="U213" s="787"/>
      <c r="V213" s="787" t="s">
        <v>29</v>
      </c>
      <c r="W213" s="787"/>
      <c r="X213" s="787" t="s">
        <v>28</v>
      </c>
      <c r="Y213" s="787"/>
      <c r="Z213" s="787" t="s">
        <v>30</v>
      </c>
      <c r="AA213" s="787"/>
      <c r="AB213" s="787" t="s">
        <v>29</v>
      </c>
      <c r="AC213" s="787"/>
      <c r="AD213" s="787" t="s">
        <v>28</v>
      </c>
      <c r="AE213" s="787"/>
      <c r="AF213" s="787" t="s">
        <v>30</v>
      </c>
      <c r="AG213" s="787"/>
      <c r="AH213" s="787" t="s">
        <v>29</v>
      </c>
      <c r="AI213" s="787"/>
      <c r="AJ213" s="787" t="s">
        <v>28</v>
      </c>
      <c r="AK213" s="787"/>
      <c r="AL213" s="787" t="s">
        <v>30</v>
      </c>
      <c r="AM213" s="787"/>
      <c r="AN213" s="787" t="s">
        <v>29</v>
      </c>
      <c r="AO213" s="787"/>
      <c r="AP213" s="787" t="s">
        <v>28</v>
      </c>
      <c r="AQ213" s="787"/>
      <c r="AR213" s="787" t="s">
        <v>30</v>
      </c>
      <c r="AS213" s="787"/>
      <c r="AT213" s="787" t="s">
        <v>29</v>
      </c>
      <c r="AU213" s="787"/>
      <c r="AV213" s="787" t="s">
        <v>28</v>
      </c>
      <c r="AW213" s="787"/>
      <c r="AX213" s="787" t="s">
        <v>30</v>
      </c>
      <c r="AY213" s="787"/>
      <c r="AZ213" s="787" t="s">
        <v>29</v>
      </c>
      <c r="BA213" s="787"/>
      <c r="BB213" s="787" t="s">
        <v>28</v>
      </c>
      <c r="BC213" s="787"/>
      <c r="BD213" s="787" t="s">
        <v>30</v>
      </c>
      <c r="BE213" s="787"/>
      <c r="BF213" s="787" t="s">
        <v>29</v>
      </c>
      <c r="BG213" s="787"/>
      <c r="BH213" s="787" t="s">
        <v>28</v>
      </c>
      <c r="BI213" s="788"/>
      <c r="BJ213" s="787" t="s">
        <v>30</v>
      </c>
      <c r="BK213" s="787"/>
      <c r="BL213" s="787" t="s">
        <v>29</v>
      </c>
      <c r="BM213" s="787"/>
      <c r="BN213" s="787" t="s">
        <v>28</v>
      </c>
      <c r="BO213" s="788"/>
    </row>
    <row r="214" spans="1:238" ht="15.75" customHeight="1" thickBot="1">
      <c r="A214" s="920"/>
      <c r="B214" s="185" t="s">
        <v>7</v>
      </c>
      <c r="C214" s="185" t="s">
        <v>8</v>
      </c>
      <c r="D214" s="185" t="s">
        <v>7</v>
      </c>
      <c r="E214" s="185" t="s">
        <v>8</v>
      </c>
      <c r="F214" s="185" t="s">
        <v>7</v>
      </c>
      <c r="G214" s="185" t="s">
        <v>8</v>
      </c>
      <c r="H214" s="185" t="s">
        <v>7</v>
      </c>
      <c r="I214" s="185" t="s">
        <v>8</v>
      </c>
      <c r="J214" s="185" t="s">
        <v>7</v>
      </c>
      <c r="K214" s="185" t="s">
        <v>8</v>
      </c>
      <c r="L214" s="185" t="s">
        <v>7</v>
      </c>
      <c r="M214" s="185" t="s">
        <v>8</v>
      </c>
      <c r="N214" s="185" t="s">
        <v>7</v>
      </c>
      <c r="O214" s="185" t="s">
        <v>8</v>
      </c>
      <c r="P214" s="185" t="s">
        <v>7</v>
      </c>
      <c r="Q214" s="185" t="s">
        <v>8</v>
      </c>
      <c r="R214" s="185" t="s">
        <v>7</v>
      </c>
      <c r="S214" s="185" t="s">
        <v>8</v>
      </c>
      <c r="T214" s="185" t="s">
        <v>7</v>
      </c>
      <c r="U214" s="185" t="s">
        <v>8</v>
      </c>
      <c r="V214" s="185" t="s">
        <v>7</v>
      </c>
      <c r="W214" s="185" t="s">
        <v>8</v>
      </c>
      <c r="X214" s="185" t="s">
        <v>7</v>
      </c>
      <c r="Y214" s="185" t="s">
        <v>8</v>
      </c>
      <c r="Z214" s="185" t="s">
        <v>7</v>
      </c>
      <c r="AA214" s="185" t="s">
        <v>8</v>
      </c>
      <c r="AB214" s="185" t="s">
        <v>7</v>
      </c>
      <c r="AC214" s="185" t="s">
        <v>8</v>
      </c>
      <c r="AD214" s="185" t="s">
        <v>7</v>
      </c>
      <c r="AE214" s="185" t="s">
        <v>8</v>
      </c>
      <c r="AF214" s="185" t="s">
        <v>7</v>
      </c>
      <c r="AG214" s="185" t="s">
        <v>8</v>
      </c>
      <c r="AH214" s="185" t="s">
        <v>7</v>
      </c>
      <c r="AI214" s="185" t="s">
        <v>8</v>
      </c>
      <c r="AJ214" s="185" t="s">
        <v>7</v>
      </c>
      <c r="AK214" s="185" t="s">
        <v>8</v>
      </c>
      <c r="AL214" s="185" t="s">
        <v>7</v>
      </c>
      <c r="AM214" s="185" t="s">
        <v>8</v>
      </c>
      <c r="AN214" s="185" t="s">
        <v>7</v>
      </c>
      <c r="AO214" s="185" t="s">
        <v>8</v>
      </c>
      <c r="AP214" s="185" t="s">
        <v>7</v>
      </c>
      <c r="AQ214" s="185" t="s">
        <v>8</v>
      </c>
      <c r="AR214" s="185" t="s">
        <v>7</v>
      </c>
      <c r="AS214" s="185" t="s">
        <v>8</v>
      </c>
      <c r="AT214" s="185" t="s">
        <v>7</v>
      </c>
      <c r="AU214" s="185" t="s">
        <v>8</v>
      </c>
      <c r="AV214" s="185" t="s">
        <v>7</v>
      </c>
      <c r="AW214" s="185" t="s">
        <v>8</v>
      </c>
      <c r="AX214" s="185" t="s">
        <v>7</v>
      </c>
      <c r="AY214" s="185" t="s">
        <v>8</v>
      </c>
      <c r="AZ214" s="185" t="s">
        <v>7</v>
      </c>
      <c r="BA214" s="185" t="s">
        <v>8</v>
      </c>
      <c r="BB214" s="185" t="s">
        <v>7</v>
      </c>
      <c r="BC214" s="185" t="s">
        <v>8</v>
      </c>
      <c r="BD214" s="185" t="s">
        <v>7</v>
      </c>
      <c r="BE214" s="185" t="s">
        <v>8</v>
      </c>
      <c r="BF214" s="185" t="s">
        <v>7</v>
      </c>
      <c r="BG214" s="185" t="s">
        <v>8</v>
      </c>
      <c r="BH214" s="185" t="s">
        <v>7</v>
      </c>
      <c r="BI214" s="447" t="s">
        <v>8</v>
      </c>
      <c r="BJ214" s="185" t="s">
        <v>7</v>
      </c>
      <c r="BK214" s="185" t="s">
        <v>8</v>
      </c>
      <c r="BL214" s="185" t="s">
        <v>7</v>
      </c>
      <c r="BM214" s="185" t="s">
        <v>8</v>
      </c>
      <c r="BN214" s="185" t="s">
        <v>7</v>
      </c>
      <c r="BO214" s="447" t="s">
        <v>8</v>
      </c>
    </row>
    <row r="215" spans="1:238">
      <c r="A215" s="472" t="s">
        <v>5</v>
      </c>
      <c r="B215" s="423">
        <v>72</v>
      </c>
      <c r="C215" s="446">
        <v>0.27100000000000002</v>
      </c>
      <c r="D215" s="484">
        <v>94</v>
      </c>
      <c r="E215" s="485">
        <v>0.35399999999999998</v>
      </c>
      <c r="F215" s="484">
        <v>99</v>
      </c>
      <c r="G215" s="446">
        <v>0.374</v>
      </c>
      <c r="H215" s="423">
        <v>0</v>
      </c>
      <c r="I215" s="446">
        <v>0</v>
      </c>
      <c r="J215" s="484">
        <v>6</v>
      </c>
      <c r="K215" s="485">
        <v>1</v>
      </c>
      <c r="L215" s="484">
        <v>0</v>
      </c>
      <c r="M215" s="446">
        <v>0</v>
      </c>
      <c r="N215" s="423">
        <v>87</v>
      </c>
      <c r="O215" s="446">
        <v>1</v>
      </c>
      <c r="P215" s="484">
        <v>0</v>
      </c>
      <c r="Q215" s="485">
        <v>0</v>
      </c>
      <c r="R215" s="484">
        <v>0</v>
      </c>
      <c r="S215" s="446">
        <v>0</v>
      </c>
      <c r="T215" s="423">
        <v>146</v>
      </c>
      <c r="U215" s="446">
        <v>0.10299999999999999</v>
      </c>
      <c r="V215" s="484">
        <v>631</v>
      </c>
      <c r="W215" s="485">
        <v>0.44400000000000001</v>
      </c>
      <c r="X215" s="484">
        <v>644</v>
      </c>
      <c r="Y215" s="446">
        <v>0.45300000000000001</v>
      </c>
      <c r="Z215" s="423">
        <v>0</v>
      </c>
      <c r="AA215" s="446">
        <v>0</v>
      </c>
      <c r="AB215" s="484">
        <v>18</v>
      </c>
      <c r="AC215" s="485">
        <v>1</v>
      </c>
      <c r="AD215" s="484">
        <v>0</v>
      </c>
      <c r="AE215" s="446">
        <v>0</v>
      </c>
      <c r="AF215" s="423">
        <v>13738</v>
      </c>
      <c r="AG215" s="446">
        <v>9.2999999999999999E-2</v>
      </c>
      <c r="AH215" s="484">
        <v>80892</v>
      </c>
      <c r="AI215" s="485">
        <v>0.55000000000000004</v>
      </c>
      <c r="AJ215" s="484">
        <v>52570</v>
      </c>
      <c r="AK215" s="446">
        <v>0.35699999999999998</v>
      </c>
      <c r="AL215" s="423">
        <v>6</v>
      </c>
      <c r="AM215" s="446">
        <v>3.7999999999999999E-2</v>
      </c>
      <c r="AN215" s="484">
        <v>46</v>
      </c>
      <c r="AO215" s="485">
        <v>0.28499999999999998</v>
      </c>
      <c r="AP215" s="484">
        <v>109</v>
      </c>
      <c r="AQ215" s="446">
        <v>0.67700000000000005</v>
      </c>
      <c r="AR215" s="423">
        <v>7</v>
      </c>
      <c r="AS215" s="446">
        <v>1</v>
      </c>
      <c r="AT215" s="484">
        <v>0</v>
      </c>
      <c r="AU215" s="485">
        <v>0</v>
      </c>
      <c r="AV215" s="484">
        <v>0</v>
      </c>
      <c r="AW215" s="446">
        <v>0</v>
      </c>
      <c r="AX215" s="423">
        <v>90</v>
      </c>
      <c r="AY215" s="446">
        <v>1</v>
      </c>
      <c r="AZ215" s="484">
        <v>0</v>
      </c>
      <c r="BA215" s="485">
        <v>0</v>
      </c>
      <c r="BB215" s="484">
        <v>0</v>
      </c>
      <c r="BC215" s="446">
        <v>0</v>
      </c>
      <c r="BD215" s="423">
        <v>131</v>
      </c>
      <c r="BE215" s="446">
        <v>8.2000000000000003E-2</v>
      </c>
      <c r="BF215" s="484">
        <v>579</v>
      </c>
      <c r="BG215" s="485">
        <v>0.36099999999999999</v>
      </c>
      <c r="BH215" s="484">
        <v>896</v>
      </c>
      <c r="BI215" s="399">
        <v>0.55800000000000005</v>
      </c>
      <c r="BJ215" s="423">
        <v>0</v>
      </c>
      <c r="BK215" s="446">
        <v>0</v>
      </c>
      <c r="BL215" s="484">
        <v>0</v>
      </c>
      <c r="BM215" s="485">
        <v>0</v>
      </c>
      <c r="BN215" s="484">
        <v>0</v>
      </c>
      <c r="BO215" s="399">
        <v>0</v>
      </c>
    </row>
    <row r="216" spans="1:238">
      <c r="A216" s="471" t="s">
        <v>309</v>
      </c>
      <c r="B216" s="483">
        <v>0</v>
      </c>
      <c r="C216" s="482">
        <v>0</v>
      </c>
      <c r="D216" s="480">
        <v>0</v>
      </c>
      <c r="E216" s="481">
        <v>0</v>
      </c>
      <c r="F216" s="480">
        <v>0</v>
      </c>
      <c r="G216" s="482">
        <v>0</v>
      </c>
      <c r="H216" s="483">
        <v>0</v>
      </c>
      <c r="I216" s="482">
        <v>0</v>
      </c>
      <c r="J216" s="480">
        <v>0</v>
      </c>
      <c r="K216" s="481">
        <v>0</v>
      </c>
      <c r="L216" s="480">
        <v>0</v>
      </c>
      <c r="M216" s="482">
        <v>0</v>
      </c>
      <c r="N216" s="483">
        <v>0</v>
      </c>
      <c r="O216" s="482">
        <v>0</v>
      </c>
      <c r="P216" s="480">
        <v>0</v>
      </c>
      <c r="Q216" s="481">
        <v>0</v>
      </c>
      <c r="R216" s="480">
        <v>0</v>
      </c>
      <c r="S216" s="482">
        <v>0</v>
      </c>
      <c r="T216" s="483">
        <v>0</v>
      </c>
      <c r="U216" s="482">
        <v>0</v>
      </c>
      <c r="V216" s="480">
        <v>47</v>
      </c>
      <c r="W216" s="481">
        <v>1</v>
      </c>
      <c r="X216" s="480">
        <v>0</v>
      </c>
      <c r="Y216" s="482">
        <v>0</v>
      </c>
      <c r="Z216" s="483">
        <v>0</v>
      </c>
      <c r="AA216" s="482">
        <v>0</v>
      </c>
      <c r="AB216" s="480">
        <v>0</v>
      </c>
      <c r="AC216" s="481">
        <v>0</v>
      </c>
      <c r="AD216" s="480">
        <v>0</v>
      </c>
      <c r="AE216" s="482">
        <v>0</v>
      </c>
      <c r="AF216" s="483">
        <v>373</v>
      </c>
      <c r="AG216" s="482">
        <v>0.157</v>
      </c>
      <c r="AH216" s="480">
        <v>1499</v>
      </c>
      <c r="AI216" s="481">
        <v>0.629</v>
      </c>
      <c r="AJ216" s="480">
        <v>510</v>
      </c>
      <c r="AK216" s="482">
        <v>0.214</v>
      </c>
      <c r="AL216" s="483">
        <v>0</v>
      </c>
      <c r="AM216" s="482">
        <v>0</v>
      </c>
      <c r="AN216" s="480">
        <v>0</v>
      </c>
      <c r="AO216" s="481">
        <v>0</v>
      </c>
      <c r="AP216" s="480">
        <v>0</v>
      </c>
      <c r="AQ216" s="482">
        <v>0</v>
      </c>
      <c r="AR216" s="483">
        <v>0</v>
      </c>
      <c r="AS216" s="482">
        <v>0</v>
      </c>
      <c r="AT216" s="480">
        <v>0</v>
      </c>
      <c r="AU216" s="481">
        <v>0</v>
      </c>
      <c r="AV216" s="480">
        <v>0</v>
      </c>
      <c r="AW216" s="482">
        <v>0</v>
      </c>
      <c r="AX216" s="483">
        <v>0</v>
      </c>
      <c r="AY216" s="482">
        <v>0</v>
      </c>
      <c r="AZ216" s="480">
        <v>0</v>
      </c>
      <c r="BA216" s="481">
        <v>0</v>
      </c>
      <c r="BB216" s="480">
        <v>0</v>
      </c>
      <c r="BC216" s="482">
        <v>0</v>
      </c>
      <c r="BD216" s="483">
        <v>47</v>
      </c>
      <c r="BE216" s="482">
        <v>0.33300000000000002</v>
      </c>
      <c r="BF216" s="480">
        <v>47</v>
      </c>
      <c r="BG216" s="481">
        <v>0.33300000000000002</v>
      </c>
      <c r="BH216" s="480">
        <v>47</v>
      </c>
      <c r="BI216" s="479">
        <v>0.33300000000000002</v>
      </c>
      <c r="BJ216" s="483">
        <v>0</v>
      </c>
      <c r="BK216" s="482">
        <v>0</v>
      </c>
      <c r="BL216" s="480">
        <v>0</v>
      </c>
      <c r="BM216" s="481">
        <v>0</v>
      </c>
      <c r="BN216" s="480">
        <v>0</v>
      </c>
      <c r="BO216" s="479">
        <v>0</v>
      </c>
    </row>
    <row r="217" spans="1:238">
      <c r="A217" s="471" t="s">
        <v>308</v>
      </c>
      <c r="B217" s="483">
        <v>0</v>
      </c>
      <c r="C217" s="482">
        <v>0</v>
      </c>
      <c r="D217" s="480">
        <v>0</v>
      </c>
      <c r="E217" s="481">
        <v>0</v>
      </c>
      <c r="F217" s="480">
        <v>0</v>
      </c>
      <c r="G217" s="482">
        <v>0</v>
      </c>
      <c r="H217" s="483">
        <v>0</v>
      </c>
      <c r="I217" s="482">
        <v>0</v>
      </c>
      <c r="J217" s="480">
        <v>0</v>
      </c>
      <c r="K217" s="481">
        <v>0</v>
      </c>
      <c r="L217" s="480">
        <v>0</v>
      </c>
      <c r="M217" s="482">
        <v>0</v>
      </c>
      <c r="N217" s="483">
        <v>0</v>
      </c>
      <c r="O217" s="482">
        <v>0</v>
      </c>
      <c r="P217" s="480">
        <v>0</v>
      </c>
      <c r="Q217" s="481">
        <v>0</v>
      </c>
      <c r="R217" s="480">
        <v>0</v>
      </c>
      <c r="S217" s="482">
        <v>0</v>
      </c>
      <c r="T217" s="483">
        <v>41</v>
      </c>
      <c r="U217" s="482">
        <v>0.42799999999999999</v>
      </c>
      <c r="V217" s="480">
        <v>7</v>
      </c>
      <c r="W217" s="481">
        <v>7.1999999999999995E-2</v>
      </c>
      <c r="X217" s="480">
        <v>48</v>
      </c>
      <c r="Y217" s="482">
        <v>0.5</v>
      </c>
      <c r="Z217" s="483">
        <v>0</v>
      </c>
      <c r="AA217" s="482">
        <v>0</v>
      </c>
      <c r="AB217" s="480">
        <v>0</v>
      </c>
      <c r="AC217" s="481">
        <v>0</v>
      </c>
      <c r="AD217" s="480">
        <v>0</v>
      </c>
      <c r="AE217" s="482">
        <v>0</v>
      </c>
      <c r="AF217" s="483">
        <v>154</v>
      </c>
      <c r="AG217" s="482">
        <v>2.1999999999999999E-2</v>
      </c>
      <c r="AH217" s="480">
        <v>3267</v>
      </c>
      <c r="AI217" s="481">
        <v>0.47199999999999998</v>
      </c>
      <c r="AJ217" s="480">
        <v>3495</v>
      </c>
      <c r="AK217" s="482">
        <v>0.505</v>
      </c>
      <c r="AL217" s="483">
        <v>0</v>
      </c>
      <c r="AM217" s="482">
        <v>0</v>
      </c>
      <c r="AN217" s="480">
        <v>0</v>
      </c>
      <c r="AO217" s="481">
        <v>0</v>
      </c>
      <c r="AP217" s="480">
        <v>0</v>
      </c>
      <c r="AQ217" s="482">
        <v>0</v>
      </c>
      <c r="AR217" s="483">
        <v>7</v>
      </c>
      <c r="AS217" s="482">
        <v>1</v>
      </c>
      <c r="AT217" s="480">
        <v>0</v>
      </c>
      <c r="AU217" s="481">
        <v>0</v>
      </c>
      <c r="AV217" s="480">
        <v>0</v>
      </c>
      <c r="AW217" s="482">
        <v>0</v>
      </c>
      <c r="AX217" s="483">
        <v>0</v>
      </c>
      <c r="AY217" s="482">
        <v>0</v>
      </c>
      <c r="AZ217" s="480">
        <v>0</v>
      </c>
      <c r="BA217" s="481">
        <v>0</v>
      </c>
      <c r="BB217" s="480">
        <v>0</v>
      </c>
      <c r="BC217" s="482">
        <v>0</v>
      </c>
      <c r="BD217" s="483">
        <v>0</v>
      </c>
      <c r="BE217" s="482">
        <v>0</v>
      </c>
      <c r="BF217" s="480">
        <v>82</v>
      </c>
      <c r="BG217" s="481">
        <v>0.43</v>
      </c>
      <c r="BH217" s="480">
        <v>109</v>
      </c>
      <c r="BI217" s="479">
        <v>0.56999999999999995</v>
      </c>
      <c r="BJ217" s="483">
        <v>0</v>
      </c>
      <c r="BK217" s="482">
        <v>0</v>
      </c>
      <c r="BL217" s="480">
        <v>0</v>
      </c>
      <c r="BM217" s="481">
        <v>0</v>
      </c>
      <c r="BN217" s="480">
        <v>0</v>
      </c>
      <c r="BO217" s="479">
        <v>0</v>
      </c>
    </row>
    <row r="218" spans="1:238">
      <c r="A218" s="471" t="s">
        <v>307</v>
      </c>
      <c r="B218" s="483">
        <v>0</v>
      </c>
      <c r="C218" s="482">
        <v>0</v>
      </c>
      <c r="D218" s="480">
        <v>0</v>
      </c>
      <c r="E218" s="481">
        <v>0</v>
      </c>
      <c r="F218" s="480">
        <v>90</v>
      </c>
      <c r="G218" s="482">
        <v>1</v>
      </c>
      <c r="H218" s="483">
        <v>0</v>
      </c>
      <c r="I218" s="482">
        <v>0</v>
      </c>
      <c r="J218" s="480">
        <v>0</v>
      </c>
      <c r="K218" s="481">
        <v>0</v>
      </c>
      <c r="L218" s="480">
        <v>0</v>
      </c>
      <c r="M218" s="482">
        <v>0</v>
      </c>
      <c r="N218" s="483">
        <v>0</v>
      </c>
      <c r="O218" s="482">
        <v>0</v>
      </c>
      <c r="P218" s="480">
        <v>0</v>
      </c>
      <c r="Q218" s="481">
        <v>0</v>
      </c>
      <c r="R218" s="480">
        <v>0</v>
      </c>
      <c r="S218" s="482">
        <v>0</v>
      </c>
      <c r="T218" s="483">
        <v>0</v>
      </c>
      <c r="U218" s="482">
        <v>0</v>
      </c>
      <c r="V218" s="480">
        <v>152</v>
      </c>
      <c r="W218" s="481">
        <v>0.45900000000000002</v>
      </c>
      <c r="X218" s="480">
        <v>179</v>
      </c>
      <c r="Y218" s="482">
        <v>0.54100000000000004</v>
      </c>
      <c r="Z218" s="483">
        <v>0</v>
      </c>
      <c r="AA218" s="482">
        <v>0</v>
      </c>
      <c r="AB218" s="480">
        <v>0</v>
      </c>
      <c r="AC218" s="481">
        <v>0</v>
      </c>
      <c r="AD218" s="480">
        <v>0</v>
      </c>
      <c r="AE218" s="482">
        <v>0</v>
      </c>
      <c r="AF218" s="483">
        <v>1136</v>
      </c>
      <c r="AG218" s="482">
        <v>0.109</v>
      </c>
      <c r="AH218" s="480">
        <v>5360</v>
      </c>
      <c r="AI218" s="481">
        <v>0.51500000000000001</v>
      </c>
      <c r="AJ218" s="480">
        <v>3904</v>
      </c>
      <c r="AK218" s="482">
        <v>0.375</v>
      </c>
      <c r="AL218" s="483">
        <v>0</v>
      </c>
      <c r="AM218" s="482">
        <v>0</v>
      </c>
      <c r="AN218" s="480">
        <v>0</v>
      </c>
      <c r="AO218" s="481">
        <v>0</v>
      </c>
      <c r="AP218" s="480">
        <v>0</v>
      </c>
      <c r="AQ218" s="482">
        <v>0</v>
      </c>
      <c r="AR218" s="483">
        <v>0</v>
      </c>
      <c r="AS218" s="482">
        <v>0</v>
      </c>
      <c r="AT218" s="480">
        <v>0</v>
      </c>
      <c r="AU218" s="481">
        <v>0</v>
      </c>
      <c r="AV218" s="480">
        <v>0</v>
      </c>
      <c r="AW218" s="482">
        <v>0</v>
      </c>
      <c r="AX218" s="483">
        <v>90</v>
      </c>
      <c r="AY218" s="482">
        <v>1</v>
      </c>
      <c r="AZ218" s="480">
        <v>0</v>
      </c>
      <c r="BA218" s="481">
        <v>0</v>
      </c>
      <c r="BB218" s="480">
        <v>0</v>
      </c>
      <c r="BC218" s="482">
        <v>0</v>
      </c>
      <c r="BD218" s="483">
        <v>0</v>
      </c>
      <c r="BE218" s="482">
        <v>0</v>
      </c>
      <c r="BF218" s="480">
        <v>0</v>
      </c>
      <c r="BG218" s="481">
        <v>0</v>
      </c>
      <c r="BH218" s="480">
        <v>62</v>
      </c>
      <c r="BI218" s="479">
        <v>1</v>
      </c>
      <c r="BJ218" s="483">
        <v>0</v>
      </c>
      <c r="BK218" s="482">
        <v>0</v>
      </c>
      <c r="BL218" s="480">
        <v>0</v>
      </c>
      <c r="BM218" s="481">
        <v>0</v>
      </c>
      <c r="BN218" s="480">
        <v>0</v>
      </c>
      <c r="BO218" s="479">
        <v>0</v>
      </c>
    </row>
    <row r="219" spans="1:238">
      <c r="A219" s="471" t="s">
        <v>306</v>
      </c>
      <c r="B219" s="483">
        <v>0</v>
      </c>
      <c r="C219" s="482">
        <v>0</v>
      </c>
      <c r="D219" s="480">
        <v>0</v>
      </c>
      <c r="E219" s="481">
        <v>0</v>
      </c>
      <c r="F219" s="480">
        <v>0</v>
      </c>
      <c r="G219" s="482">
        <v>0</v>
      </c>
      <c r="H219" s="483">
        <v>0</v>
      </c>
      <c r="I219" s="482">
        <v>0</v>
      </c>
      <c r="J219" s="480">
        <v>0</v>
      </c>
      <c r="K219" s="481">
        <v>0</v>
      </c>
      <c r="L219" s="480">
        <v>0</v>
      </c>
      <c r="M219" s="482">
        <v>0</v>
      </c>
      <c r="N219" s="483">
        <v>0</v>
      </c>
      <c r="O219" s="482">
        <v>0</v>
      </c>
      <c r="P219" s="480">
        <v>0</v>
      </c>
      <c r="Q219" s="481">
        <v>0</v>
      </c>
      <c r="R219" s="480">
        <v>0</v>
      </c>
      <c r="S219" s="482">
        <v>0</v>
      </c>
      <c r="T219" s="483">
        <v>0</v>
      </c>
      <c r="U219" s="482">
        <v>0</v>
      </c>
      <c r="V219" s="480">
        <v>79</v>
      </c>
      <c r="W219" s="481">
        <v>1</v>
      </c>
      <c r="X219" s="480">
        <v>0</v>
      </c>
      <c r="Y219" s="482">
        <v>0</v>
      </c>
      <c r="Z219" s="483">
        <v>0</v>
      </c>
      <c r="AA219" s="482">
        <v>0</v>
      </c>
      <c r="AB219" s="480">
        <v>0</v>
      </c>
      <c r="AC219" s="481">
        <v>0</v>
      </c>
      <c r="AD219" s="480">
        <v>0</v>
      </c>
      <c r="AE219" s="482">
        <v>0</v>
      </c>
      <c r="AF219" s="483">
        <v>1002</v>
      </c>
      <c r="AG219" s="482">
        <v>0.10299999999999999</v>
      </c>
      <c r="AH219" s="480">
        <v>6044</v>
      </c>
      <c r="AI219" s="481">
        <v>0.623</v>
      </c>
      <c r="AJ219" s="480">
        <v>2660</v>
      </c>
      <c r="AK219" s="482">
        <v>0.27400000000000002</v>
      </c>
      <c r="AL219" s="483">
        <v>0</v>
      </c>
      <c r="AM219" s="482">
        <v>0</v>
      </c>
      <c r="AN219" s="480">
        <v>0</v>
      </c>
      <c r="AO219" s="481">
        <v>0</v>
      </c>
      <c r="AP219" s="480">
        <v>0</v>
      </c>
      <c r="AQ219" s="482">
        <v>0</v>
      </c>
      <c r="AR219" s="483">
        <v>0</v>
      </c>
      <c r="AS219" s="482">
        <v>0</v>
      </c>
      <c r="AT219" s="480">
        <v>0</v>
      </c>
      <c r="AU219" s="481">
        <v>0</v>
      </c>
      <c r="AV219" s="480">
        <v>0</v>
      </c>
      <c r="AW219" s="482">
        <v>0</v>
      </c>
      <c r="AX219" s="483">
        <v>0</v>
      </c>
      <c r="AY219" s="482">
        <v>0</v>
      </c>
      <c r="AZ219" s="480">
        <v>0</v>
      </c>
      <c r="BA219" s="481">
        <v>0</v>
      </c>
      <c r="BB219" s="480">
        <v>0</v>
      </c>
      <c r="BC219" s="482">
        <v>0</v>
      </c>
      <c r="BD219" s="483">
        <v>72</v>
      </c>
      <c r="BE219" s="482">
        <v>0.47599999999999998</v>
      </c>
      <c r="BF219" s="480">
        <v>0</v>
      </c>
      <c r="BG219" s="481">
        <v>0</v>
      </c>
      <c r="BH219" s="480">
        <v>79</v>
      </c>
      <c r="BI219" s="479">
        <v>0.52400000000000002</v>
      </c>
      <c r="BJ219" s="483">
        <v>0</v>
      </c>
      <c r="BK219" s="482">
        <v>0</v>
      </c>
      <c r="BL219" s="480">
        <v>0</v>
      </c>
      <c r="BM219" s="481">
        <v>0</v>
      </c>
      <c r="BN219" s="480">
        <v>0</v>
      </c>
      <c r="BO219" s="479">
        <v>0</v>
      </c>
    </row>
    <row r="220" spans="1:238">
      <c r="A220" s="471" t="s">
        <v>305</v>
      </c>
      <c r="B220" s="483">
        <v>0</v>
      </c>
      <c r="C220" s="482">
        <v>0</v>
      </c>
      <c r="D220" s="480">
        <v>0</v>
      </c>
      <c r="E220" s="481">
        <v>0</v>
      </c>
      <c r="F220" s="480">
        <v>0</v>
      </c>
      <c r="G220" s="482">
        <v>0</v>
      </c>
      <c r="H220" s="483">
        <v>0</v>
      </c>
      <c r="I220" s="482">
        <v>0</v>
      </c>
      <c r="J220" s="480">
        <v>0</v>
      </c>
      <c r="K220" s="481">
        <v>0</v>
      </c>
      <c r="L220" s="480">
        <v>0</v>
      </c>
      <c r="M220" s="482">
        <v>0</v>
      </c>
      <c r="N220" s="483">
        <v>0</v>
      </c>
      <c r="O220" s="482">
        <v>0</v>
      </c>
      <c r="P220" s="480">
        <v>0</v>
      </c>
      <c r="Q220" s="481">
        <v>0</v>
      </c>
      <c r="R220" s="480">
        <v>0</v>
      </c>
      <c r="S220" s="482">
        <v>0</v>
      </c>
      <c r="T220" s="483">
        <v>81</v>
      </c>
      <c r="U220" s="482">
        <v>0.45100000000000001</v>
      </c>
      <c r="V220" s="480">
        <v>81</v>
      </c>
      <c r="W220" s="481">
        <v>0.45100000000000001</v>
      </c>
      <c r="X220" s="480">
        <v>18</v>
      </c>
      <c r="Y220" s="482">
        <v>9.8000000000000004E-2</v>
      </c>
      <c r="Z220" s="483">
        <v>0</v>
      </c>
      <c r="AA220" s="482">
        <v>0</v>
      </c>
      <c r="AB220" s="480">
        <v>0</v>
      </c>
      <c r="AC220" s="481">
        <v>0</v>
      </c>
      <c r="AD220" s="480">
        <v>0</v>
      </c>
      <c r="AE220" s="482">
        <v>0</v>
      </c>
      <c r="AF220" s="483">
        <v>1083</v>
      </c>
      <c r="AG220" s="482">
        <v>5.5E-2</v>
      </c>
      <c r="AH220" s="480">
        <v>11097</v>
      </c>
      <c r="AI220" s="481">
        <v>0.56399999999999995</v>
      </c>
      <c r="AJ220" s="480">
        <v>7496</v>
      </c>
      <c r="AK220" s="482">
        <v>0.38100000000000001</v>
      </c>
      <c r="AL220" s="483">
        <v>0</v>
      </c>
      <c r="AM220" s="482">
        <v>0</v>
      </c>
      <c r="AN220" s="480">
        <v>0</v>
      </c>
      <c r="AO220" s="481">
        <v>0</v>
      </c>
      <c r="AP220" s="480">
        <v>9</v>
      </c>
      <c r="AQ220" s="482">
        <v>1</v>
      </c>
      <c r="AR220" s="483">
        <v>0</v>
      </c>
      <c r="AS220" s="482">
        <v>0</v>
      </c>
      <c r="AT220" s="480">
        <v>0</v>
      </c>
      <c r="AU220" s="481">
        <v>0</v>
      </c>
      <c r="AV220" s="480">
        <v>0</v>
      </c>
      <c r="AW220" s="482">
        <v>0</v>
      </c>
      <c r="AX220" s="483">
        <v>0</v>
      </c>
      <c r="AY220" s="482">
        <v>0</v>
      </c>
      <c r="AZ220" s="480">
        <v>0</v>
      </c>
      <c r="BA220" s="481">
        <v>0</v>
      </c>
      <c r="BB220" s="480">
        <v>0</v>
      </c>
      <c r="BC220" s="482">
        <v>0</v>
      </c>
      <c r="BD220" s="483">
        <v>0</v>
      </c>
      <c r="BE220" s="482">
        <v>0</v>
      </c>
      <c r="BF220" s="480">
        <v>117</v>
      </c>
      <c r="BG220" s="481">
        <v>0.48799999999999999</v>
      </c>
      <c r="BH220" s="480">
        <v>123</v>
      </c>
      <c r="BI220" s="479">
        <v>0.51200000000000001</v>
      </c>
      <c r="BJ220" s="483">
        <v>0</v>
      </c>
      <c r="BK220" s="482">
        <v>0</v>
      </c>
      <c r="BL220" s="480">
        <v>0</v>
      </c>
      <c r="BM220" s="481">
        <v>0</v>
      </c>
      <c r="BN220" s="480">
        <v>0</v>
      </c>
      <c r="BO220" s="479">
        <v>0</v>
      </c>
    </row>
    <row r="221" spans="1:238" ht="24">
      <c r="A221" s="471" t="s">
        <v>304</v>
      </c>
      <c r="B221" s="483">
        <v>6</v>
      </c>
      <c r="C221" s="482">
        <v>6.6000000000000003E-2</v>
      </c>
      <c r="D221" s="480">
        <v>87</v>
      </c>
      <c r="E221" s="481">
        <v>0.93400000000000005</v>
      </c>
      <c r="F221" s="480">
        <v>0</v>
      </c>
      <c r="G221" s="482">
        <v>0</v>
      </c>
      <c r="H221" s="483">
        <v>0</v>
      </c>
      <c r="I221" s="482">
        <v>0</v>
      </c>
      <c r="J221" s="480">
        <v>6</v>
      </c>
      <c r="K221" s="481">
        <v>1</v>
      </c>
      <c r="L221" s="480">
        <v>0</v>
      </c>
      <c r="M221" s="482">
        <v>0</v>
      </c>
      <c r="N221" s="483">
        <v>87</v>
      </c>
      <c r="O221" s="482">
        <v>1</v>
      </c>
      <c r="P221" s="480">
        <v>0</v>
      </c>
      <c r="Q221" s="481">
        <v>0</v>
      </c>
      <c r="R221" s="480">
        <v>0</v>
      </c>
      <c r="S221" s="482">
        <v>0</v>
      </c>
      <c r="T221" s="483">
        <v>24</v>
      </c>
      <c r="U221" s="482">
        <v>4.9000000000000002E-2</v>
      </c>
      <c r="V221" s="480">
        <v>199</v>
      </c>
      <c r="W221" s="481">
        <v>0.41399999999999998</v>
      </c>
      <c r="X221" s="480">
        <v>257</v>
      </c>
      <c r="Y221" s="482">
        <v>0.53600000000000003</v>
      </c>
      <c r="Z221" s="483">
        <v>0</v>
      </c>
      <c r="AA221" s="482">
        <v>0</v>
      </c>
      <c r="AB221" s="480">
        <v>18</v>
      </c>
      <c r="AC221" s="481">
        <v>1</v>
      </c>
      <c r="AD221" s="480">
        <v>0</v>
      </c>
      <c r="AE221" s="482">
        <v>0</v>
      </c>
      <c r="AF221" s="483">
        <v>5649</v>
      </c>
      <c r="AG221" s="482">
        <v>0.11600000000000001</v>
      </c>
      <c r="AH221" s="480">
        <v>26369</v>
      </c>
      <c r="AI221" s="481">
        <v>0.54</v>
      </c>
      <c r="AJ221" s="480">
        <v>16839</v>
      </c>
      <c r="AK221" s="482">
        <v>0.34499999999999997</v>
      </c>
      <c r="AL221" s="483">
        <v>6</v>
      </c>
      <c r="AM221" s="482">
        <v>6.5000000000000002E-2</v>
      </c>
      <c r="AN221" s="480">
        <v>0</v>
      </c>
      <c r="AO221" s="481">
        <v>0</v>
      </c>
      <c r="AP221" s="480">
        <v>87</v>
      </c>
      <c r="AQ221" s="482">
        <v>0.93500000000000005</v>
      </c>
      <c r="AR221" s="483">
        <v>0</v>
      </c>
      <c r="AS221" s="482">
        <v>0</v>
      </c>
      <c r="AT221" s="480">
        <v>0</v>
      </c>
      <c r="AU221" s="481">
        <v>0</v>
      </c>
      <c r="AV221" s="480">
        <v>0</v>
      </c>
      <c r="AW221" s="482">
        <v>0</v>
      </c>
      <c r="AX221" s="483">
        <v>0</v>
      </c>
      <c r="AY221" s="482">
        <v>0</v>
      </c>
      <c r="AZ221" s="480">
        <v>0</v>
      </c>
      <c r="BA221" s="481">
        <v>0</v>
      </c>
      <c r="BB221" s="480">
        <v>0</v>
      </c>
      <c r="BC221" s="482">
        <v>0</v>
      </c>
      <c r="BD221" s="483">
        <v>0</v>
      </c>
      <c r="BE221" s="482">
        <v>0</v>
      </c>
      <c r="BF221" s="480">
        <v>139</v>
      </c>
      <c r="BG221" s="481">
        <v>0.504</v>
      </c>
      <c r="BH221" s="480">
        <v>137</v>
      </c>
      <c r="BI221" s="479">
        <v>0.496</v>
      </c>
      <c r="BJ221" s="483">
        <v>0</v>
      </c>
      <c r="BK221" s="482">
        <v>0</v>
      </c>
      <c r="BL221" s="480">
        <v>0</v>
      </c>
      <c r="BM221" s="481">
        <v>0</v>
      </c>
      <c r="BN221" s="480">
        <v>0</v>
      </c>
      <c r="BO221" s="479">
        <v>0</v>
      </c>
    </row>
    <row r="222" spans="1:238" ht="24">
      <c r="A222" s="471" t="s">
        <v>303</v>
      </c>
      <c r="B222" s="483">
        <v>66</v>
      </c>
      <c r="C222" s="482">
        <v>0.79900000000000004</v>
      </c>
      <c r="D222" s="480">
        <v>7</v>
      </c>
      <c r="E222" s="481">
        <v>8.5000000000000006E-2</v>
      </c>
      <c r="F222" s="480">
        <v>10</v>
      </c>
      <c r="G222" s="482">
        <v>0.11600000000000001</v>
      </c>
      <c r="H222" s="483">
        <v>0</v>
      </c>
      <c r="I222" s="482">
        <v>0</v>
      </c>
      <c r="J222" s="480">
        <v>0</v>
      </c>
      <c r="K222" s="481">
        <v>0</v>
      </c>
      <c r="L222" s="480">
        <v>0</v>
      </c>
      <c r="M222" s="482">
        <v>0</v>
      </c>
      <c r="N222" s="483">
        <v>0</v>
      </c>
      <c r="O222" s="482">
        <v>0</v>
      </c>
      <c r="P222" s="480">
        <v>0</v>
      </c>
      <c r="Q222" s="481">
        <v>0</v>
      </c>
      <c r="R222" s="480">
        <v>0</v>
      </c>
      <c r="S222" s="482">
        <v>0</v>
      </c>
      <c r="T222" s="483">
        <v>0</v>
      </c>
      <c r="U222" s="482">
        <v>0</v>
      </c>
      <c r="V222" s="480">
        <v>66</v>
      </c>
      <c r="W222" s="481">
        <v>0.317</v>
      </c>
      <c r="X222" s="480">
        <v>142</v>
      </c>
      <c r="Y222" s="482">
        <v>0.68300000000000005</v>
      </c>
      <c r="Z222" s="483">
        <v>0</v>
      </c>
      <c r="AA222" s="482">
        <v>0</v>
      </c>
      <c r="AB222" s="480">
        <v>0</v>
      </c>
      <c r="AC222" s="481">
        <v>0</v>
      </c>
      <c r="AD222" s="480">
        <v>0</v>
      </c>
      <c r="AE222" s="482">
        <v>0</v>
      </c>
      <c r="AF222" s="483">
        <v>3993</v>
      </c>
      <c r="AG222" s="482">
        <v>8.4000000000000005E-2</v>
      </c>
      <c r="AH222" s="480">
        <v>26369</v>
      </c>
      <c r="AI222" s="481">
        <v>0.55600000000000005</v>
      </c>
      <c r="AJ222" s="480">
        <v>17025</v>
      </c>
      <c r="AK222" s="482">
        <v>0.35899999999999999</v>
      </c>
      <c r="AL222" s="483">
        <v>0</v>
      </c>
      <c r="AM222" s="482">
        <v>0</v>
      </c>
      <c r="AN222" s="480">
        <v>46</v>
      </c>
      <c r="AO222" s="481">
        <v>0.78500000000000003</v>
      </c>
      <c r="AP222" s="480">
        <v>13</v>
      </c>
      <c r="AQ222" s="482">
        <v>0.215</v>
      </c>
      <c r="AR222" s="483">
        <v>0</v>
      </c>
      <c r="AS222" s="482">
        <v>0</v>
      </c>
      <c r="AT222" s="480">
        <v>0</v>
      </c>
      <c r="AU222" s="481">
        <v>0</v>
      </c>
      <c r="AV222" s="480">
        <v>0</v>
      </c>
      <c r="AW222" s="482">
        <v>0</v>
      </c>
      <c r="AX222" s="483">
        <v>0</v>
      </c>
      <c r="AY222" s="482">
        <v>0</v>
      </c>
      <c r="AZ222" s="480">
        <v>0</v>
      </c>
      <c r="BA222" s="481">
        <v>0</v>
      </c>
      <c r="BB222" s="480">
        <v>0</v>
      </c>
      <c r="BC222" s="482">
        <v>0</v>
      </c>
      <c r="BD222" s="483">
        <v>13</v>
      </c>
      <c r="BE222" s="482">
        <v>2.5999999999999999E-2</v>
      </c>
      <c r="BF222" s="480">
        <v>125</v>
      </c>
      <c r="BG222" s="481">
        <v>0.26300000000000001</v>
      </c>
      <c r="BH222" s="480">
        <v>339</v>
      </c>
      <c r="BI222" s="479">
        <v>0.71</v>
      </c>
      <c r="BJ222" s="483">
        <v>0</v>
      </c>
      <c r="BK222" s="482">
        <v>0</v>
      </c>
      <c r="BL222" s="480">
        <v>0</v>
      </c>
      <c r="BM222" s="481">
        <v>0</v>
      </c>
      <c r="BN222" s="480">
        <v>0</v>
      </c>
      <c r="BO222" s="479">
        <v>0</v>
      </c>
    </row>
    <row r="223" spans="1:238" ht="15.75" thickBot="1">
      <c r="A223" s="473" t="s">
        <v>302</v>
      </c>
      <c r="B223" s="487">
        <v>0</v>
      </c>
      <c r="C223" s="482">
        <v>0</v>
      </c>
      <c r="D223" s="486">
        <v>0</v>
      </c>
      <c r="E223" s="481">
        <v>0</v>
      </c>
      <c r="F223" s="486">
        <v>0</v>
      </c>
      <c r="G223" s="482">
        <v>0</v>
      </c>
      <c r="H223" s="487">
        <v>0</v>
      </c>
      <c r="I223" s="482">
        <v>0</v>
      </c>
      <c r="J223" s="486">
        <v>0</v>
      </c>
      <c r="K223" s="481">
        <v>0</v>
      </c>
      <c r="L223" s="486">
        <v>0</v>
      </c>
      <c r="M223" s="482">
        <v>0</v>
      </c>
      <c r="N223" s="487">
        <v>0</v>
      </c>
      <c r="O223" s="482">
        <v>0</v>
      </c>
      <c r="P223" s="486">
        <v>0</v>
      </c>
      <c r="Q223" s="481">
        <v>0</v>
      </c>
      <c r="R223" s="486">
        <v>0</v>
      </c>
      <c r="S223" s="482">
        <v>0</v>
      </c>
      <c r="T223" s="487">
        <v>0</v>
      </c>
      <c r="U223" s="482">
        <v>0</v>
      </c>
      <c r="V223" s="486">
        <v>0</v>
      </c>
      <c r="W223" s="481">
        <v>0</v>
      </c>
      <c r="X223" s="486">
        <v>0</v>
      </c>
      <c r="Y223" s="482">
        <v>0</v>
      </c>
      <c r="Z223" s="487">
        <v>0</v>
      </c>
      <c r="AA223" s="482">
        <v>0</v>
      </c>
      <c r="AB223" s="486">
        <v>0</v>
      </c>
      <c r="AC223" s="481">
        <v>0</v>
      </c>
      <c r="AD223" s="486">
        <v>0</v>
      </c>
      <c r="AE223" s="482">
        <v>0</v>
      </c>
      <c r="AF223" s="487">
        <v>348</v>
      </c>
      <c r="AG223" s="482">
        <v>0.186</v>
      </c>
      <c r="AH223" s="486">
        <v>887</v>
      </c>
      <c r="AI223" s="481">
        <v>0.47299999999999998</v>
      </c>
      <c r="AJ223" s="486">
        <v>640</v>
      </c>
      <c r="AK223" s="482">
        <v>0.34100000000000003</v>
      </c>
      <c r="AL223" s="487">
        <v>0</v>
      </c>
      <c r="AM223" s="482">
        <v>0</v>
      </c>
      <c r="AN223" s="486">
        <v>0</v>
      </c>
      <c r="AO223" s="481">
        <v>0</v>
      </c>
      <c r="AP223" s="486">
        <v>0</v>
      </c>
      <c r="AQ223" s="482">
        <v>0</v>
      </c>
      <c r="AR223" s="487">
        <v>0</v>
      </c>
      <c r="AS223" s="482">
        <v>0</v>
      </c>
      <c r="AT223" s="486">
        <v>0</v>
      </c>
      <c r="AU223" s="481">
        <v>0</v>
      </c>
      <c r="AV223" s="486">
        <v>0</v>
      </c>
      <c r="AW223" s="482">
        <v>0</v>
      </c>
      <c r="AX223" s="487">
        <v>0</v>
      </c>
      <c r="AY223" s="482">
        <v>0</v>
      </c>
      <c r="AZ223" s="486">
        <v>0</v>
      </c>
      <c r="BA223" s="481">
        <v>0</v>
      </c>
      <c r="BB223" s="486">
        <v>0</v>
      </c>
      <c r="BC223" s="482">
        <v>0</v>
      </c>
      <c r="BD223" s="487">
        <v>0</v>
      </c>
      <c r="BE223" s="482">
        <v>0</v>
      </c>
      <c r="BF223" s="486">
        <v>68</v>
      </c>
      <c r="BG223" s="481">
        <v>1</v>
      </c>
      <c r="BH223" s="486">
        <v>0</v>
      </c>
      <c r="BI223" s="479">
        <v>0</v>
      </c>
      <c r="BJ223" s="487">
        <v>0</v>
      </c>
      <c r="BK223" s="482">
        <v>0</v>
      </c>
      <c r="BL223" s="486">
        <v>0</v>
      </c>
      <c r="BM223" s="481">
        <v>0</v>
      </c>
      <c r="BN223" s="486">
        <v>0</v>
      </c>
      <c r="BO223" s="479">
        <v>0</v>
      </c>
    </row>
    <row r="224" spans="1:238">
      <c r="A224" s="472" t="s">
        <v>4</v>
      </c>
      <c r="B224" s="423">
        <v>0</v>
      </c>
      <c r="C224" s="446">
        <v>0</v>
      </c>
      <c r="D224" s="484">
        <v>68</v>
      </c>
      <c r="E224" s="485">
        <v>0.30499999999999999</v>
      </c>
      <c r="F224" s="484">
        <v>154</v>
      </c>
      <c r="G224" s="446">
        <v>0.69499999999999995</v>
      </c>
      <c r="H224" s="423">
        <v>0</v>
      </c>
      <c r="I224" s="446">
        <v>0</v>
      </c>
      <c r="J224" s="484">
        <v>0</v>
      </c>
      <c r="K224" s="485">
        <v>0</v>
      </c>
      <c r="L224" s="484">
        <v>0</v>
      </c>
      <c r="M224" s="446">
        <v>0</v>
      </c>
      <c r="N224" s="423">
        <v>0</v>
      </c>
      <c r="O224" s="446">
        <v>0</v>
      </c>
      <c r="P224" s="484">
        <v>0</v>
      </c>
      <c r="Q224" s="485">
        <v>0</v>
      </c>
      <c r="R224" s="484">
        <v>0</v>
      </c>
      <c r="S224" s="446">
        <v>0</v>
      </c>
      <c r="T224" s="423">
        <v>124</v>
      </c>
      <c r="U224" s="446">
        <v>8.4000000000000005E-2</v>
      </c>
      <c r="V224" s="484">
        <v>621</v>
      </c>
      <c r="W224" s="485">
        <v>0.42299999999999999</v>
      </c>
      <c r="X224" s="484">
        <v>724</v>
      </c>
      <c r="Y224" s="446">
        <v>0.49299999999999999</v>
      </c>
      <c r="Z224" s="423">
        <v>0</v>
      </c>
      <c r="AA224" s="446">
        <v>0</v>
      </c>
      <c r="AB224" s="484">
        <v>0</v>
      </c>
      <c r="AC224" s="485">
        <v>0</v>
      </c>
      <c r="AD224" s="484">
        <v>0</v>
      </c>
      <c r="AE224" s="446">
        <v>0</v>
      </c>
      <c r="AF224" s="423">
        <v>11146</v>
      </c>
      <c r="AG224" s="446">
        <v>8.4000000000000005E-2</v>
      </c>
      <c r="AH224" s="484">
        <v>74562</v>
      </c>
      <c r="AI224" s="485">
        <v>0.55900000000000005</v>
      </c>
      <c r="AJ224" s="484">
        <v>47608</v>
      </c>
      <c r="AK224" s="446">
        <v>0.35699999999999998</v>
      </c>
      <c r="AL224" s="423">
        <v>0</v>
      </c>
      <c r="AM224" s="446">
        <v>0</v>
      </c>
      <c r="AN224" s="484">
        <v>122</v>
      </c>
      <c r="AO224" s="485">
        <v>0.88900000000000001</v>
      </c>
      <c r="AP224" s="484">
        <v>15</v>
      </c>
      <c r="AQ224" s="446">
        <v>0.111</v>
      </c>
      <c r="AR224" s="423">
        <v>0</v>
      </c>
      <c r="AS224" s="446">
        <v>0</v>
      </c>
      <c r="AT224" s="484">
        <v>5</v>
      </c>
      <c r="AU224" s="485">
        <v>1</v>
      </c>
      <c r="AV224" s="484">
        <v>0</v>
      </c>
      <c r="AW224" s="446">
        <v>0</v>
      </c>
      <c r="AX224" s="423">
        <v>0</v>
      </c>
      <c r="AY224" s="446">
        <v>0</v>
      </c>
      <c r="AZ224" s="484">
        <v>0</v>
      </c>
      <c r="BA224" s="485">
        <v>0</v>
      </c>
      <c r="BB224" s="484">
        <v>0</v>
      </c>
      <c r="BC224" s="446">
        <v>0</v>
      </c>
      <c r="BD224" s="423">
        <v>167</v>
      </c>
      <c r="BE224" s="446">
        <v>7.1999999999999995E-2</v>
      </c>
      <c r="BF224" s="484">
        <v>1223</v>
      </c>
      <c r="BG224" s="485">
        <v>0.53</v>
      </c>
      <c r="BH224" s="484">
        <v>919</v>
      </c>
      <c r="BI224" s="399">
        <v>0.39800000000000002</v>
      </c>
      <c r="BJ224" s="423">
        <v>0</v>
      </c>
      <c r="BK224" s="446">
        <v>0</v>
      </c>
      <c r="BL224" s="484">
        <v>0</v>
      </c>
      <c r="BM224" s="485">
        <v>0</v>
      </c>
      <c r="BN224" s="484">
        <v>0</v>
      </c>
      <c r="BO224" s="399">
        <v>0</v>
      </c>
    </row>
    <row r="225" spans="1:67">
      <c r="A225" s="471" t="s">
        <v>309</v>
      </c>
      <c r="B225" s="483">
        <v>0</v>
      </c>
      <c r="C225" s="482">
        <v>0</v>
      </c>
      <c r="D225" s="480">
        <v>0</v>
      </c>
      <c r="E225" s="481">
        <v>0</v>
      </c>
      <c r="F225" s="480">
        <v>0</v>
      </c>
      <c r="G225" s="482">
        <v>0</v>
      </c>
      <c r="H225" s="483">
        <v>0</v>
      </c>
      <c r="I225" s="482">
        <v>0</v>
      </c>
      <c r="J225" s="480">
        <v>0</v>
      </c>
      <c r="K225" s="481">
        <v>0</v>
      </c>
      <c r="L225" s="480">
        <v>0</v>
      </c>
      <c r="M225" s="482">
        <v>0</v>
      </c>
      <c r="N225" s="483">
        <v>0</v>
      </c>
      <c r="O225" s="482">
        <v>0</v>
      </c>
      <c r="P225" s="480">
        <v>0</v>
      </c>
      <c r="Q225" s="481">
        <v>0</v>
      </c>
      <c r="R225" s="480">
        <v>0</v>
      </c>
      <c r="S225" s="482">
        <v>0</v>
      </c>
      <c r="T225" s="483">
        <v>0</v>
      </c>
      <c r="U225" s="482">
        <v>0</v>
      </c>
      <c r="V225" s="480">
        <v>0</v>
      </c>
      <c r="W225" s="481">
        <v>0</v>
      </c>
      <c r="X225" s="480">
        <v>0</v>
      </c>
      <c r="Y225" s="482">
        <v>0</v>
      </c>
      <c r="Z225" s="483">
        <v>0</v>
      </c>
      <c r="AA225" s="482">
        <v>0</v>
      </c>
      <c r="AB225" s="480">
        <v>0</v>
      </c>
      <c r="AC225" s="481">
        <v>0</v>
      </c>
      <c r="AD225" s="480">
        <v>0</v>
      </c>
      <c r="AE225" s="482">
        <v>0</v>
      </c>
      <c r="AF225" s="483">
        <v>451</v>
      </c>
      <c r="AG225" s="482">
        <v>0.16500000000000001</v>
      </c>
      <c r="AH225" s="480">
        <v>1862</v>
      </c>
      <c r="AI225" s="481">
        <v>0.68</v>
      </c>
      <c r="AJ225" s="480">
        <v>423</v>
      </c>
      <c r="AK225" s="482">
        <v>0.155</v>
      </c>
      <c r="AL225" s="483">
        <v>0</v>
      </c>
      <c r="AM225" s="482">
        <v>0</v>
      </c>
      <c r="AN225" s="480">
        <v>0</v>
      </c>
      <c r="AO225" s="481">
        <v>0</v>
      </c>
      <c r="AP225" s="480">
        <v>0</v>
      </c>
      <c r="AQ225" s="482">
        <v>0</v>
      </c>
      <c r="AR225" s="483">
        <v>0</v>
      </c>
      <c r="AS225" s="482">
        <v>0</v>
      </c>
      <c r="AT225" s="480">
        <v>0</v>
      </c>
      <c r="AU225" s="481">
        <v>0</v>
      </c>
      <c r="AV225" s="480">
        <v>0</v>
      </c>
      <c r="AW225" s="482">
        <v>0</v>
      </c>
      <c r="AX225" s="483">
        <v>0</v>
      </c>
      <c r="AY225" s="482">
        <v>0</v>
      </c>
      <c r="AZ225" s="480">
        <v>0</v>
      </c>
      <c r="BA225" s="481">
        <v>0</v>
      </c>
      <c r="BB225" s="480">
        <v>0</v>
      </c>
      <c r="BC225" s="482">
        <v>0</v>
      </c>
      <c r="BD225" s="483">
        <v>80</v>
      </c>
      <c r="BE225" s="482">
        <v>0.33300000000000002</v>
      </c>
      <c r="BF225" s="480">
        <v>80</v>
      </c>
      <c r="BG225" s="481">
        <v>0.33300000000000002</v>
      </c>
      <c r="BH225" s="480">
        <v>80</v>
      </c>
      <c r="BI225" s="479">
        <v>0.33300000000000002</v>
      </c>
      <c r="BJ225" s="483">
        <v>0</v>
      </c>
      <c r="BK225" s="482">
        <v>0</v>
      </c>
      <c r="BL225" s="480">
        <v>0</v>
      </c>
      <c r="BM225" s="481">
        <v>0</v>
      </c>
      <c r="BN225" s="480">
        <v>0</v>
      </c>
      <c r="BO225" s="479">
        <v>0</v>
      </c>
    </row>
    <row r="226" spans="1:67">
      <c r="A226" s="471" t="s">
        <v>308</v>
      </c>
      <c r="B226" s="483">
        <v>0</v>
      </c>
      <c r="C226" s="482">
        <v>0</v>
      </c>
      <c r="D226" s="480">
        <v>0</v>
      </c>
      <c r="E226" s="481">
        <v>0</v>
      </c>
      <c r="F226" s="480">
        <v>0</v>
      </c>
      <c r="G226" s="482">
        <v>0</v>
      </c>
      <c r="H226" s="483">
        <v>0</v>
      </c>
      <c r="I226" s="482">
        <v>0</v>
      </c>
      <c r="J226" s="480">
        <v>0</v>
      </c>
      <c r="K226" s="481">
        <v>0</v>
      </c>
      <c r="L226" s="480">
        <v>0</v>
      </c>
      <c r="M226" s="482">
        <v>0</v>
      </c>
      <c r="N226" s="483">
        <v>0</v>
      </c>
      <c r="O226" s="482">
        <v>0</v>
      </c>
      <c r="P226" s="480">
        <v>0</v>
      </c>
      <c r="Q226" s="481">
        <v>0</v>
      </c>
      <c r="R226" s="480">
        <v>0</v>
      </c>
      <c r="S226" s="482">
        <v>0</v>
      </c>
      <c r="T226" s="483">
        <v>21</v>
      </c>
      <c r="U226" s="482">
        <v>0.23300000000000001</v>
      </c>
      <c r="V226" s="480">
        <v>32</v>
      </c>
      <c r="W226" s="481">
        <v>0.35299999999999998</v>
      </c>
      <c r="X226" s="480">
        <v>37</v>
      </c>
      <c r="Y226" s="482">
        <v>0.41399999999999998</v>
      </c>
      <c r="Z226" s="483">
        <v>0</v>
      </c>
      <c r="AA226" s="482">
        <v>0</v>
      </c>
      <c r="AB226" s="480">
        <v>0</v>
      </c>
      <c r="AC226" s="481">
        <v>0</v>
      </c>
      <c r="AD226" s="480">
        <v>0</v>
      </c>
      <c r="AE226" s="482">
        <v>0</v>
      </c>
      <c r="AF226" s="483">
        <v>291</v>
      </c>
      <c r="AG226" s="482">
        <v>4.2999999999999997E-2</v>
      </c>
      <c r="AH226" s="480">
        <v>3266</v>
      </c>
      <c r="AI226" s="481">
        <v>0.48199999999999998</v>
      </c>
      <c r="AJ226" s="480">
        <v>3219</v>
      </c>
      <c r="AK226" s="482">
        <v>0.47499999999999998</v>
      </c>
      <c r="AL226" s="483">
        <v>0</v>
      </c>
      <c r="AM226" s="482">
        <v>0</v>
      </c>
      <c r="AN226" s="480">
        <v>0</v>
      </c>
      <c r="AO226" s="481">
        <v>0</v>
      </c>
      <c r="AP226" s="480">
        <v>0</v>
      </c>
      <c r="AQ226" s="482">
        <v>0</v>
      </c>
      <c r="AR226" s="483">
        <v>0</v>
      </c>
      <c r="AS226" s="482">
        <v>0</v>
      </c>
      <c r="AT226" s="480">
        <v>5</v>
      </c>
      <c r="AU226" s="481">
        <v>1</v>
      </c>
      <c r="AV226" s="480">
        <v>0</v>
      </c>
      <c r="AW226" s="482">
        <v>0</v>
      </c>
      <c r="AX226" s="483">
        <v>0</v>
      </c>
      <c r="AY226" s="482">
        <v>0</v>
      </c>
      <c r="AZ226" s="480">
        <v>0</v>
      </c>
      <c r="BA226" s="481">
        <v>0</v>
      </c>
      <c r="BB226" s="480">
        <v>0</v>
      </c>
      <c r="BC226" s="482">
        <v>0</v>
      </c>
      <c r="BD226" s="483">
        <v>0</v>
      </c>
      <c r="BE226" s="482">
        <v>0</v>
      </c>
      <c r="BF226" s="480">
        <v>98</v>
      </c>
      <c r="BG226" s="481">
        <v>0.65100000000000002</v>
      </c>
      <c r="BH226" s="480">
        <v>52</v>
      </c>
      <c r="BI226" s="479">
        <v>0.34899999999999998</v>
      </c>
      <c r="BJ226" s="483">
        <v>0</v>
      </c>
      <c r="BK226" s="482">
        <v>0</v>
      </c>
      <c r="BL226" s="480">
        <v>0</v>
      </c>
      <c r="BM226" s="481">
        <v>0</v>
      </c>
      <c r="BN226" s="480">
        <v>0</v>
      </c>
      <c r="BO226" s="479">
        <v>0</v>
      </c>
    </row>
    <row r="227" spans="1:67">
      <c r="A227" s="471" t="s">
        <v>307</v>
      </c>
      <c r="B227" s="483">
        <v>0</v>
      </c>
      <c r="C227" s="482">
        <v>0</v>
      </c>
      <c r="D227" s="480">
        <v>0</v>
      </c>
      <c r="E227" s="481">
        <v>0</v>
      </c>
      <c r="F227" s="480">
        <v>0</v>
      </c>
      <c r="G227" s="482">
        <v>0</v>
      </c>
      <c r="H227" s="483">
        <v>0</v>
      </c>
      <c r="I227" s="482">
        <v>0</v>
      </c>
      <c r="J227" s="480">
        <v>0</v>
      </c>
      <c r="K227" s="481">
        <v>0</v>
      </c>
      <c r="L227" s="480">
        <v>0</v>
      </c>
      <c r="M227" s="482">
        <v>0</v>
      </c>
      <c r="N227" s="483">
        <v>0</v>
      </c>
      <c r="O227" s="482">
        <v>0</v>
      </c>
      <c r="P227" s="480">
        <v>0</v>
      </c>
      <c r="Q227" s="481">
        <v>0</v>
      </c>
      <c r="R227" s="480">
        <v>0</v>
      </c>
      <c r="S227" s="482">
        <v>0</v>
      </c>
      <c r="T227" s="483">
        <v>0</v>
      </c>
      <c r="U227" s="482">
        <v>0</v>
      </c>
      <c r="V227" s="480">
        <v>241</v>
      </c>
      <c r="W227" s="481">
        <v>0.66700000000000004</v>
      </c>
      <c r="X227" s="480">
        <v>120</v>
      </c>
      <c r="Y227" s="482">
        <v>0.33300000000000002</v>
      </c>
      <c r="Z227" s="483">
        <v>0</v>
      </c>
      <c r="AA227" s="482">
        <v>0</v>
      </c>
      <c r="AB227" s="480">
        <v>0</v>
      </c>
      <c r="AC227" s="481">
        <v>0</v>
      </c>
      <c r="AD227" s="480">
        <v>0</v>
      </c>
      <c r="AE227" s="482">
        <v>0</v>
      </c>
      <c r="AF227" s="483">
        <v>1136</v>
      </c>
      <c r="AG227" s="482">
        <v>0.1</v>
      </c>
      <c r="AH227" s="480">
        <v>6629</v>
      </c>
      <c r="AI227" s="481">
        <v>0.58399999999999996</v>
      </c>
      <c r="AJ227" s="480">
        <v>3587</v>
      </c>
      <c r="AK227" s="482">
        <v>0.316</v>
      </c>
      <c r="AL227" s="483">
        <v>0</v>
      </c>
      <c r="AM227" s="482">
        <v>0</v>
      </c>
      <c r="AN227" s="480">
        <v>0</v>
      </c>
      <c r="AO227" s="481">
        <v>0</v>
      </c>
      <c r="AP227" s="480">
        <v>0</v>
      </c>
      <c r="AQ227" s="482">
        <v>0</v>
      </c>
      <c r="AR227" s="483">
        <v>0</v>
      </c>
      <c r="AS227" s="482">
        <v>0</v>
      </c>
      <c r="AT227" s="480">
        <v>0</v>
      </c>
      <c r="AU227" s="481">
        <v>0</v>
      </c>
      <c r="AV227" s="480">
        <v>0</v>
      </c>
      <c r="AW227" s="482">
        <v>0</v>
      </c>
      <c r="AX227" s="483">
        <v>0</v>
      </c>
      <c r="AY227" s="482">
        <v>0</v>
      </c>
      <c r="AZ227" s="480">
        <v>0</v>
      </c>
      <c r="BA227" s="481">
        <v>0</v>
      </c>
      <c r="BB227" s="480">
        <v>0</v>
      </c>
      <c r="BC227" s="482">
        <v>0</v>
      </c>
      <c r="BD227" s="483">
        <v>30</v>
      </c>
      <c r="BE227" s="482">
        <v>0.1</v>
      </c>
      <c r="BF227" s="480">
        <v>267</v>
      </c>
      <c r="BG227" s="481">
        <v>0.9</v>
      </c>
      <c r="BH227" s="480">
        <v>0</v>
      </c>
      <c r="BI227" s="479">
        <v>0</v>
      </c>
      <c r="BJ227" s="483">
        <v>0</v>
      </c>
      <c r="BK227" s="482">
        <v>0</v>
      </c>
      <c r="BL227" s="480">
        <v>0</v>
      </c>
      <c r="BM227" s="481">
        <v>0</v>
      </c>
      <c r="BN227" s="480">
        <v>0</v>
      </c>
      <c r="BO227" s="479">
        <v>0</v>
      </c>
    </row>
    <row r="228" spans="1:67">
      <c r="A228" s="471" t="s">
        <v>306</v>
      </c>
      <c r="B228" s="483">
        <v>0</v>
      </c>
      <c r="C228" s="482">
        <v>0</v>
      </c>
      <c r="D228" s="480">
        <v>0</v>
      </c>
      <c r="E228" s="481">
        <v>0</v>
      </c>
      <c r="F228" s="480">
        <v>0</v>
      </c>
      <c r="G228" s="482">
        <v>0</v>
      </c>
      <c r="H228" s="483">
        <v>0</v>
      </c>
      <c r="I228" s="482">
        <v>0</v>
      </c>
      <c r="J228" s="480">
        <v>0</v>
      </c>
      <c r="K228" s="481">
        <v>0</v>
      </c>
      <c r="L228" s="480">
        <v>0</v>
      </c>
      <c r="M228" s="482">
        <v>0</v>
      </c>
      <c r="N228" s="483">
        <v>0</v>
      </c>
      <c r="O228" s="482">
        <v>0</v>
      </c>
      <c r="P228" s="480">
        <v>0</v>
      </c>
      <c r="Q228" s="481">
        <v>0</v>
      </c>
      <c r="R228" s="480">
        <v>0</v>
      </c>
      <c r="S228" s="482">
        <v>0</v>
      </c>
      <c r="T228" s="483">
        <v>0</v>
      </c>
      <c r="U228" s="482">
        <v>0</v>
      </c>
      <c r="V228" s="480">
        <v>57</v>
      </c>
      <c r="W228" s="481">
        <v>1</v>
      </c>
      <c r="X228" s="480">
        <v>0</v>
      </c>
      <c r="Y228" s="482">
        <v>0</v>
      </c>
      <c r="Z228" s="483">
        <v>0</v>
      </c>
      <c r="AA228" s="482">
        <v>0</v>
      </c>
      <c r="AB228" s="480">
        <v>0</v>
      </c>
      <c r="AC228" s="481">
        <v>0</v>
      </c>
      <c r="AD228" s="480">
        <v>0</v>
      </c>
      <c r="AE228" s="482">
        <v>0</v>
      </c>
      <c r="AF228" s="483">
        <v>1160</v>
      </c>
      <c r="AG228" s="482">
        <v>0.111</v>
      </c>
      <c r="AH228" s="480">
        <v>6018</v>
      </c>
      <c r="AI228" s="481">
        <v>0.57699999999999996</v>
      </c>
      <c r="AJ228" s="480">
        <v>3250</v>
      </c>
      <c r="AK228" s="482">
        <v>0.312</v>
      </c>
      <c r="AL228" s="483">
        <v>0</v>
      </c>
      <c r="AM228" s="482">
        <v>0</v>
      </c>
      <c r="AN228" s="480">
        <v>0</v>
      </c>
      <c r="AO228" s="481">
        <v>0</v>
      </c>
      <c r="AP228" s="480">
        <v>0</v>
      </c>
      <c r="AQ228" s="482">
        <v>0</v>
      </c>
      <c r="AR228" s="483">
        <v>0</v>
      </c>
      <c r="AS228" s="482">
        <v>0</v>
      </c>
      <c r="AT228" s="480">
        <v>0</v>
      </c>
      <c r="AU228" s="481">
        <v>0</v>
      </c>
      <c r="AV228" s="480">
        <v>0</v>
      </c>
      <c r="AW228" s="482">
        <v>0</v>
      </c>
      <c r="AX228" s="483">
        <v>0</v>
      </c>
      <c r="AY228" s="482">
        <v>0</v>
      </c>
      <c r="AZ228" s="480">
        <v>0</v>
      </c>
      <c r="BA228" s="481">
        <v>0</v>
      </c>
      <c r="BB228" s="480">
        <v>0</v>
      </c>
      <c r="BC228" s="482">
        <v>0</v>
      </c>
      <c r="BD228" s="483">
        <v>57</v>
      </c>
      <c r="BE228" s="482">
        <v>0.28199999999999997</v>
      </c>
      <c r="BF228" s="480">
        <v>145</v>
      </c>
      <c r="BG228" s="481">
        <v>0.71799999999999997</v>
      </c>
      <c r="BH228" s="480">
        <v>0</v>
      </c>
      <c r="BI228" s="479">
        <v>0</v>
      </c>
      <c r="BJ228" s="483">
        <v>0</v>
      </c>
      <c r="BK228" s="482">
        <v>0</v>
      </c>
      <c r="BL228" s="480">
        <v>0</v>
      </c>
      <c r="BM228" s="481">
        <v>0</v>
      </c>
      <c r="BN228" s="480">
        <v>0</v>
      </c>
      <c r="BO228" s="479">
        <v>0</v>
      </c>
    </row>
    <row r="229" spans="1:67">
      <c r="A229" s="471" t="s">
        <v>305</v>
      </c>
      <c r="B229" s="483">
        <v>0</v>
      </c>
      <c r="C229" s="482">
        <v>0</v>
      </c>
      <c r="D229" s="480">
        <v>0</v>
      </c>
      <c r="E229" s="481">
        <v>0</v>
      </c>
      <c r="F229" s="480">
        <v>75</v>
      </c>
      <c r="G229" s="482">
        <v>1</v>
      </c>
      <c r="H229" s="483">
        <v>0</v>
      </c>
      <c r="I229" s="482">
        <v>0</v>
      </c>
      <c r="J229" s="480">
        <v>0</v>
      </c>
      <c r="K229" s="481">
        <v>0</v>
      </c>
      <c r="L229" s="480">
        <v>0</v>
      </c>
      <c r="M229" s="482">
        <v>0</v>
      </c>
      <c r="N229" s="483">
        <v>0</v>
      </c>
      <c r="O229" s="482">
        <v>0</v>
      </c>
      <c r="P229" s="480">
        <v>0</v>
      </c>
      <c r="Q229" s="481">
        <v>0</v>
      </c>
      <c r="R229" s="480">
        <v>0</v>
      </c>
      <c r="S229" s="482">
        <v>0</v>
      </c>
      <c r="T229" s="483">
        <v>53</v>
      </c>
      <c r="U229" s="482">
        <v>0.16900000000000001</v>
      </c>
      <c r="V229" s="480">
        <v>59</v>
      </c>
      <c r="W229" s="481">
        <v>0.187</v>
      </c>
      <c r="X229" s="480">
        <v>202</v>
      </c>
      <c r="Y229" s="482">
        <v>0.64400000000000002</v>
      </c>
      <c r="Z229" s="483">
        <v>0</v>
      </c>
      <c r="AA229" s="482">
        <v>0</v>
      </c>
      <c r="AB229" s="480">
        <v>0</v>
      </c>
      <c r="AC229" s="481">
        <v>0</v>
      </c>
      <c r="AD229" s="480">
        <v>0</v>
      </c>
      <c r="AE229" s="482">
        <v>0</v>
      </c>
      <c r="AF229" s="483">
        <v>1424</v>
      </c>
      <c r="AG229" s="482">
        <v>8.1000000000000003E-2</v>
      </c>
      <c r="AH229" s="480">
        <v>8739</v>
      </c>
      <c r="AI229" s="481">
        <v>0.498</v>
      </c>
      <c r="AJ229" s="480">
        <v>7388</v>
      </c>
      <c r="AK229" s="482">
        <v>0.42099999999999999</v>
      </c>
      <c r="AL229" s="483">
        <v>0</v>
      </c>
      <c r="AM229" s="482">
        <v>0</v>
      </c>
      <c r="AN229" s="480">
        <v>53</v>
      </c>
      <c r="AO229" s="481">
        <v>1</v>
      </c>
      <c r="AP229" s="480">
        <v>0</v>
      </c>
      <c r="AQ229" s="482">
        <v>0</v>
      </c>
      <c r="AR229" s="483">
        <v>0</v>
      </c>
      <c r="AS229" s="482">
        <v>0</v>
      </c>
      <c r="AT229" s="480">
        <v>0</v>
      </c>
      <c r="AU229" s="481">
        <v>0</v>
      </c>
      <c r="AV229" s="480">
        <v>0</v>
      </c>
      <c r="AW229" s="482">
        <v>0</v>
      </c>
      <c r="AX229" s="483">
        <v>0</v>
      </c>
      <c r="AY229" s="482">
        <v>0</v>
      </c>
      <c r="AZ229" s="480">
        <v>0</v>
      </c>
      <c r="BA229" s="481">
        <v>0</v>
      </c>
      <c r="BB229" s="480">
        <v>0</v>
      </c>
      <c r="BC229" s="482">
        <v>0</v>
      </c>
      <c r="BD229" s="483">
        <v>0</v>
      </c>
      <c r="BE229" s="482">
        <v>0</v>
      </c>
      <c r="BF229" s="480">
        <v>181</v>
      </c>
      <c r="BG229" s="481">
        <v>0.35</v>
      </c>
      <c r="BH229" s="480">
        <v>336</v>
      </c>
      <c r="BI229" s="479">
        <v>0.65</v>
      </c>
      <c r="BJ229" s="483">
        <v>0</v>
      </c>
      <c r="BK229" s="482">
        <v>0</v>
      </c>
      <c r="BL229" s="480">
        <v>0</v>
      </c>
      <c r="BM229" s="481">
        <v>0</v>
      </c>
      <c r="BN229" s="480">
        <v>0</v>
      </c>
      <c r="BO229" s="479">
        <v>0</v>
      </c>
    </row>
    <row r="230" spans="1:67" ht="24">
      <c r="A230" s="471" t="s">
        <v>304</v>
      </c>
      <c r="B230" s="483">
        <v>0</v>
      </c>
      <c r="C230" s="482">
        <v>0</v>
      </c>
      <c r="D230" s="480">
        <v>0</v>
      </c>
      <c r="E230" s="481">
        <v>0</v>
      </c>
      <c r="F230" s="480">
        <v>0</v>
      </c>
      <c r="G230" s="482">
        <v>0</v>
      </c>
      <c r="H230" s="483">
        <v>0</v>
      </c>
      <c r="I230" s="482">
        <v>0</v>
      </c>
      <c r="J230" s="480">
        <v>0</v>
      </c>
      <c r="K230" s="481">
        <v>0</v>
      </c>
      <c r="L230" s="480">
        <v>0</v>
      </c>
      <c r="M230" s="482">
        <v>0</v>
      </c>
      <c r="N230" s="483">
        <v>0</v>
      </c>
      <c r="O230" s="482">
        <v>0</v>
      </c>
      <c r="P230" s="480">
        <v>0</v>
      </c>
      <c r="Q230" s="481">
        <v>0</v>
      </c>
      <c r="R230" s="480">
        <v>0</v>
      </c>
      <c r="S230" s="482">
        <v>0</v>
      </c>
      <c r="T230" s="483">
        <v>44</v>
      </c>
      <c r="U230" s="482">
        <v>0.124</v>
      </c>
      <c r="V230" s="480">
        <v>152</v>
      </c>
      <c r="W230" s="481">
        <v>0.43</v>
      </c>
      <c r="X230" s="480">
        <v>158</v>
      </c>
      <c r="Y230" s="482">
        <v>0.44600000000000001</v>
      </c>
      <c r="Z230" s="483">
        <v>0</v>
      </c>
      <c r="AA230" s="482">
        <v>0</v>
      </c>
      <c r="AB230" s="480">
        <v>0</v>
      </c>
      <c r="AC230" s="481">
        <v>0</v>
      </c>
      <c r="AD230" s="480">
        <v>0</v>
      </c>
      <c r="AE230" s="482">
        <v>0</v>
      </c>
      <c r="AF230" s="483">
        <v>3968</v>
      </c>
      <c r="AG230" s="482">
        <v>9.8000000000000004E-2</v>
      </c>
      <c r="AH230" s="480">
        <v>23853</v>
      </c>
      <c r="AI230" s="481">
        <v>0.58699999999999997</v>
      </c>
      <c r="AJ230" s="480">
        <v>12808</v>
      </c>
      <c r="AK230" s="482">
        <v>0.315</v>
      </c>
      <c r="AL230" s="483">
        <v>0</v>
      </c>
      <c r="AM230" s="482">
        <v>0</v>
      </c>
      <c r="AN230" s="480">
        <v>0</v>
      </c>
      <c r="AO230" s="481">
        <v>0</v>
      </c>
      <c r="AP230" s="480">
        <v>15</v>
      </c>
      <c r="AQ230" s="482">
        <v>1</v>
      </c>
      <c r="AR230" s="483">
        <v>0</v>
      </c>
      <c r="AS230" s="482">
        <v>0</v>
      </c>
      <c r="AT230" s="480">
        <v>0</v>
      </c>
      <c r="AU230" s="481">
        <v>0</v>
      </c>
      <c r="AV230" s="480">
        <v>0</v>
      </c>
      <c r="AW230" s="482">
        <v>0</v>
      </c>
      <c r="AX230" s="483">
        <v>0</v>
      </c>
      <c r="AY230" s="482">
        <v>0</v>
      </c>
      <c r="AZ230" s="480">
        <v>0</v>
      </c>
      <c r="BA230" s="481">
        <v>0</v>
      </c>
      <c r="BB230" s="480">
        <v>0</v>
      </c>
      <c r="BC230" s="482">
        <v>0</v>
      </c>
      <c r="BD230" s="483">
        <v>0</v>
      </c>
      <c r="BE230" s="482">
        <v>0</v>
      </c>
      <c r="BF230" s="480">
        <v>175</v>
      </c>
      <c r="BG230" s="481">
        <v>0.42</v>
      </c>
      <c r="BH230" s="480">
        <v>243</v>
      </c>
      <c r="BI230" s="479">
        <v>0.57999999999999996</v>
      </c>
      <c r="BJ230" s="483">
        <v>0</v>
      </c>
      <c r="BK230" s="482">
        <v>0</v>
      </c>
      <c r="BL230" s="480">
        <v>0</v>
      </c>
      <c r="BM230" s="481">
        <v>0</v>
      </c>
      <c r="BN230" s="480">
        <v>0</v>
      </c>
      <c r="BO230" s="479">
        <v>0</v>
      </c>
    </row>
    <row r="231" spans="1:67" ht="24">
      <c r="A231" s="471" t="s">
        <v>303</v>
      </c>
      <c r="B231" s="483">
        <v>0</v>
      </c>
      <c r="C231" s="482">
        <v>0</v>
      </c>
      <c r="D231" s="480">
        <v>0</v>
      </c>
      <c r="E231" s="481">
        <v>0</v>
      </c>
      <c r="F231" s="480">
        <v>79</v>
      </c>
      <c r="G231" s="482">
        <v>1</v>
      </c>
      <c r="H231" s="483">
        <v>0</v>
      </c>
      <c r="I231" s="482">
        <v>0</v>
      </c>
      <c r="J231" s="480">
        <v>0</v>
      </c>
      <c r="K231" s="481">
        <v>0</v>
      </c>
      <c r="L231" s="480">
        <v>0</v>
      </c>
      <c r="M231" s="482">
        <v>0</v>
      </c>
      <c r="N231" s="483">
        <v>0</v>
      </c>
      <c r="O231" s="482">
        <v>0</v>
      </c>
      <c r="P231" s="480">
        <v>0</v>
      </c>
      <c r="Q231" s="481">
        <v>0</v>
      </c>
      <c r="R231" s="480">
        <v>0</v>
      </c>
      <c r="S231" s="482">
        <v>0</v>
      </c>
      <c r="T231" s="483">
        <v>6</v>
      </c>
      <c r="U231" s="482">
        <v>2.1000000000000001E-2</v>
      </c>
      <c r="V231" s="480">
        <v>81</v>
      </c>
      <c r="W231" s="481">
        <v>0.27400000000000002</v>
      </c>
      <c r="X231" s="480">
        <v>208</v>
      </c>
      <c r="Y231" s="482">
        <v>0.70499999999999996</v>
      </c>
      <c r="Z231" s="483">
        <v>0</v>
      </c>
      <c r="AA231" s="482">
        <v>0</v>
      </c>
      <c r="AB231" s="480">
        <v>0</v>
      </c>
      <c r="AC231" s="481">
        <v>0</v>
      </c>
      <c r="AD231" s="480">
        <v>0</v>
      </c>
      <c r="AE231" s="482">
        <v>0</v>
      </c>
      <c r="AF231" s="483">
        <v>2710</v>
      </c>
      <c r="AG231" s="482">
        <v>6.6000000000000003E-2</v>
      </c>
      <c r="AH231" s="480">
        <v>22777</v>
      </c>
      <c r="AI231" s="481">
        <v>0.55400000000000005</v>
      </c>
      <c r="AJ231" s="480">
        <v>15620</v>
      </c>
      <c r="AK231" s="482">
        <v>0.38</v>
      </c>
      <c r="AL231" s="483">
        <v>0</v>
      </c>
      <c r="AM231" s="482">
        <v>0</v>
      </c>
      <c r="AN231" s="480">
        <v>69</v>
      </c>
      <c r="AO231" s="481">
        <v>1</v>
      </c>
      <c r="AP231" s="480">
        <v>0</v>
      </c>
      <c r="AQ231" s="482">
        <v>0</v>
      </c>
      <c r="AR231" s="483">
        <v>0</v>
      </c>
      <c r="AS231" s="482">
        <v>0</v>
      </c>
      <c r="AT231" s="480">
        <v>0</v>
      </c>
      <c r="AU231" s="481">
        <v>0</v>
      </c>
      <c r="AV231" s="480">
        <v>0</v>
      </c>
      <c r="AW231" s="482">
        <v>0</v>
      </c>
      <c r="AX231" s="483">
        <v>0</v>
      </c>
      <c r="AY231" s="482">
        <v>0</v>
      </c>
      <c r="AZ231" s="480">
        <v>0</v>
      </c>
      <c r="BA231" s="481">
        <v>0</v>
      </c>
      <c r="BB231" s="480">
        <v>0</v>
      </c>
      <c r="BC231" s="482">
        <v>0</v>
      </c>
      <c r="BD231" s="483">
        <v>0</v>
      </c>
      <c r="BE231" s="482">
        <v>0</v>
      </c>
      <c r="BF231" s="480">
        <v>209</v>
      </c>
      <c r="BG231" s="481">
        <v>0.501</v>
      </c>
      <c r="BH231" s="480">
        <v>208</v>
      </c>
      <c r="BI231" s="479">
        <v>0.499</v>
      </c>
      <c r="BJ231" s="483">
        <v>0</v>
      </c>
      <c r="BK231" s="482">
        <v>0</v>
      </c>
      <c r="BL231" s="480">
        <v>0</v>
      </c>
      <c r="BM231" s="481">
        <v>0</v>
      </c>
      <c r="BN231" s="480">
        <v>0</v>
      </c>
      <c r="BO231" s="479">
        <v>0</v>
      </c>
    </row>
    <row r="232" spans="1:67" ht="15.75" thickBot="1">
      <c r="A232" s="473" t="s">
        <v>302</v>
      </c>
      <c r="B232" s="487">
        <v>0</v>
      </c>
      <c r="C232" s="482">
        <v>0</v>
      </c>
      <c r="D232" s="486">
        <v>68</v>
      </c>
      <c r="E232" s="481">
        <v>1</v>
      </c>
      <c r="F232" s="486">
        <v>0</v>
      </c>
      <c r="G232" s="482">
        <v>0</v>
      </c>
      <c r="H232" s="487">
        <v>0</v>
      </c>
      <c r="I232" s="482">
        <v>0</v>
      </c>
      <c r="J232" s="486">
        <v>0</v>
      </c>
      <c r="K232" s="481">
        <v>0</v>
      </c>
      <c r="L232" s="486">
        <v>0</v>
      </c>
      <c r="M232" s="482">
        <v>0</v>
      </c>
      <c r="N232" s="487">
        <v>0</v>
      </c>
      <c r="O232" s="482">
        <v>0</v>
      </c>
      <c r="P232" s="486">
        <v>0</v>
      </c>
      <c r="Q232" s="481">
        <v>0</v>
      </c>
      <c r="R232" s="486">
        <v>0</v>
      </c>
      <c r="S232" s="482">
        <v>0</v>
      </c>
      <c r="T232" s="487">
        <v>0</v>
      </c>
      <c r="U232" s="482">
        <v>0</v>
      </c>
      <c r="V232" s="486">
        <v>0</v>
      </c>
      <c r="W232" s="481">
        <v>0</v>
      </c>
      <c r="X232" s="486">
        <v>0</v>
      </c>
      <c r="Y232" s="482">
        <v>0</v>
      </c>
      <c r="Z232" s="487">
        <v>0</v>
      </c>
      <c r="AA232" s="482">
        <v>0</v>
      </c>
      <c r="AB232" s="486">
        <v>0</v>
      </c>
      <c r="AC232" s="481">
        <v>0</v>
      </c>
      <c r="AD232" s="486">
        <v>0</v>
      </c>
      <c r="AE232" s="482">
        <v>0</v>
      </c>
      <c r="AF232" s="487">
        <v>6</v>
      </c>
      <c r="AG232" s="482">
        <v>2E-3</v>
      </c>
      <c r="AH232" s="486">
        <v>1417</v>
      </c>
      <c r="AI232" s="481">
        <v>0.51800000000000002</v>
      </c>
      <c r="AJ232" s="486">
        <v>1313</v>
      </c>
      <c r="AK232" s="482">
        <v>0.48</v>
      </c>
      <c r="AL232" s="487">
        <v>0</v>
      </c>
      <c r="AM232" s="482">
        <v>0</v>
      </c>
      <c r="AN232" s="486">
        <v>0</v>
      </c>
      <c r="AO232" s="481">
        <v>0</v>
      </c>
      <c r="AP232" s="486">
        <v>0</v>
      </c>
      <c r="AQ232" s="482">
        <v>0</v>
      </c>
      <c r="AR232" s="487">
        <v>0</v>
      </c>
      <c r="AS232" s="482">
        <v>0</v>
      </c>
      <c r="AT232" s="486">
        <v>0</v>
      </c>
      <c r="AU232" s="481">
        <v>0</v>
      </c>
      <c r="AV232" s="486">
        <v>0</v>
      </c>
      <c r="AW232" s="482">
        <v>0</v>
      </c>
      <c r="AX232" s="487">
        <v>0</v>
      </c>
      <c r="AY232" s="482">
        <v>0</v>
      </c>
      <c r="AZ232" s="486">
        <v>0</v>
      </c>
      <c r="BA232" s="481">
        <v>0</v>
      </c>
      <c r="BB232" s="486">
        <v>0</v>
      </c>
      <c r="BC232" s="482">
        <v>0</v>
      </c>
      <c r="BD232" s="487">
        <v>0</v>
      </c>
      <c r="BE232" s="482">
        <v>0</v>
      </c>
      <c r="BF232" s="486">
        <v>68</v>
      </c>
      <c r="BG232" s="481">
        <v>1</v>
      </c>
      <c r="BH232" s="486">
        <v>0</v>
      </c>
      <c r="BI232" s="479">
        <v>0</v>
      </c>
      <c r="BJ232" s="487">
        <v>0</v>
      </c>
      <c r="BK232" s="482">
        <v>0</v>
      </c>
      <c r="BL232" s="486">
        <v>0</v>
      </c>
      <c r="BM232" s="481">
        <v>0</v>
      </c>
      <c r="BN232" s="486">
        <v>0</v>
      </c>
      <c r="BO232" s="479">
        <v>0</v>
      </c>
    </row>
    <row r="233" spans="1:67">
      <c r="A233" s="472" t="s">
        <v>3</v>
      </c>
      <c r="B233" s="423">
        <v>0</v>
      </c>
      <c r="C233" s="446">
        <v>0</v>
      </c>
      <c r="D233" s="484">
        <v>188</v>
      </c>
      <c r="E233" s="485">
        <v>0.73699999999999999</v>
      </c>
      <c r="F233" s="484">
        <v>67</v>
      </c>
      <c r="G233" s="446">
        <v>0.26300000000000001</v>
      </c>
      <c r="H233" s="423">
        <v>0</v>
      </c>
      <c r="I233" s="446">
        <v>0</v>
      </c>
      <c r="J233" s="484">
        <v>0</v>
      </c>
      <c r="K233" s="485">
        <v>0</v>
      </c>
      <c r="L233" s="484">
        <v>0</v>
      </c>
      <c r="M233" s="446">
        <v>0</v>
      </c>
      <c r="N233" s="423">
        <v>0</v>
      </c>
      <c r="O233" s="446">
        <v>0</v>
      </c>
      <c r="P233" s="484">
        <v>0</v>
      </c>
      <c r="Q233" s="485">
        <v>0</v>
      </c>
      <c r="R233" s="484">
        <v>0</v>
      </c>
      <c r="S233" s="446">
        <v>0</v>
      </c>
      <c r="T233" s="423">
        <v>183</v>
      </c>
      <c r="U233" s="446">
        <v>0.16200000000000001</v>
      </c>
      <c r="V233" s="484">
        <v>625</v>
      </c>
      <c r="W233" s="485">
        <v>0.55300000000000005</v>
      </c>
      <c r="X233" s="484">
        <v>322</v>
      </c>
      <c r="Y233" s="446">
        <v>0.28499999999999998</v>
      </c>
      <c r="Z233" s="423">
        <v>0</v>
      </c>
      <c r="AA233" s="446">
        <v>0</v>
      </c>
      <c r="AB233" s="484">
        <v>0</v>
      </c>
      <c r="AC233" s="485">
        <v>0</v>
      </c>
      <c r="AD233" s="484">
        <v>0</v>
      </c>
      <c r="AE233" s="446">
        <v>0</v>
      </c>
      <c r="AF233" s="423">
        <v>6598</v>
      </c>
      <c r="AG233" s="446">
        <v>7.3999999999999996E-2</v>
      </c>
      <c r="AH233" s="484">
        <v>42819</v>
      </c>
      <c r="AI233" s="485">
        <v>0.47699999999999998</v>
      </c>
      <c r="AJ233" s="484">
        <v>40266</v>
      </c>
      <c r="AK233" s="446">
        <v>0.44900000000000001</v>
      </c>
      <c r="AL233" s="423">
        <v>0</v>
      </c>
      <c r="AM233" s="446">
        <v>0</v>
      </c>
      <c r="AN233" s="484">
        <v>0</v>
      </c>
      <c r="AO233" s="485">
        <v>0</v>
      </c>
      <c r="AP233" s="484">
        <v>0</v>
      </c>
      <c r="AQ233" s="446">
        <v>0</v>
      </c>
      <c r="AR233" s="423">
        <v>0</v>
      </c>
      <c r="AS233" s="446">
        <v>0</v>
      </c>
      <c r="AT233" s="484">
        <v>0</v>
      </c>
      <c r="AU233" s="485">
        <v>0</v>
      </c>
      <c r="AV233" s="484">
        <v>0</v>
      </c>
      <c r="AW233" s="446">
        <v>0</v>
      </c>
      <c r="AX233" s="423">
        <v>0</v>
      </c>
      <c r="AY233" s="446">
        <v>0</v>
      </c>
      <c r="AZ233" s="484">
        <v>0</v>
      </c>
      <c r="BA233" s="485">
        <v>0</v>
      </c>
      <c r="BB233" s="484">
        <v>0</v>
      </c>
      <c r="BC233" s="446">
        <v>0</v>
      </c>
      <c r="BD233" s="423">
        <v>150</v>
      </c>
      <c r="BE233" s="446">
        <v>0.10199999999999999</v>
      </c>
      <c r="BF233" s="484">
        <v>526</v>
      </c>
      <c r="BG233" s="485">
        <v>0.35699999999999998</v>
      </c>
      <c r="BH233" s="484">
        <v>798</v>
      </c>
      <c r="BI233" s="399">
        <v>0.54100000000000004</v>
      </c>
      <c r="BJ233" s="423">
        <v>0</v>
      </c>
      <c r="BK233" s="446">
        <v>0</v>
      </c>
      <c r="BL233" s="484">
        <v>72</v>
      </c>
      <c r="BM233" s="485">
        <v>1</v>
      </c>
      <c r="BN233" s="484">
        <v>0</v>
      </c>
      <c r="BO233" s="399">
        <v>0</v>
      </c>
    </row>
    <row r="234" spans="1:67">
      <c r="A234" s="471" t="s">
        <v>309</v>
      </c>
      <c r="B234" s="483">
        <v>0</v>
      </c>
      <c r="C234" s="482">
        <v>0</v>
      </c>
      <c r="D234" s="480">
        <v>0</v>
      </c>
      <c r="E234" s="481">
        <v>0</v>
      </c>
      <c r="F234" s="480">
        <v>0</v>
      </c>
      <c r="G234" s="482">
        <v>0</v>
      </c>
      <c r="H234" s="483">
        <v>0</v>
      </c>
      <c r="I234" s="482">
        <v>0</v>
      </c>
      <c r="J234" s="480">
        <v>0</v>
      </c>
      <c r="K234" s="481">
        <v>0</v>
      </c>
      <c r="L234" s="480">
        <v>0</v>
      </c>
      <c r="M234" s="482">
        <v>0</v>
      </c>
      <c r="N234" s="483">
        <v>0</v>
      </c>
      <c r="O234" s="482">
        <v>0</v>
      </c>
      <c r="P234" s="480">
        <v>0</v>
      </c>
      <c r="Q234" s="481">
        <v>0</v>
      </c>
      <c r="R234" s="480">
        <v>0</v>
      </c>
      <c r="S234" s="482">
        <v>0</v>
      </c>
      <c r="T234" s="483">
        <v>0</v>
      </c>
      <c r="U234" s="482">
        <v>0</v>
      </c>
      <c r="V234" s="480">
        <v>0</v>
      </c>
      <c r="W234" s="481">
        <v>0</v>
      </c>
      <c r="X234" s="480">
        <v>0</v>
      </c>
      <c r="Y234" s="482">
        <v>0</v>
      </c>
      <c r="Z234" s="483">
        <v>0</v>
      </c>
      <c r="AA234" s="482">
        <v>0</v>
      </c>
      <c r="AB234" s="480">
        <v>0</v>
      </c>
      <c r="AC234" s="481">
        <v>0</v>
      </c>
      <c r="AD234" s="480">
        <v>0</v>
      </c>
      <c r="AE234" s="482">
        <v>0</v>
      </c>
      <c r="AF234" s="483">
        <v>173</v>
      </c>
      <c r="AG234" s="482">
        <v>0.124</v>
      </c>
      <c r="AH234" s="480">
        <v>716</v>
      </c>
      <c r="AI234" s="481">
        <v>0.51400000000000001</v>
      </c>
      <c r="AJ234" s="480">
        <v>504</v>
      </c>
      <c r="AK234" s="482">
        <v>0.36199999999999999</v>
      </c>
      <c r="AL234" s="483">
        <v>0</v>
      </c>
      <c r="AM234" s="482">
        <v>0</v>
      </c>
      <c r="AN234" s="480">
        <v>0</v>
      </c>
      <c r="AO234" s="481">
        <v>0</v>
      </c>
      <c r="AP234" s="480">
        <v>0</v>
      </c>
      <c r="AQ234" s="482">
        <v>0</v>
      </c>
      <c r="AR234" s="483">
        <v>0</v>
      </c>
      <c r="AS234" s="482">
        <v>0</v>
      </c>
      <c r="AT234" s="480">
        <v>0</v>
      </c>
      <c r="AU234" s="481">
        <v>0</v>
      </c>
      <c r="AV234" s="480">
        <v>0</v>
      </c>
      <c r="AW234" s="482">
        <v>0</v>
      </c>
      <c r="AX234" s="483">
        <v>0</v>
      </c>
      <c r="AY234" s="482">
        <v>0</v>
      </c>
      <c r="AZ234" s="480">
        <v>0</v>
      </c>
      <c r="BA234" s="481">
        <v>0</v>
      </c>
      <c r="BB234" s="480">
        <v>0</v>
      </c>
      <c r="BC234" s="482">
        <v>0</v>
      </c>
      <c r="BD234" s="483">
        <v>39</v>
      </c>
      <c r="BE234" s="482">
        <v>0.373</v>
      </c>
      <c r="BF234" s="480">
        <v>66</v>
      </c>
      <c r="BG234" s="481">
        <v>0.627</v>
      </c>
      <c r="BH234" s="480">
        <v>0</v>
      </c>
      <c r="BI234" s="479">
        <v>0</v>
      </c>
      <c r="BJ234" s="483">
        <v>0</v>
      </c>
      <c r="BK234" s="482">
        <v>0</v>
      </c>
      <c r="BL234" s="480">
        <v>0</v>
      </c>
      <c r="BM234" s="481">
        <v>0</v>
      </c>
      <c r="BN234" s="480">
        <v>0</v>
      </c>
      <c r="BO234" s="479">
        <v>0</v>
      </c>
    </row>
    <row r="235" spans="1:67">
      <c r="A235" s="471" t="s">
        <v>308</v>
      </c>
      <c r="B235" s="483">
        <v>0</v>
      </c>
      <c r="C235" s="482">
        <v>0</v>
      </c>
      <c r="D235" s="480">
        <v>8</v>
      </c>
      <c r="E235" s="481">
        <v>1</v>
      </c>
      <c r="F235" s="480">
        <v>0</v>
      </c>
      <c r="G235" s="482">
        <v>0</v>
      </c>
      <c r="H235" s="483">
        <v>0</v>
      </c>
      <c r="I235" s="482">
        <v>0</v>
      </c>
      <c r="J235" s="480">
        <v>0</v>
      </c>
      <c r="K235" s="481">
        <v>0</v>
      </c>
      <c r="L235" s="480">
        <v>0</v>
      </c>
      <c r="M235" s="482">
        <v>0</v>
      </c>
      <c r="N235" s="483">
        <v>0</v>
      </c>
      <c r="O235" s="482">
        <v>0</v>
      </c>
      <c r="P235" s="480">
        <v>0</v>
      </c>
      <c r="Q235" s="481">
        <v>0</v>
      </c>
      <c r="R235" s="480">
        <v>0</v>
      </c>
      <c r="S235" s="482">
        <v>0</v>
      </c>
      <c r="T235" s="483">
        <v>6</v>
      </c>
      <c r="U235" s="482">
        <v>0.17100000000000001</v>
      </c>
      <c r="V235" s="480">
        <v>8</v>
      </c>
      <c r="W235" s="481">
        <v>0.219</v>
      </c>
      <c r="X235" s="480">
        <v>21</v>
      </c>
      <c r="Y235" s="482">
        <v>0.61</v>
      </c>
      <c r="Z235" s="483">
        <v>0</v>
      </c>
      <c r="AA235" s="482">
        <v>0</v>
      </c>
      <c r="AB235" s="480">
        <v>0</v>
      </c>
      <c r="AC235" s="481">
        <v>0</v>
      </c>
      <c r="AD235" s="480">
        <v>0</v>
      </c>
      <c r="AE235" s="482">
        <v>0</v>
      </c>
      <c r="AF235" s="483">
        <v>205</v>
      </c>
      <c r="AG235" s="482">
        <v>3.9E-2</v>
      </c>
      <c r="AH235" s="480">
        <v>2269</v>
      </c>
      <c r="AI235" s="481">
        <v>0.432</v>
      </c>
      <c r="AJ235" s="480">
        <v>2779</v>
      </c>
      <c r="AK235" s="482">
        <v>0.52900000000000003</v>
      </c>
      <c r="AL235" s="483">
        <v>0</v>
      </c>
      <c r="AM235" s="482">
        <v>0</v>
      </c>
      <c r="AN235" s="480">
        <v>0</v>
      </c>
      <c r="AO235" s="481">
        <v>0</v>
      </c>
      <c r="AP235" s="480">
        <v>0</v>
      </c>
      <c r="AQ235" s="482">
        <v>0</v>
      </c>
      <c r="AR235" s="483">
        <v>0</v>
      </c>
      <c r="AS235" s="482">
        <v>0</v>
      </c>
      <c r="AT235" s="480">
        <v>0</v>
      </c>
      <c r="AU235" s="481">
        <v>0</v>
      </c>
      <c r="AV235" s="480">
        <v>0</v>
      </c>
      <c r="AW235" s="482">
        <v>0</v>
      </c>
      <c r="AX235" s="483">
        <v>0</v>
      </c>
      <c r="AY235" s="482">
        <v>0</v>
      </c>
      <c r="AZ235" s="480">
        <v>0</v>
      </c>
      <c r="BA235" s="481">
        <v>0</v>
      </c>
      <c r="BB235" s="480">
        <v>0</v>
      </c>
      <c r="BC235" s="482">
        <v>0</v>
      </c>
      <c r="BD235" s="483">
        <v>8</v>
      </c>
      <c r="BE235" s="482">
        <v>0.1</v>
      </c>
      <c r="BF235" s="480">
        <v>0</v>
      </c>
      <c r="BG235" s="481">
        <v>0</v>
      </c>
      <c r="BH235" s="480">
        <v>68</v>
      </c>
      <c r="BI235" s="479">
        <v>0.9</v>
      </c>
      <c r="BJ235" s="483">
        <v>0</v>
      </c>
      <c r="BK235" s="482">
        <v>0</v>
      </c>
      <c r="BL235" s="480">
        <v>0</v>
      </c>
      <c r="BM235" s="481">
        <v>0</v>
      </c>
      <c r="BN235" s="480">
        <v>0</v>
      </c>
      <c r="BO235" s="479">
        <v>0</v>
      </c>
    </row>
    <row r="236" spans="1:67">
      <c r="A236" s="471" t="s">
        <v>307</v>
      </c>
      <c r="B236" s="483">
        <v>0</v>
      </c>
      <c r="C236" s="482">
        <v>0</v>
      </c>
      <c r="D236" s="480">
        <v>0</v>
      </c>
      <c r="E236" s="481">
        <v>0</v>
      </c>
      <c r="F236" s="480">
        <v>0</v>
      </c>
      <c r="G236" s="482">
        <v>0</v>
      </c>
      <c r="H236" s="483">
        <v>0</v>
      </c>
      <c r="I236" s="482">
        <v>0</v>
      </c>
      <c r="J236" s="480">
        <v>0</v>
      </c>
      <c r="K236" s="481">
        <v>0</v>
      </c>
      <c r="L236" s="480">
        <v>0</v>
      </c>
      <c r="M236" s="482">
        <v>0</v>
      </c>
      <c r="N236" s="483">
        <v>0</v>
      </c>
      <c r="O236" s="482">
        <v>0</v>
      </c>
      <c r="P236" s="480">
        <v>0</v>
      </c>
      <c r="Q236" s="481">
        <v>0</v>
      </c>
      <c r="R236" s="480">
        <v>0</v>
      </c>
      <c r="S236" s="482">
        <v>0</v>
      </c>
      <c r="T236" s="483">
        <v>96</v>
      </c>
      <c r="U236" s="482">
        <v>0.33300000000000002</v>
      </c>
      <c r="V236" s="480">
        <v>191</v>
      </c>
      <c r="W236" s="481">
        <v>0.66700000000000004</v>
      </c>
      <c r="X236" s="480">
        <v>0</v>
      </c>
      <c r="Y236" s="482">
        <v>0</v>
      </c>
      <c r="Z236" s="483">
        <v>0</v>
      </c>
      <c r="AA236" s="482">
        <v>0</v>
      </c>
      <c r="AB236" s="480">
        <v>0</v>
      </c>
      <c r="AC236" s="481">
        <v>0</v>
      </c>
      <c r="AD236" s="480">
        <v>0</v>
      </c>
      <c r="AE236" s="482">
        <v>0</v>
      </c>
      <c r="AF236" s="483">
        <v>841</v>
      </c>
      <c r="AG236" s="482">
        <v>8.5999999999999993E-2</v>
      </c>
      <c r="AH236" s="480">
        <v>4554</v>
      </c>
      <c r="AI236" s="481">
        <v>0.46800000000000003</v>
      </c>
      <c r="AJ236" s="480">
        <v>4337</v>
      </c>
      <c r="AK236" s="482">
        <v>0.44600000000000001</v>
      </c>
      <c r="AL236" s="483">
        <v>0</v>
      </c>
      <c r="AM236" s="482">
        <v>0</v>
      </c>
      <c r="AN236" s="480">
        <v>0</v>
      </c>
      <c r="AO236" s="481">
        <v>0</v>
      </c>
      <c r="AP236" s="480">
        <v>0</v>
      </c>
      <c r="AQ236" s="482">
        <v>0</v>
      </c>
      <c r="AR236" s="483">
        <v>0</v>
      </c>
      <c r="AS236" s="482">
        <v>0</v>
      </c>
      <c r="AT236" s="480">
        <v>0</v>
      </c>
      <c r="AU236" s="481">
        <v>0</v>
      </c>
      <c r="AV236" s="480">
        <v>0</v>
      </c>
      <c r="AW236" s="482">
        <v>0</v>
      </c>
      <c r="AX236" s="483">
        <v>0</v>
      </c>
      <c r="AY236" s="482">
        <v>0</v>
      </c>
      <c r="AZ236" s="480">
        <v>0</v>
      </c>
      <c r="BA236" s="481">
        <v>0</v>
      </c>
      <c r="BB236" s="480">
        <v>0</v>
      </c>
      <c r="BC236" s="482">
        <v>0</v>
      </c>
      <c r="BD236" s="483">
        <v>0</v>
      </c>
      <c r="BE236" s="482">
        <v>0</v>
      </c>
      <c r="BF236" s="480">
        <v>96</v>
      </c>
      <c r="BG236" s="481">
        <v>0.33300000000000002</v>
      </c>
      <c r="BH236" s="480">
        <v>191</v>
      </c>
      <c r="BI236" s="479">
        <v>0.66700000000000004</v>
      </c>
      <c r="BJ236" s="483">
        <v>0</v>
      </c>
      <c r="BK236" s="482">
        <v>0</v>
      </c>
      <c r="BL236" s="480">
        <v>72</v>
      </c>
      <c r="BM236" s="481">
        <v>1</v>
      </c>
      <c r="BN236" s="480">
        <v>0</v>
      </c>
      <c r="BO236" s="479">
        <v>0</v>
      </c>
    </row>
    <row r="237" spans="1:67">
      <c r="A237" s="471" t="s">
        <v>306</v>
      </c>
      <c r="B237" s="483">
        <v>0</v>
      </c>
      <c r="C237" s="482">
        <v>0</v>
      </c>
      <c r="D237" s="480">
        <v>72</v>
      </c>
      <c r="E237" s="481">
        <v>1</v>
      </c>
      <c r="F237" s="480">
        <v>0</v>
      </c>
      <c r="G237" s="482">
        <v>0</v>
      </c>
      <c r="H237" s="483">
        <v>0</v>
      </c>
      <c r="I237" s="482">
        <v>0</v>
      </c>
      <c r="J237" s="480">
        <v>0</v>
      </c>
      <c r="K237" s="481">
        <v>0</v>
      </c>
      <c r="L237" s="480">
        <v>0</v>
      </c>
      <c r="M237" s="482">
        <v>0</v>
      </c>
      <c r="N237" s="483">
        <v>0</v>
      </c>
      <c r="O237" s="482">
        <v>0</v>
      </c>
      <c r="P237" s="480">
        <v>0</v>
      </c>
      <c r="Q237" s="481">
        <v>0</v>
      </c>
      <c r="R237" s="480">
        <v>0</v>
      </c>
      <c r="S237" s="482">
        <v>0</v>
      </c>
      <c r="T237" s="483">
        <v>0</v>
      </c>
      <c r="U237" s="482">
        <v>0</v>
      </c>
      <c r="V237" s="480">
        <v>0</v>
      </c>
      <c r="W237" s="481">
        <v>0</v>
      </c>
      <c r="X237" s="480">
        <v>91</v>
      </c>
      <c r="Y237" s="482">
        <v>1</v>
      </c>
      <c r="Z237" s="483">
        <v>0</v>
      </c>
      <c r="AA237" s="482">
        <v>0</v>
      </c>
      <c r="AB237" s="480">
        <v>0</v>
      </c>
      <c r="AC237" s="481">
        <v>0</v>
      </c>
      <c r="AD237" s="480">
        <v>0</v>
      </c>
      <c r="AE237" s="482">
        <v>0</v>
      </c>
      <c r="AF237" s="483">
        <v>703</v>
      </c>
      <c r="AG237" s="482">
        <v>8.6999999999999994E-2</v>
      </c>
      <c r="AH237" s="480">
        <v>4173</v>
      </c>
      <c r="AI237" s="481">
        <v>0.51700000000000002</v>
      </c>
      <c r="AJ237" s="480">
        <v>3196</v>
      </c>
      <c r="AK237" s="482">
        <v>0.39600000000000002</v>
      </c>
      <c r="AL237" s="483">
        <v>0</v>
      </c>
      <c r="AM237" s="482">
        <v>0</v>
      </c>
      <c r="AN237" s="480">
        <v>0</v>
      </c>
      <c r="AO237" s="481">
        <v>0</v>
      </c>
      <c r="AP237" s="480">
        <v>0</v>
      </c>
      <c r="AQ237" s="482">
        <v>0</v>
      </c>
      <c r="AR237" s="483">
        <v>0</v>
      </c>
      <c r="AS237" s="482">
        <v>0</v>
      </c>
      <c r="AT237" s="480">
        <v>0</v>
      </c>
      <c r="AU237" s="481">
        <v>0</v>
      </c>
      <c r="AV237" s="480">
        <v>0</v>
      </c>
      <c r="AW237" s="482">
        <v>0</v>
      </c>
      <c r="AX237" s="483">
        <v>0</v>
      </c>
      <c r="AY237" s="482">
        <v>0</v>
      </c>
      <c r="AZ237" s="480">
        <v>0</v>
      </c>
      <c r="BA237" s="481">
        <v>0</v>
      </c>
      <c r="BB237" s="480">
        <v>0</v>
      </c>
      <c r="BC237" s="482">
        <v>0</v>
      </c>
      <c r="BD237" s="483">
        <v>0</v>
      </c>
      <c r="BE237" s="482">
        <v>0</v>
      </c>
      <c r="BF237" s="480">
        <v>36</v>
      </c>
      <c r="BG237" s="481">
        <v>0.23499999999999999</v>
      </c>
      <c r="BH237" s="480">
        <v>118</v>
      </c>
      <c r="BI237" s="479">
        <v>0.76500000000000001</v>
      </c>
      <c r="BJ237" s="483">
        <v>0</v>
      </c>
      <c r="BK237" s="482">
        <v>0</v>
      </c>
      <c r="BL237" s="480">
        <v>0</v>
      </c>
      <c r="BM237" s="481">
        <v>0</v>
      </c>
      <c r="BN237" s="480">
        <v>0</v>
      </c>
      <c r="BO237" s="479">
        <v>0</v>
      </c>
    </row>
    <row r="238" spans="1:67">
      <c r="A238" s="471" t="s">
        <v>305</v>
      </c>
      <c r="B238" s="483">
        <v>0</v>
      </c>
      <c r="C238" s="482">
        <v>0</v>
      </c>
      <c r="D238" s="480">
        <v>92</v>
      </c>
      <c r="E238" s="481">
        <v>0.62</v>
      </c>
      <c r="F238" s="480">
        <v>56</v>
      </c>
      <c r="G238" s="482">
        <v>0.38</v>
      </c>
      <c r="H238" s="483">
        <v>0</v>
      </c>
      <c r="I238" s="482">
        <v>0</v>
      </c>
      <c r="J238" s="480">
        <v>0</v>
      </c>
      <c r="K238" s="481">
        <v>0</v>
      </c>
      <c r="L238" s="480">
        <v>0</v>
      </c>
      <c r="M238" s="482">
        <v>0</v>
      </c>
      <c r="N238" s="483">
        <v>0</v>
      </c>
      <c r="O238" s="482">
        <v>0</v>
      </c>
      <c r="P238" s="480">
        <v>0</v>
      </c>
      <c r="Q238" s="481">
        <v>0</v>
      </c>
      <c r="R238" s="480">
        <v>0</v>
      </c>
      <c r="S238" s="482">
        <v>0</v>
      </c>
      <c r="T238" s="483">
        <v>56</v>
      </c>
      <c r="U238" s="482">
        <v>0.26100000000000001</v>
      </c>
      <c r="V238" s="480">
        <v>113</v>
      </c>
      <c r="W238" s="481">
        <v>0.52600000000000002</v>
      </c>
      <c r="X238" s="480">
        <v>46</v>
      </c>
      <c r="Y238" s="482">
        <v>0.21299999999999999</v>
      </c>
      <c r="Z238" s="483">
        <v>0</v>
      </c>
      <c r="AA238" s="482">
        <v>0</v>
      </c>
      <c r="AB238" s="480">
        <v>0</v>
      </c>
      <c r="AC238" s="481">
        <v>0</v>
      </c>
      <c r="AD238" s="480">
        <v>0</v>
      </c>
      <c r="AE238" s="482">
        <v>0</v>
      </c>
      <c r="AF238" s="483">
        <v>1241</v>
      </c>
      <c r="AG238" s="482">
        <v>9.4E-2</v>
      </c>
      <c r="AH238" s="480">
        <v>5908</v>
      </c>
      <c r="AI238" s="481">
        <v>0.45</v>
      </c>
      <c r="AJ238" s="480">
        <v>5989</v>
      </c>
      <c r="AK238" s="482">
        <v>0.45600000000000002</v>
      </c>
      <c r="AL238" s="483">
        <v>0</v>
      </c>
      <c r="AM238" s="482">
        <v>0</v>
      </c>
      <c r="AN238" s="480">
        <v>0</v>
      </c>
      <c r="AO238" s="481">
        <v>0</v>
      </c>
      <c r="AP238" s="480">
        <v>0</v>
      </c>
      <c r="AQ238" s="482">
        <v>0</v>
      </c>
      <c r="AR238" s="483">
        <v>0</v>
      </c>
      <c r="AS238" s="482">
        <v>0</v>
      </c>
      <c r="AT238" s="480">
        <v>0</v>
      </c>
      <c r="AU238" s="481">
        <v>0</v>
      </c>
      <c r="AV238" s="480">
        <v>0</v>
      </c>
      <c r="AW238" s="482">
        <v>0</v>
      </c>
      <c r="AX238" s="483">
        <v>0</v>
      </c>
      <c r="AY238" s="482">
        <v>0</v>
      </c>
      <c r="AZ238" s="480">
        <v>0</v>
      </c>
      <c r="BA238" s="481">
        <v>0</v>
      </c>
      <c r="BB238" s="480">
        <v>0</v>
      </c>
      <c r="BC238" s="482">
        <v>0</v>
      </c>
      <c r="BD238" s="483">
        <v>53</v>
      </c>
      <c r="BE238" s="482">
        <v>0.34300000000000003</v>
      </c>
      <c r="BF238" s="480">
        <v>46</v>
      </c>
      <c r="BG238" s="481">
        <v>0.29499999999999998</v>
      </c>
      <c r="BH238" s="480">
        <v>56</v>
      </c>
      <c r="BI238" s="479">
        <v>0.36199999999999999</v>
      </c>
      <c r="BJ238" s="483">
        <v>0</v>
      </c>
      <c r="BK238" s="482">
        <v>0</v>
      </c>
      <c r="BL238" s="480">
        <v>0</v>
      </c>
      <c r="BM238" s="481">
        <v>0</v>
      </c>
      <c r="BN238" s="480">
        <v>0</v>
      </c>
      <c r="BO238" s="479">
        <v>0</v>
      </c>
    </row>
    <row r="239" spans="1:67" ht="24">
      <c r="A239" s="471" t="s">
        <v>304</v>
      </c>
      <c r="B239" s="483">
        <v>0</v>
      </c>
      <c r="C239" s="482">
        <v>0</v>
      </c>
      <c r="D239" s="480">
        <v>17</v>
      </c>
      <c r="E239" s="481">
        <v>0.59899999999999998</v>
      </c>
      <c r="F239" s="480">
        <v>11</v>
      </c>
      <c r="G239" s="482">
        <v>0.40100000000000002</v>
      </c>
      <c r="H239" s="483">
        <v>0</v>
      </c>
      <c r="I239" s="482">
        <v>0</v>
      </c>
      <c r="J239" s="480">
        <v>0</v>
      </c>
      <c r="K239" s="481">
        <v>0</v>
      </c>
      <c r="L239" s="480">
        <v>0</v>
      </c>
      <c r="M239" s="482">
        <v>0</v>
      </c>
      <c r="N239" s="483">
        <v>0</v>
      </c>
      <c r="O239" s="482">
        <v>0</v>
      </c>
      <c r="P239" s="480">
        <v>0</v>
      </c>
      <c r="Q239" s="481">
        <v>0</v>
      </c>
      <c r="R239" s="480">
        <v>0</v>
      </c>
      <c r="S239" s="482">
        <v>0</v>
      </c>
      <c r="T239" s="483">
        <v>11</v>
      </c>
      <c r="U239" s="482">
        <v>5.6000000000000001E-2</v>
      </c>
      <c r="V239" s="480">
        <v>115</v>
      </c>
      <c r="W239" s="481">
        <v>0.58599999999999997</v>
      </c>
      <c r="X239" s="480">
        <v>70</v>
      </c>
      <c r="Y239" s="482">
        <v>0.35699999999999998</v>
      </c>
      <c r="Z239" s="483">
        <v>0</v>
      </c>
      <c r="AA239" s="482">
        <v>0</v>
      </c>
      <c r="AB239" s="480">
        <v>0</v>
      </c>
      <c r="AC239" s="481">
        <v>0</v>
      </c>
      <c r="AD239" s="480">
        <v>0</v>
      </c>
      <c r="AE239" s="482">
        <v>0</v>
      </c>
      <c r="AF239" s="483">
        <v>1875</v>
      </c>
      <c r="AG239" s="482">
        <v>8.6999999999999994E-2</v>
      </c>
      <c r="AH239" s="480">
        <v>10740</v>
      </c>
      <c r="AI239" s="481">
        <v>0.498</v>
      </c>
      <c r="AJ239" s="480">
        <v>8951</v>
      </c>
      <c r="AK239" s="482">
        <v>0.41499999999999998</v>
      </c>
      <c r="AL239" s="483">
        <v>0</v>
      </c>
      <c r="AM239" s="482">
        <v>0</v>
      </c>
      <c r="AN239" s="480">
        <v>0</v>
      </c>
      <c r="AO239" s="481">
        <v>0</v>
      </c>
      <c r="AP239" s="480">
        <v>0</v>
      </c>
      <c r="AQ239" s="482">
        <v>0</v>
      </c>
      <c r="AR239" s="483">
        <v>0</v>
      </c>
      <c r="AS239" s="482">
        <v>0</v>
      </c>
      <c r="AT239" s="480">
        <v>0</v>
      </c>
      <c r="AU239" s="481">
        <v>0</v>
      </c>
      <c r="AV239" s="480">
        <v>0</v>
      </c>
      <c r="AW239" s="482">
        <v>0</v>
      </c>
      <c r="AX239" s="483">
        <v>0</v>
      </c>
      <c r="AY239" s="482">
        <v>0</v>
      </c>
      <c r="AZ239" s="480">
        <v>0</v>
      </c>
      <c r="BA239" s="481">
        <v>0</v>
      </c>
      <c r="BB239" s="480">
        <v>0</v>
      </c>
      <c r="BC239" s="482">
        <v>0</v>
      </c>
      <c r="BD239" s="483">
        <v>5</v>
      </c>
      <c r="BE239" s="482">
        <v>4.2000000000000003E-2</v>
      </c>
      <c r="BF239" s="480">
        <v>65</v>
      </c>
      <c r="BG239" s="481">
        <v>0.49299999999999999</v>
      </c>
      <c r="BH239" s="480">
        <v>61</v>
      </c>
      <c r="BI239" s="479">
        <v>0.46500000000000002</v>
      </c>
      <c r="BJ239" s="483">
        <v>0</v>
      </c>
      <c r="BK239" s="482">
        <v>0</v>
      </c>
      <c r="BL239" s="480">
        <v>0</v>
      </c>
      <c r="BM239" s="481">
        <v>0</v>
      </c>
      <c r="BN239" s="480">
        <v>0</v>
      </c>
      <c r="BO239" s="479">
        <v>0</v>
      </c>
    </row>
    <row r="240" spans="1:67" ht="24">
      <c r="A240" s="471" t="s">
        <v>303</v>
      </c>
      <c r="B240" s="483">
        <v>0</v>
      </c>
      <c r="C240" s="482">
        <v>0</v>
      </c>
      <c r="D240" s="480">
        <v>0</v>
      </c>
      <c r="E240" s="481">
        <v>0</v>
      </c>
      <c r="F240" s="480">
        <v>0</v>
      </c>
      <c r="G240" s="482">
        <v>0</v>
      </c>
      <c r="H240" s="483">
        <v>0</v>
      </c>
      <c r="I240" s="482">
        <v>0</v>
      </c>
      <c r="J240" s="480">
        <v>0</v>
      </c>
      <c r="K240" s="481">
        <v>0</v>
      </c>
      <c r="L240" s="480">
        <v>0</v>
      </c>
      <c r="M240" s="482">
        <v>0</v>
      </c>
      <c r="N240" s="483">
        <v>0</v>
      </c>
      <c r="O240" s="482">
        <v>0</v>
      </c>
      <c r="P240" s="480">
        <v>0</v>
      </c>
      <c r="Q240" s="481">
        <v>0</v>
      </c>
      <c r="R240" s="480">
        <v>0</v>
      </c>
      <c r="S240" s="482">
        <v>0</v>
      </c>
      <c r="T240" s="483">
        <v>15</v>
      </c>
      <c r="U240" s="482">
        <v>5.8999999999999997E-2</v>
      </c>
      <c r="V240" s="480">
        <v>138</v>
      </c>
      <c r="W240" s="481">
        <v>0.56000000000000005</v>
      </c>
      <c r="X240" s="480">
        <v>94</v>
      </c>
      <c r="Y240" s="482">
        <v>0.38100000000000001</v>
      </c>
      <c r="Z240" s="483">
        <v>0</v>
      </c>
      <c r="AA240" s="482">
        <v>0</v>
      </c>
      <c r="AB240" s="480">
        <v>0</v>
      </c>
      <c r="AC240" s="481">
        <v>0</v>
      </c>
      <c r="AD240" s="480">
        <v>0</v>
      </c>
      <c r="AE240" s="482">
        <v>0</v>
      </c>
      <c r="AF240" s="483">
        <v>1374</v>
      </c>
      <c r="AG240" s="482">
        <v>4.8000000000000001E-2</v>
      </c>
      <c r="AH240" s="480">
        <v>13847</v>
      </c>
      <c r="AI240" s="481">
        <v>0.48799999999999999</v>
      </c>
      <c r="AJ240" s="480">
        <v>13154</v>
      </c>
      <c r="AK240" s="482">
        <v>0.46400000000000002</v>
      </c>
      <c r="AL240" s="483">
        <v>0</v>
      </c>
      <c r="AM240" s="482">
        <v>0</v>
      </c>
      <c r="AN240" s="480">
        <v>0</v>
      </c>
      <c r="AO240" s="481">
        <v>0</v>
      </c>
      <c r="AP240" s="480">
        <v>0</v>
      </c>
      <c r="AQ240" s="482">
        <v>0</v>
      </c>
      <c r="AR240" s="483">
        <v>0</v>
      </c>
      <c r="AS240" s="482">
        <v>0</v>
      </c>
      <c r="AT240" s="480">
        <v>0</v>
      </c>
      <c r="AU240" s="481">
        <v>0</v>
      </c>
      <c r="AV240" s="480">
        <v>0</v>
      </c>
      <c r="AW240" s="482">
        <v>0</v>
      </c>
      <c r="AX240" s="483">
        <v>0</v>
      </c>
      <c r="AY240" s="482">
        <v>0</v>
      </c>
      <c r="AZ240" s="480">
        <v>0</v>
      </c>
      <c r="BA240" s="481">
        <v>0</v>
      </c>
      <c r="BB240" s="480">
        <v>0</v>
      </c>
      <c r="BC240" s="482">
        <v>0</v>
      </c>
      <c r="BD240" s="483">
        <v>44</v>
      </c>
      <c r="BE240" s="482">
        <v>8.6999999999999994E-2</v>
      </c>
      <c r="BF240" s="480">
        <v>218</v>
      </c>
      <c r="BG240" s="481">
        <v>0.43099999999999999</v>
      </c>
      <c r="BH240" s="480">
        <v>244</v>
      </c>
      <c r="BI240" s="479">
        <v>0.48199999999999998</v>
      </c>
      <c r="BJ240" s="483">
        <v>0</v>
      </c>
      <c r="BK240" s="482">
        <v>0</v>
      </c>
      <c r="BL240" s="480">
        <v>0</v>
      </c>
      <c r="BM240" s="481">
        <v>0</v>
      </c>
      <c r="BN240" s="480">
        <v>0</v>
      </c>
      <c r="BO240" s="479">
        <v>0</v>
      </c>
    </row>
    <row r="241" spans="1:238" ht="15.75" thickBot="1">
      <c r="A241" s="465" t="s">
        <v>302</v>
      </c>
      <c r="B241" s="478">
        <v>0</v>
      </c>
      <c r="C241" s="477">
        <v>0</v>
      </c>
      <c r="D241" s="475">
        <v>0</v>
      </c>
      <c r="E241" s="476">
        <v>0</v>
      </c>
      <c r="F241" s="475">
        <v>0</v>
      </c>
      <c r="G241" s="474">
        <v>0</v>
      </c>
      <c r="H241" s="478">
        <v>0</v>
      </c>
      <c r="I241" s="477">
        <v>0</v>
      </c>
      <c r="J241" s="475">
        <v>0</v>
      </c>
      <c r="K241" s="476">
        <v>0</v>
      </c>
      <c r="L241" s="475">
        <v>0</v>
      </c>
      <c r="M241" s="474">
        <v>0</v>
      </c>
      <c r="N241" s="478">
        <v>0</v>
      </c>
      <c r="O241" s="477">
        <v>0</v>
      </c>
      <c r="P241" s="475">
        <v>0</v>
      </c>
      <c r="Q241" s="476">
        <v>0</v>
      </c>
      <c r="R241" s="475">
        <v>0</v>
      </c>
      <c r="S241" s="474">
        <v>0</v>
      </c>
      <c r="T241" s="478">
        <v>0</v>
      </c>
      <c r="U241" s="477">
        <v>0</v>
      </c>
      <c r="V241" s="475">
        <v>59</v>
      </c>
      <c r="W241" s="476">
        <v>1</v>
      </c>
      <c r="X241" s="475">
        <v>0</v>
      </c>
      <c r="Y241" s="474">
        <v>0</v>
      </c>
      <c r="Z241" s="478">
        <v>0</v>
      </c>
      <c r="AA241" s="477">
        <v>0</v>
      </c>
      <c r="AB241" s="475">
        <v>0</v>
      </c>
      <c r="AC241" s="476">
        <v>0</v>
      </c>
      <c r="AD241" s="475">
        <v>0</v>
      </c>
      <c r="AE241" s="474">
        <v>0</v>
      </c>
      <c r="AF241" s="478">
        <v>186</v>
      </c>
      <c r="AG241" s="477">
        <v>8.6999999999999994E-2</v>
      </c>
      <c r="AH241" s="475">
        <v>612</v>
      </c>
      <c r="AI241" s="476">
        <v>0.28399999999999997</v>
      </c>
      <c r="AJ241" s="475">
        <v>1356</v>
      </c>
      <c r="AK241" s="474">
        <v>0.629</v>
      </c>
      <c r="AL241" s="478">
        <v>0</v>
      </c>
      <c r="AM241" s="477">
        <v>0</v>
      </c>
      <c r="AN241" s="475">
        <v>0</v>
      </c>
      <c r="AO241" s="476">
        <v>0</v>
      </c>
      <c r="AP241" s="475">
        <v>0</v>
      </c>
      <c r="AQ241" s="474">
        <v>0</v>
      </c>
      <c r="AR241" s="478">
        <v>0</v>
      </c>
      <c r="AS241" s="477">
        <v>0</v>
      </c>
      <c r="AT241" s="475">
        <v>0</v>
      </c>
      <c r="AU241" s="476">
        <v>0</v>
      </c>
      <c r="AV241" s="475">
        <v>0</v>
      </c>
      <c r="AW241" s="474">
        <v>0</v>
      </c>
      <c r="AX241" s="478">
        <v>0</v>
      </c>
      <c r="AY241" s="477">
        <v>0</v>
      </c>
      <c r="AZ241" s="475">
        <v>0</v>
      </c>
      <c r="BA241" s="476">
        <v>0</v>
      </c>
      <c r="BB241" s="475">
        <v>0</v>
      </c>
      <c r="BC241" s="474">
        <v>0</v>
      </c>
      <c r="BD241" s="478">
        <v>0</v>
      </c>
      <c r="BE241" s="477">
        <v>0</v>
      </c>
      <c r="BF241" s="475">
        <v>0</v>
      </c>
      <c r="BG241" s="476">
        <v>0</v>
      </c>
      <c r="BH241" s="475">
        <v>59</v>
      </c>
      <c r="BI241" s="474">
        <v>1</v>
      </c>
      <c r="BJ241" s="478">
        <v>0</v>
      </c>
      <c r="BK241" s="477">
        <v>0</v>
      </c>
      <c r="BL241" s="475">
        <v>0</v>
      </c>
      <c r="BM241" s="476">
        <v>0</v>
      </c>
      <c r="BN241" s="475">
        <v>0</v>
      </c>
      <c r="BO241" s="474">
        <v>0</v>
      </c>
    </row>
    <row r="248" spans="1:238">
      <c r="A248" s="326"/>
      <c r="ID248" t="s">
        <v>283</v>
      </c>
    </row>
    <row r="249" spans="1:238" ht="15.75" thickBot="1">
      <c r="A249" s="783" t="s">
        <v>283</v>
      </c>
      <c r="B249" s="783"/>
      <c r="C249" s="783"/>
      <c r="D249" s="783"/>
      <c r="E249" s="783"/>
      <c r="F249" s="783"/>
      <c r="G249" s="783"/>
      <c r="H249" s="783"/>
      <c r="I249" s="783"/>
      <c r="J249" s="783"/>
      <c r="K249" s="783"/>
      <c r="L249" s="783"/>
      <c r="M249" s="783"/>
      <c r="N249" s="783"/>
      <c r="O249" s="783"/>
      <c r="P249" s="783"/>
      <c r="Q249" s="783"/>
      <c r="R249" s="783"/>
      <c r="S249" s="783"/>
      <c r="T249" s="783"/>
      <c r="U249" s="783"/>
      <c r="V249" s="783"/>
      <c r="W249" s="783"/>
      <c r="X249" s="783"/>
      <c r="Y249" s="783"/>
      <c r="Z249" s="783"/>
      <c r="AA249" s="783"/>
      <c r="AB249" s="783"/>
      <c r="AC249" s="783"/>
      <c r="AD249" s="783"/>
      <c r="AE249" s="783"/>
      <c r="AF249" s="783"/>
      <c r="AG249" s="783"/>
      <c r="AH249" s="783"/>
      <c r="AI249" s="783"/>
      <c r="AJ249" s="783"/>
      <c r="AK249" s="783"/>
      <c r="AL249" s="783"/>
      <c r="AM249" s="783"/>
      <c r="AN249" s="783"/>
      <c r="AO249" s="783"/>
      <c r="AP249" s="783"/>
      <c r="AQ249" s="783"/>
      <c r="AR249" s="783"/>
      <c r="AS249" s="783"/>
      <c r="AT249" s="783"/>
      <c r="AU249" s="783"/>
      <c r="AV249" s="783"/>
      <c r="AW249" s="783"/>
      <c r="AX249" s="783"/>
      <c r="AY249" s="783"/>
      <c r="AZ249" s="783"/>
      <c r="BA249" s="783"/>
      <c r="BB249" s="783"/>
      <c r="BC249" s="783"/>
      <c r="BD249" s="783"/>
      <c r="BE249" s="783"/>
      <c r="BF249" s="783"/>
      <c r="BG249" s="783"/>
      <c r="BH249" s="783"/>
      <c r="BI249" s="783"/>
      <c r="BJ249" s="783"/>
      <c r="BK249" s="783"/>
      <c r="BL249" s="783"/>
      <c r="BM249" s="783"/>
      <c r="BN249" s="783"/>
      <c r="BO249" s="783"/>
      <c r="BP249" s="783"/>
      <c r="BQ249" s="783"/>
      <c r="BR249" s="783"/>
      <c r="BS249" s="783"/>
      <c r="BT249" s="783"/>
      <c r="BU249" s="783"/>
      <c r="BV249" s="783"/>
      <c r="BW249" s="783"/>
      <c r="BX249" s="783"/>
      <c r="BY249" s="783"/>
      <c r="BZ249" s="783"/>
      <c r="CA249" s="783"/>
    </row>
    <row r="250" spans="1:238" ht="15" customHeight="1">
      <c r="A250" s="918" t="s">
        <v>311</v>
      </c>
      <c r="B250" s="669" t="s">
        <v>275</v>
      </c>
      <c r="C250" s="669"/>
      <c r="D250" s="669"/>
      <c r="E250" s="669"/>
      <c r="F250" s="669"/>
      <c r="G250" s="669"/>
      <c r="H250" s="669" t="s">
        <v>274</v>
      </c>
      <c r="I250" s="669"/>
      <c r="J250" s="669"/>
      <c r="K250" s="669"/>
      <c r="L250" s="669"/>
      <c r="M250" s="669"/>
      <c r="N250" s="669" t="s">
        <v>273</v>
      </c>
      <c r="O250" s="669"/>
      <c r="P250" s="669"/>
      <c r="Q250" s="669"/>
      <c r="R250" s="669"/>
      <c r="S250" s="669"/>
      <c r="T250" s="669" t="s">
        <v>272</v>
      </c>
      <c r="U250" s="669"/>
      <c r="V250" s="669"/>
      <c r="W250" s="669"/>
      <c r="X250" s="669"/>
      <c r="Y250" s="669"/>
      <c r="Z250" s="669" t="s">
        <v>271</v>
      </c>
      <c r="AA250" s="669"/>
      <c r="AB250" s="669"/>
      <c r="AC250" s="669"/>
      <c r="AD250" s="669"/>
      <c r="AE250" s="669"/>
      <c r="AF250" s="747" t="s">
        <v>270</v>
      </c>
      <c r="AG250" s="747"/>
      <c r="AH250" s="747"/>
      <c r="AI250" s="747"/>
      <c r="AJ250" s="747"/>
      <c r="AK250" s="747"/>
      <c r="AL250" s="669" t="s">
        <v>269</v>
      </c>
      <c r="AM250" s="669"/>
      <c r="AN250" s="669"/>
      <c r="AO250" s="669"/>
      <c r="AP250" s="669"/>
      <c r="AQ250" s="669"/>
      <c r="AR250" s="669" t="s">
        <v>267</v>
      </c>
      <c r="AS250" s="669"/>
      <c r="AT250" s="669"/>
      <c r="AU250" s="669"/>
      <c r="AV250" s="669"/>
      <c r="AW250" s="669"/>
      <c r="AX250" s="669" t="s">
        <v>266</v>
      </c>
      <c r="AY250" s="669"/>
      <c r="AZ250" s="669"/>
      <c r="BA250" s="669"/>
      <c r="BB250" s="669"/>
      <c r="BC250" s="669"/>
      <c r="BD250" s="669" t="s">
        <v>265</v>
      </c>
      <c r="BE250" s="669"/>
      <c r="BF250" s="669"/>
      <c r="BG250" s="669"/>
      <c r="BH250" s="669"/>
      <c r="BI250" s="694"/>
      <c r="BJ250" s="669" t="s">
        <v>264</v>
      </c>
      <c r="BK250" s="669"/>
      <c r="BL250" s="669"/>
      <c r="BM250" s="669"/>
      <c r="BN250" s="669"/>
      <c r="BO250" s="694"/>
    </row>
    <row r="251" spans="1:238" ht="31.5" customHeight="1">
      <c r="A251" s="919"/>
      <c r="B251" s="741" t="s">
        <v>263</v>
      </c>
      <c r="C251" s="741"/>
      <c r="D251" s="741"/>
      <c r="E251" s="741"/>
      <c r="F251" s="741"/>
      <c r="G251" s="741"/>
      <c r="H251" s="741" t="s">
        <v>263</v>
      </c>
      <c r="I251" s="741"/>
      <c r="J251" s="741"/>
      <c r="K251" s="741"/>
      <c r="L251" s="741"/>
      <c r="M251" s="741"/>
      <c r="N251" s="741" t="s">
        <v>263</v>
      </c>
      <c r="O251" s="741"/>
      <c r="P251" s="741"/>
      <c r="Q251" s="741"/>
      <c r="R251" s="741"/>
      <c r="S251" s="741"/>
      <c r="T251" s="741" t="s">
        <v>263</v>
      </c>
      <c r="U251" s="741"/>
      <c r="V251" s="741"/>
      <c r="W251" s="741"/>
      <c r="X251" s="741"/>
      <c r="Y251" s="741"/>
      <c r="Z251" s="741" t="s">
        <v>263</v>
      </c>
      <c r="AA251" s="741"/>
      <c r="AB251" s="741"/>
      <c r="AC251" s="741"/>
      <c r="AD251" s="741"/>
      <c r="AE251" s="741"/>
      <c r="AF251" s="741" t="s">
        <v>263</v>
      </c>
      <c r="AG251" s="741"/>
      <c r="AH251" s="741"/>
      <c r="AI251" s="741"/>
      <c r="AJ251" s="741"/>
      <c r="AK251" s="741"/>
      <c r="AL251" s="741" t="s">
        <v>263</v>
      </c>
      <c r="AM251" s="741"/>
      <c r="AN251" s="741"/>
      <c r="AO251" s="741"/>
      <c r="AP251" s="741"/>
      <c r="AQ251" s="741"/>
      <c r="AR251" s="741" t="s">
        <v>263</v>
      </c>
      <c r="AS251" s="741"/>
      <c r="AT251" s="741"/>
      <c r="AU251" s="741"/>
      <c r="AV251" s="741"/>
      <c r="AW251" s="741"/>
      <c r="AX251" s="741" t="s">
        <v>263</v>
      </c>
      <c r="AY251" s="741"/>
      <c r="AZ251" s="741"/>
      <c r="BA251" s="741"/>
      <c r="BB251" s="741"/>
      <c r="BC251" s="741"/>
      <c r="BD251" s="741" t="s">
        <v>263</v>
      </c>
      <c r="BE251" s="741"/>
      <c r="BF251" s="741"/>
      <c r="BG251" s="741"/>
      <c r="BH251" s="741"/>
      <c r="BI251" s="745"/>
      <c r="BJ251" s="741" t="s">
        <v>263</v>
      </c>
      <c r="BK251" s="741"/>
      <c r="BL251" s="741"/>
      <c r="BM251" s="741"/>
      <c r="BN251" s="741"/>
      <c r="BO251" s="745"/>
    </row>
    <row r="252" spans="1:238" ht="15" customHeight="1">
      <c r="A252" s="919"/>
      <c r="B252" s="787" t="s">
        <v>30</v>
      </c>
      <c r="C252" s="787"/>
      <c r="D252" s="787" t="s">
        <v>29</v>
      </c>
      <c r="E252" s="787"/>
      <c r="F252" s="787" t="s">
        <v>28</v>
      </c>
      <c r="G252" s="787"/>
      <c r="H252" s="787" t="s">
        <v>30</v>
      </c>
      <c r="I252" s="787"/>
      <c r="J252" s="787" t="s">
        <v>29</v>
      </c>
      <c r="K252" s="787"/>
      <c r="L252" s="787" t="s">
        <v>28</v>
      </c>
      <c r="M252" s="787"/>
      <c r="N252" s="787" t="s">
        <v>30</v>
      </c>
      <c r="O252" s="787"/>
      <c r="P252" s="787" t="s">
        <v>29</v>
      </c>
      <c r="Q252" s="787"/>
      <c r="R252" s="787" t="s">
        <v>28</v>
      </c>
      <c r="S252" s="787"/>
      <c r="T252" s="787" t="s">
        <v>30</v>
      </c>
      <c r="U252" s="787"/>
      <c r="V252" s="787" t="s">
        <v>29</v>
      </c>
      <c r="W252" s="787"/>
      <c r="X252" s="787" t="s">
        <v>28</v>
      </c>
      <c r="Y252" s="787"/>
      <c r="Z252" s="787" t="s">
        <v>30</v>
      </c>
      <c r="AA252" s="787"/>
      <c r="AB252" s="787" t="s">
        <v>29</v>
      </c>
      <c r="AC252" s="787"/>
      <c r="AD252" s="787" t="s">
        <v>28</v>
      </c>
      <c r="AE252" s="787"/>
      <c r="AF252" s="787" t="s">
        <v>30</v>
      </c>
      <c r="AG252" s="787"/>
      <c r="AH252" s="787" t="s">
        <v>29</v>
      </c>
      <c r="AI252" s="787"/>
      <c r="AJ252" s="787" t="s">
        <v>28</v>
      </c>
      <c r="AK252" s="787"/>
      <c r="AL252" s="787" t="s">
        <v>30</v>
      </c>
      <c r="AM252" s="787"/>
      <c r="AN252" s="787" t="s">
        <v>29</v>
      </c>
      <c r="AO252" s="787"/>
      <c r="AP252" s="787" t="s">
        <v>28</v>
      </c>
      <c r="AQ252" s="787"/>
      <c r="AR252" s="787" t="s">
        <v>30</v>
      </c>
      <c r="AS252" s="787"/>
      <c r="AT252" s="787" t="s">
        <v>29</v>
      </c>
      <c r="AU252" s="787"/>
      <c r="AV252" s="787" t="s">
        <v>28</v>
      </c>
      <c r="AW252" s="787"/>
      <c r="AX252" s="787" t="s">
        <v>30</v>
      </c>
      <c r="AY252" s="787"/>
      <c r="AZ252" s="787" t="s">
        <v>29</v>
      </c>
      <c r="BA252" s="787"/>
      <c r="BB252" s="787" t="s">
        <v>28</v>
      </c>
      <c r="BC252" s="787"/>
      <c r="BD252" s="787" t="s">
        <v>30</v>
      </c>
      <c r="BE252" s="787"/>
      <c r="BF252" s="787" t="s">
        <v>29</v>
      </c>
      <c r="BG252" s="787"/>
      <c r="BH252" s="787" t="s">
        <v>28</v>
      </c>
      <c r="BI252" s="788"/>
      <c r="BJ252" s="787" t="s">
        <v>30</v>
      </c>
      <c r="BK252" s="787"/>
      <c r="BL252" s="787" t="s">
        <v>29</v>
      </c>
      <c r="BM252" s="787"/>
      <c r="BN252" s="787" t="s">
        <v>28</v>
      </c>
      <c r="BO252" s="788"/>
    </row>
    <row r="253" spans="1:238" ht="15.75" customHeight="1" thickBot="1">
      <c r="A253" s="920"/>
      <c r="B253" s="185" t="s">
        <v>7</v>
      </c>
      <c r="C253" s="185" t="s">
        <v>8</v>
      </c>
      <c r="D253" s="185" t="s">
        <v>7</v>
      </c>
      <c r="E253" s="185" t="s">
        <v>8</v>
      </c>
      <c r="F253" s="185" t="s">
        <v>7</v>
      </c>
      <c r="G253" s="185" t="s">
        <v>8</v>
      </c>
      <c r="H253" s="185" t="s">
        <v>7</v>
      </c>
      <c r="I253" s="185" t="s">
        <v>8</v>
      </c>
      <c r="J253" s="185" t="s">
        <v>7</v>
      </c>
      <c r="K253" s="185" t="s">
        <v>8</v>
      </c>
      <c r="L253" s="185" t="s">
        <v>7</v>
      </c>
      <c r="M253" s="185" t="s">
        <v>8</v>
      </c>
      <c r="N253" s="185" t="s">
        <v>7</v>
      </c>
      <c r="O253" s="185" t="s">
        <v>8</v>
      </c>
      <c r="P253" s="185" t="s">
        <v>7</v>
      </c>
      <c r="Q253" s="185" t="s">
        <v>8</v>
      </c>
      <c r="R253" s="185" t="s">
        <v>7</v>
      </c>
      <c r="S253" s="185" t="s">
        <v>8</v>
      </c>
      <c r="T253" s="185" t="s">
        <v>7</v>
      </c>
      <c r="U253" s="185" t="s">
        <v>8</v>
      </c>
      <c r="V253" s="185" t="s">
        <v>7</v>
      </c>
      <c r="W253" s="185" t="s">
        <v>8</v>
      </c>
      <c r="X253" s="185" t="s">
        <v>7</v>
      </c>
      <c r="Y253" s="185" t="s">
        <v>8</v>
      </c>
      <c r="Z253" s="185" t="s">
        <v>7</v>
      </c>
      <c r="AA253" s="185" t="s">
        <v>8</v>
      </c>
      <c r="AB253" s="185" t="s">
        <v>7</v>
      </c>
      <c r="AC253" s="185" t="s">
        <v>8</v>
      </c>
      <c r="AD253" s="185" t="s">
        <v>7</v>
      </c>
      <c r="AE253" s="185" t="s">
        <v>8</v>
      </c>
      <c r="AF253" s="185" t="s">
        <v>7</v>
      </c>
      <c r="AG253" s="185" t="s">
        <v>8</v>
      </c>
      <c r="AH253" s="185" t="s">
        <v>7</v>
      </c>
      <c r="AI253" s="185" t="s">
        <v>8</v>
      </c>
      <c r="AJ253" s="185" t="s">
        <v>7</v>
      </c>
      <c r="AK253" s="185" t="s">
        <v>8</v>
      </c>
      <c r="AL253" s="185" t="s">
        <v>7</v>
      </c>
      <c r="AM253" s="185" t="s">
        <v>8</v>
      </c>
      <c r="AN253" s="185" t="s">
        <v>7</v>
      </c>
      <c r="AO253" s="185" t="s">
        <v>8</v>
      </c>
      <c r="AP253" s="185" t="s">
        <v>7</v>
      </c>
      <c r="AQ253" s="185" t="s">
        <v>8</v>
      </c>
      <c r="AR253" s="185" t="s">
        <v>7</v>
      </c>
      <c r="AS253" s="185" t="s">
        <v>8</v>
      </c>
      <c r="AT253" s="185" t="s">
        <v>7</v>
      </c>
      <c r="AU253" s="185" t="s">
        <v>8</v>
      </c>
      <c r="AV253" s="185" t="s">
        <v>7</v>
      </c>
      <c r="AW253" s="185" t="s">
        <v>8</v>
      </c>
      <c r="AX253" s="185" t="s">
        <v>7</v>
      </c>
      <c r="AY253" s="185" t="s">
        <v>8</v>
      </c>
      <c r="AZ253" s="185" t="s">
        <v>7</v>
      </c>
      <c r="BA253" s="185" t="s">
        <v>8</v>
      </c>
      <c r="BB253" s="185" t="s">
        <v>7</v>
      </c>
      <c r="BC253" s="185" t="s">
        <v>8</v>
      </c>
      <c r="BD253" s="185" t="s">
        <v>7</v>
      </c>
      <c r="BE253" s="185" t="s">
        <v>8</v>
      </c>
      <c r="BF253" s="185" t="s">
        <v>7</v>
      </c>
      <c r="BG253" s="185" t="s">
        <v>8</v>
      </c>
      <c r="BH253" s="185" t="s">
        <v>7</v>
      </c>
      <c r="BI253" s="447" t="s">
        <v>8</v>
      </c>
      <c r="BJ253" s="185" t="s">
        <v>7</v>
      </c>
      <c r="BK253" s="185" t="s">
        <v>8</v>
      </c>
      <c r="BL253" s="185" t="s">
        <v>7</v>
      </c>
      <c r="BM253" s="185" t="s">
        <v>8</v>
      </c>
      <c r="BN253" s="185" t="s">
        <v>7</v>
      </c>
      <c r="BO253" s="447" t="s">
        <v>8</v>
      </c>
    </row>
    <row r="254" spans="1:238">
      <c r="A254" s="472" t="s">
        <v>5</v>
      </c>
      <c r="B254" s="423">
        <v>154</v>
      </c>
      <c r="C254" s="446">
        <v>0.57999999999999996</v>
      </c>
      <c r="D254" s="423">
        <v>17</v>
      </c>
      <c r="E254" s="446">
        <v>6.4000000000000001E-2</v>
      </c>
      <c r="F254" s="423">
        <v>94</v>
      </c>
      <c r="G254" s="446">
        <v>0.35599999999999998</v>
      </c>
      <c r="H254" s="423">
        <v>6</v>
      </c>
      <c r="I254" s="446">
        <v>1</v>
      </c>
      <c r="J254" s="423">
        <v>0</v>
      </c>
      <c r="K254" s="446">
        <v>0</v>
      </c>
      <c r="L254" s="423">
        <v>0</v>
      </c>
      <c r="M254" s="446">
        <v>0</v>
      </c>
      <c r="N254" s="423">
        <v>0</v>
      </c>
      <c r="O254" s="446">
        <v>0</v>
      </c>
      <c r="P254" s="423">
        <v>87</v>
      </c>
      <c r="Q254" s="446">
        <v>1</v>
      </c>
      <c r="R254" s="423">
        <v>0</v>
      </c>
      <c r="S254" s="446">
        <v>0</v>
      </c>
      <c r="T254" s="423">
        <v>220</v>
      </c>
      <c r="U254" s="446">
        <v>0.155</v>
      </c>
      <c r="V254" s="423">
        <v>703</v>
      </c>
      <c r="W254" s="446">
        <v>0.495</v>
      </c>
      <c r="X254" s="423">
        <v>497</v>
      </c>
      <c r="Y254" s="446">
        <v>0.35</v>
      </c>
      <c r="Z254" s="423">
        <v>0</v>
      </c>
      <c r="AA254" s="446">
        <v>0</v>
      </c>
      <c r="AB254" s="423">
        <v>18</v>
      </c>
      <c r="AC254" s="446">
        <v>1</v>
      </c>
      <c r="AD254" s="423">
        <v>0</v>
      </c>
      <c r="AE254" s="446">
        <v>0</v>
      </c>
      <c r="AF254" s="423">
        <v>25023</v>
      </c>
      <c r="AG254" s="446">
        <v>0.17</v>
      </c>
      <c r="AH254" s="423">
        <v>83246</v>
      </c>
      <c r="AI254" s="446">
        <v>0.56599999999999995</v>
      </c>
      <c r="AJ254" s="423">
        <v>38931</v>
      </c>
      <c r="AK254" s="446">
        <v>0.26400000000000001</v>
      </c>
      <c r="AL254" s="423">
        <v>46</v>
      </c>
      <c r="AM254" s="446">
        <v>0.28499999999999998</v>
      </c>
      <c r="AN254" s="423">
        <v>28</v>
      </c>
      <c r="AO254" s="446">
        <v>0.17100000000000001</v>
      </c>
      <c r="AP254" s="423">
        <v>87</v>
      </c>
      <c r="AQ254" s="446">
        <v>0.54400000000000004</v>
      </c>
      <c r="AR254" s="423">
        <v>7</v>
      </c>
      <c r="AS254" s="446">
        <v>1</v>
      </c>
      <c r="AT254" s="423">
        <v>0</v>
      </c>
      <c r="AU254" s="446">
        <v>0</v>
      </c>
      <c r="AV254" s="423">
        <v>0</v>
      </c>
      <c r="AW254" s="446">
        <v>0</v>
      </c>
      <c r="AX254" s="444">
        <v>90</v>
      </c>
      <c r="AY254" s="445">
        <v>1</v>
      </c>
      <c r="AZ254" s="444">
        <v>0</v>
      </c>
      <c r="BA254" s="445">
        <v>0</v>
      </c>
      <c r="BB254" s="444">
        <v>0</v>
      </c>
      <c r="BC254" s="445">
        <v>0</v>
      </c>
      <c r="BD254" s="444">
        <v>414</v>
      </c>
      <c r="BE254" s="445">
        <v>0.25800000000000001</v>
      </c>
      <c r="BF254" s="444">
        <v>690</v>
      </c>
      <c r="BG254" s="445">
        <v>0.43</v>
      </c>
      <c r="BH254" s="444">
        <v>502</v>
      </c>
      <c r="BI254" s="417">
        <v>0.313</v>
      </c>
      <c r="BJ254" s="444">
        <v>0</v>
      </c>
      <c r="BK254" s="445">
        <v>0</v>
      </c>
      <c r="BL254" s="444">
        <v>0</v>
      </c>
      <c r="BM254" s="445">
        <v>0</v>
      </c>
      <c r="BN254" s="444">
        <v>0</v>
      </c>
      <c r="BO254" s="417">
        <v>0</v>
      </c>
    </row>
    <row r="255" spans="1:238">
      <c r="A255" s="471" t="s">
        <v>309</v>
      </c>
      <c r="B255" s="470">
        <v>0</v>
      </c>
      <c r="C255" s="469">
        <v>0</v>
      </c>
      <c r="D255" s="470">
        <v>0</v>
      </c>
      <c r="E255" s="469">
        <v>0</v>
      </c>
      <c r="F255" s="470">
        <v>0</v>
      </c>
      <c r="G255" s="469">
        <v>0</v>
      </c>
      <c r="H255" s="470">
        <v>0</v>
      </c>
      <c r="I255" s="469">
        <v>0</v>
      </c>
      <c r="J255" s="470">
        <v>0</v>
      </c>
      <c r="K255" s="469">
        <v>0</v>
      </c>
      <c r="L255" s="470">
        <v>0</v>
      </c>
      <c r="M255" s="469">
        <v>0</v>
      </c>
      <c r="N255" s="470">
        <v>0</v>
      </c>
      <c r="O255" s="469">
        <v>0</v>
      </c>
      <c r="P255" s="470">
        <v>0</v>
      </c>
      <c r="Q255" s="469">
        <v>0</v>
      </c>
      <c r="R255" s="470">
        <v>0</v>
      </c>
      <c r="S255" s="469">
        <v>0</v>
      </c>
      <c r="T255" s="470">
        <v>0</v>
      </c>
      <c r="U255" s="469">
        <v>0</v>
      </c>
      <c r="V255" s="470">
        <v>47</v>
      </c>
      <c r="W255" s="469">
        <v>1</v>
      </c>
      <c r="X255" s="470">
        <v>0</v>
      </c>
      <c r="Y255" s="469">
        <v>0</v>
      </c>
      <c r="Z255" s="470">
        <v>0</v>
      </c>
      <c r="AA255" s="469">
        <v>0</v>
      </c>
      <c r="AB255" s="470">
        <v>0</v>
      </c>
      <c r="AC255" s="469">
        <v>0</v>
      </c>
      <c r="AD255" s="470">
        <v>0</v>
      </c>
      <c r="AE255" s="469">
        <v>0</v>
      </c>
      <c r="AF255" s="470">
        <v>693</v>
      </c>
      <c r="AG255" s="469">
        <v>0.29099999999999998</v>
      </c>
      <c r="AH255" s="470">
        <v>1381</v>
      </c>
      <c r="AI255" s="469">
        <v>0.57999999999999996</v>
      </c>
      <c r="AJ255" s="470">
        <v>308</v>
      </c>
      <c r="AK255" s="469">
        <v>0.129</v>
      </c>
      <c r="AL255" s="470">
        <v>0</v>
      </c>
      <c r="AM255" s="469">
        <v>0</v>
      </c>
      <c r="AN255" s="470">
        <v>0</v>
      </c>
      <c r="AO255" s="469">
        <v>0</v>
      </c>
      <c r="AP255" s="470">
        <v>0</v>
      </c>
      <c r="AQ255" s="469">
        <v>0</v>
      </c>
      <c r="AR255" s="470">
        <v>0</v>
      </c>
      <c r="AS255" s="469">
        <v>0</v>
      </c>
      <c r="AT255" s="470">
        <v>0</v>
      </c>
      <c r="AU255" s="469">
        <v>0</v>
      </c>
      <c r="AV255" s="470">
        <v>0</v>
      </c>
      <c r="AW255" s="469">
        <v>0</v>
      </c>
      <c r="AX255" s="467">
        <v>0</v>
      </c>
      <c r="AY255" s="468">
        <v>0</v>
      </c>
      <c r="AZ255" s="467">
        <v>0</v>
      </c>
      <c r="BA255" s="468">
        <v>0</v>
      </c>
      <c r="BB255" s="467">
        <v>0</v>
      </c>
      <c r="BC255" s="468">
        <v>0</v>
      </c>
      <c r="BD255" s="467">
        <v>94</v>
      </c>
      <c r="BE255" s="468">
        <v>0.66700000000000004</v>
      </c>
      <c r="BF255" s="467">
        <v>47</v>
      </c>
      <c r="BG255" s="468">
        <v>0.33300000000000002</v>
      </c>
      <c r="BH255" s="467">
        <v>0</v>
      </c>
      <c r="BI255" s="466">
        <v>0</v>
      </c>
      <c r="BJ255" s="467">
        <v>0</v>
      </c>
      <c r="BK255" s="468">
        <v>0</v>
      </c>
      <c r="BL255" s="467">
        <v>0</v>
      </c>
      <c r="BM255" s="468">
        <v>0</v>
      </c>
      <c r="BN255" s="467">
        <v>0</v>
      </c>
      <c r="BO255" s="466">
        <v>0</v>
      </c>
    </row>
    <row r="256" spans="1:238">
      <c r="A256" s="471" t="s">
        <v>308</v>
      </c>
      <c r="B256" s="470">
        <v>0</v>
      </c>
      <c r="C256" s="469">
        <v>0</v>
      </c>
      <c r="D256" s="470">
        <v>0</v>
      </c>
      <c r="E256" s="469">
        <v>0</v>
      </c>
      <c r="F256" s="470">
        <v>0</v>
      </c>
      <c r="G256" s="469">
        <v>0</v>
      </c>
      <c r="H256" s="470">
        <v>0</v>
      </c>
      <c r="I256" s="469">
        <v>0</v>
      </c>
      <c r="J256" s="470">
        <v>0</v>
      </c>
      <c r="K256" s="469">
        <v>0</v>
      </c>
      <c r="L256" s="470">
        <v>0</v>
      </c>
      <c r="M256" s="469">
        <v>0</v>
      </c>
      <c r="N256" s="470">
        <v>0</v>
      </c>
      <c r="O256" s="469">
        <v>0</v>
      </c>
      <c r="P256" s="470">
        <v>0</v>
      </c>
      <c r="Q256" s="469">
        <v>0</v>
      </c>
      <c r="R256" s="470">
        <v>0</v>
      </c>
      <c r="S256" s="469">
        <v>0</v>
      </c>
      <c r="T256" s="470">
        <v>0</v>
      </c>
      <c r="U256" s="469">
        <v>0</v>
      </c>
      <c r="V256" s="470">
        <v>96</v>
      </c>
      <c r="W256" s="469">
        <v>1</v>
      </c>
      <c r="X256" s="470">
        <v>0</v>
      </c>
      <c r="Y256" s="469">
        <v>0</v>
      </c>
      <c r="Z256" s="470">
        <v>0</v>
      </c>
      <c r="AA256" s="469">
        <v>0</v>
      </c>
      <c r="AB256" s="470">
        <v>0</v>
      </c>
      <c r="AC256" s="469">
        <v>0</v>
      </c>
      <c r="AD256" s="470">
        <v>0</v>
      </c>
      <c r="AE256" s="469">
        <v>0</v>
      </c>
      <c r="AF256" s="470">
        <v>434</v>
      </c>
      <c r="AG256" s="469">
        <v>6.3E-2</v>
      </c>
      <c r="AH256" s="470">
        <v>4074</v>
      </c>
      <c r="AI256" s="469">
        <v>0.58899999999999997</v>
      </c>
      <c r="AJ256" s="470">
        <v>2408</v>
      </c>
      <c r="AK256" s="469">
        <v>0.34799999999999998</v>
      </c>
      <c r="AL256" s="470">
        <v>0</v>
      </c>
      <c r="AM256" s="469">
        <v>0</v>
      </c>
      <c r="AN256" s="470">
        <v>0</v>
      </c>
      <c r="AO256" s="469">
        <v>0</v>
      </c>
      <c r="AP256" s="470">
        <v>0</v>
      </c>
      <c r="AQ256" s="469">
        <v>0</v>
      </c>
      <c r="AR256" s="470">
        <v>7</v>
      </c>
      <c r="AS256" s="469">
        <v>1</v>
      </c>
      <c r="AT256" s="470">
        <v>0</v>
      </c>
      <c r="AU256" s="469">
        <v>0</v>
      </c>
      <c r="AV256" s="470">
        <v>0</v>
      </c>
      <c r="AW256" s="469">
        <v>0</v>
      </c>
      <c r="AX256" s="467">
        <v>0</v>
      </c>
      <c r="AY256" s="468">
        <v>0</v>
      </c>
      <c r="AZ256" s="467">
        <v>0</v>
      </c>
      <c r="BA256" s="468">
        <v>0</v>
      </c>
      <c r="BB256" s="467">
        <v>0</v>
      </c>
      <c r="BC256" s="468">
        <v>0</v>
      </c>
      <c r="BD256" s="467">
        <v>18</v>
      </c>
      <c r="BE256" s="468">
        <v>9.6000000000000002E-2</v>
      </c>
      <c r="BF256" s="467">
        <v>41</v>
      </c>
      <c r="BG256" s="468">
        <v>0.215</v>
      </c>
      <c r="BH256" s="467">
        <v>131</v>
      </c>
      <c r="BI256" s="466">
        <v>0.68899999999999995</v>
      </c>
      <c r="BJ256" s="467">
        <v>0</v>
      </c>
      <c r="BK256" s="468">
        <v>0</v>
      </c>
      <c r="BL256" s="467">
        <v>0</v>
      </c>
      <c r="BM256" s="468">
        <v>0</v>
      </c>
      <c r="BN256" s="467">
        <v>0</v>
      </c>
      <c r="BO256" s="466">
        <v>0</v>
      </c>
    </row>
    <row r="257" spans="1:67">
      <c r="A257" s="471" t="s">
        <v>307</v>
      </c>
      <c r="B257" s="470">
        <v>0</v>
      </c>
      <c r="C257" s="469">
        <v>0</v>
      </c>
      <c r="D257" s="470">
        <v>0</v>
      </c>
      <c r="E257" s="469">
        <v>0</v>
      </c>
      <c r="F257" s="470">
        <v>90</v>
      </c>
      <c r="G257" s="469">
        <v>1</v>
      </c>
      <c r="H257" s="470">
        <v>0</v>
      </c>
      <c r="I257" s="469">
        <v>0</v>
      </c>
      <c r="J257" s="470">
        <v>0</v>
      </c>
      <c r="K257" s="469">
        <v>0</v>
      </c>
      <c r="L257" s="470">
        <v>0</v>
      </c>
      <c r="M257" s="469">
        <v>0</v>
      </c>
      <c r="N257" s="470">
        <v>0</v>
      </c>
      <c r="O257" s="469">
        <v>0</v>
      </c>
      <c r="P257" s="470">
        <v>0</v>
      </c>
      <c r="Q257" s="469">
        <v>0</v>
      </c>
      <c r="R257" s="470">
        <v>0</v>
      </c>
      <c r="S257" s="469">
        <v>0</v>
      </c>
      <c r="T257" s="470">
        <v>0</v>
      </c>
      <c r="U257" s="469">
        <v>0</v>
      </c>
      <c r="V257" s="470">
        <v>152</v>
      </c>
      <c r="W257" s="469">
        <v>0.45900000000000002</v>
      </c>
      <c r="X257" s="470">
        <v>179</v>
      </c>
      <c r="Y257" s="469">
        <v>0.54100000000000004</v>
      </c>
      <c r="Z257" s="470">
        <v>0</v>
      </c>
      <c r="AA257" s="469">
        <v>0</v>
      </c>
      <c r="AB257" s="470">
        <v>0</v>
      </c>
      <c r="AC257" s="469">
        <v>0</v>
      </c>
      <c r="AD257" s="470">
        <v>0</v>
      </c>
      <c r="AE257" s="469">
        <v>0</v>
      </c>
      <c r="AF257" s="470">
        <v>1690</v>
      </c>
      <c r="AG257" s="469">
        <v>0.16300000000000001</v>
      </c>
      <c r="AH257" s="470">
        <v>5717</v>
      </c>
      <c r="AI257" s="469">
        <v>0.55000000000000004</v>
      </c>
      <c r="AJ257" s="470">
        <v>2993</v>
      </c>
      <c r="AK257" s="469">
        <v>0.28799999999999998</v>
      </c>
      <c r="AL257" s="470">
        <v>0</v>
      </c>
      <c r="AM257" s="469">
        <v>0</v>
      </c>
      <c r="AN257" s="470">
        <v>0</v>
      </c>
      <c r="AO257" s="469">
        <v>0</v>
      </c>
      <c r="AP257" s="470">
        <v>0</v>
      </c>
      <c r="AQ257" s="469">
        <v>0</v>
      </c>
      <c r="AR257" s="470">
        <v>0</v>
      </c>
      <c r="AS257" s="469">
        <v>0</v>
      </c>
      <c r="AT257" s="470">
        <v>0</v>
      </c>
      <c r="AU257" s="469">
        <v>0</v>
      </c>
      <c r="AV257" s="470">
        <v>0</v>
      </c>
      <c r="AW257" s="469">
        <v>0</v>
      </c>
      <c r="AX257" s="467">
        <v>90</v>
      </c>
      <c r="AY257" s="468">
        <v>1</v>
      </c>
      <c r="AZ257" s="467">
        <v>0</v>
      </c>
      <c r="BA257" s="468">
        <v>0</v>
      </c>
      <c r="BB257" s="467">
        <v>0</v>
      </c>
      <c r="BC257" s="468">
        <v>0</v>
      </c>
      <c r="BD257" s="467">
        <v>0</v>
      </c>
      <c r="BE257" s="468">
        <v>0</v>
      </c>
      <c r="BF257" s="467">
        <v>0</v>
      </c>
      <c r="BG257" s="468">
        <v>0</v>
      </c>
      <c r="BH257" s="467">
        <v>62</v>
      </c>
      <c r="BI257" s="466">
        <v>1</v>
      </c>
      <c r="BJ257" s="467">
        <v>0</v>
      </c>
      <c r="BK257" s="468">
        <v>0</v>
      </c>
      <c r="BL257" s="467">
        <v>0</v>
      </c>
      <c r="BM257" s="468">
        <v>0</v>
      </c>
      <c r="BN257" s="467">
        <v>0</v>
      </c>
      <c r="BO257" s="466">
        <v>0</v>
      </c>
    </row>
    <row r="258" spans="1:67">
      <c r="A258" s="471" t="s">
        <v>306</v>
      </c>
      <c r="B258" s="470">
        <v>0</v>
      </c>
      <c r="C258" s="469">
        <v>0</v>
      </c>
      <c r="D258" s="470">
        <v>0</v>
      </c>
      <c r="E258" s="469">
        <v>0</v>
      </c>
      <c r="F258" s="470">
        <v>0</v>
      </c>
      <c r="G258" s="469">
        <v>0</v>
      </c>
      <c r="H258" s="470">
        <v>0</v>
      </c>
      <c r="I258" s="469">
        <v>0</v>
      </c>
      <c r="J258" s="470">
        <v>0</v>
      </c>
      <c r="K258" s="469">
        <v>0</v>
      </c>
      <c r="L258" s="470">
        <v>0</v>
      </c>
      <c r="M258" s="469">
        <v>0</v>
      </c>
      <c r="N258" s="470">
        <v>0</v>
      </c>
      <c r="O258" s="469">
        <v>0</v>
      </c>
      <c r="P258" s="470">
        <v>0</v>
      </c>
      <c r="Q258" s="469">
        <v>0</v>
      </c>
      <c r="R258" s="470">
        <v>0</v>
      </c>
      <c r="S258" s="469">
        <v>0</v>
      </c>
      <c r="T258" s="470">
        <v>0</v>
      </c>
      <c r="U258" s="469">
        <v>0</v>
      </c>
      <c r="V258" s="470">
        <v>79</v>
      </c>
      <c r="W258" s="469">
        <v>1</v>
      </c>
      <c r="X258" s="470">
        <v>0</v>
      </c>
      <c r="Y258" s="469">
        <v>0</v>
      </c>
      <c r="Z258" s="470">
        <v>0</v>
      </c>
      <c r="AA258" s="469">
        <v>0</v>
      </c>
      <c r="AB258" s="470">
        <v>0</v>
      </c>
      <c r="AC258" s="469">
        <v>0</v>
      </c>
      <c r="AD258" s="470">
        <v>0</v>
      </c>
      <c r="AE258" s="469">
        <v>0</v>
      </c>
      <c r="AF258" s="470">
        <v>2286</v>
      </c>
      <c r="AG258" s="469">
        <v>0.23499999999999999</v>
      </c>
      <c r="AH258" s="470">
        <v>5540</v>
      </c>
      <c r="AI258" s="469">
        <v>0.57099999999999995</v>
      </c>
      <c r="AJ258" s="470">
        <v>1881</v>
      </c>
      <c r="AK258" s="469">
        <v>0.19400000000000001</v>
      </c>
      <c r="AL258" s="470">
        <v>0</v>
      </c>
      <c r="AM258" s="469">
        <v>0</v>
      </c>
      <c r="AN258" s="470">
        <v>0</v>
      </c>
      <c r="AO258" s="469">
        <v>0</v>
      </c>
      <c r="AP258" s="470">
        <v>0</v>
      </c>
      <c r="AQ258" s="469">
        <v>0</v>
      </c>
      <c r="AR258" s="470">
        <v>0</v>
      </c>
      <c r="AS258" s="469">
        <v>0</v>
      </c>
      <c r="AT258" s="470">
        <v>0</v>
      </c>
      <c r="AU258" s="469">
        <v>0</v>
      </c>
      <c r="AV258" s="470">
        <v>0</v>
      </c>
      <c r="AW258" s="469">
        <v>0</v>
      </c>
      <c r="AX258" s="467">
        <v>0</v>
      </c>
      <c r="AY258" s="468">
        <v>0</v>
      </c>
      <c r="AZ258" s="467">
        <v>0</v>
      </c>
      <c r="BA258" s="468">
        <v>0</v>
      </c>
      <c r="BB258" s="467">
        <v>0</v>
      </c>
      <c r="BC258" s="468">
        <v>0</v>
      </c>
      <c r="BD258" s="467">
        <v>72</v>
      </c>
      <c r="BE258" s="468">
        <v>0.47599999999999998</v>
      </c>
      <c r="BF258" s="467">
        <v>72</v>
      </c>
      <c r="BG258" s="468">
        <v>0.48</v>
      </c>
      <c r="BH258" s="467">
        <v>7</v>
      </c>
      <c r="BI258" s="466">
        <v>4.3999999999999997E-2</v>
      </c>
      <c r="BJ258" s="467">
        <v>0</v>
      </c>
      <c r="BK258" s="468">
        <v>0</v>
      </c>
      <c r="BL258" s="467">
        <v>0</v>
      </c>
      <c r="BM258" s="468">
        <v>0</v>
      </c>
      <c r="BN258" s="467">
        <v>0</v>
      </c>
      <c r="BO258" s="466">
        <v>0</v>
      </c>
    </row>
    <row r="259" spans="1:67">
      <c r="A259" s="471" t="s">
        <v>305</v>
      </c>
      <c r="B259" s="470">
        <v>0</v>
      </c>
      <c r="C259" s="469">
        <v>0</v>
      </c>
      <c r="D259" s="470">
        <v>0</v>
      </c>
      <c r="E259" s="469">
        <v>0</v>
      </c>
      <c r="F259" s="470">
        <v>0</v>
      </c>
      <c r="G259" s="469">
        <v>0</v>
      </c>
      <c r="H259" s="470">
        <v>0</v>
      </c>
      <c r="I259" s="469">
        <v>0</v>
      </c>
      <c r="J259" s="470">
        <v>0</v>
      </c>
      <c r="K259" s="469">
        <v>0</v>
      </c>
      <c r="L259" s="470">
        <v>0</v>
      </c>
      <c r="M259" s="469">
        <v>0</v>
      </c>
      <c r="N259" s="470">
        <v>0</v>
      </c>
      <c r="O259" s="469">
        <v>0</v>
      </c>
      <c r="P259" s="470">
        <v>0</v>
      </c>
      <c r="Q259" s="469">
        <v>0</v>
      </c>
      <c r="R259" s="470">
        <v>0</v>
      </c>
      <c r="S259" s="469">
        <v>0</v>
      </c>
      <c r="T259" s="470">
        <v>109</v>
      </c>
      <c r="U259" s="469">
        <v>0.60199999999999998</v>
      </c>
      <c r="V259" s="470">
        <v>63</v>
      </c>
      <c r="W259" s="469">
        <v>0.34899999999999998</v>
      </c>
      <c r="X259" s="470">
        <v>9</v>
      </c>
      <c r="Y259" s="469">
        <v>4.9000000000000002E-2</v>
      </c>
      <c r="Z259" s="470">
        <v>0</v>
      </c>
      <c r="AA259" s="469">
        <v>0</v>
      </c>
      <c r="AB259" s="470">
        <v>0</v>
      </c>
      <c r="AC259" s="469">
        <v>0</v>
      </c>
      <c r="AD259" s="470">
        <v>0</v>
      </c>
      <c r="AE259" s="469">
        <v>0</v>
      </c>
      <c r="AF259" s="470">
        <v>2899</v>
      </c>
      <c r="AG259" s="469">
        <v>0.14699999999999999</v>
      </c>
      <c r="AH259" s="470">
        <v>11352</v>
      </c>
      <c r="AI259" s="469">
        <v>0.57699999999999996</v>
      </c>
      <c r="AJ259" s="470">
        <v>5425</v>
      </c>
      <c r="AK259" s="469">
        <v>0.27600000000000002</v>
      </c>
      <c r="AL259" s="470">
        <v>0</v>
      </c>
      <c r="AM259" s="469">
        <v>0</v>
      </c>
      <c r="AN259" s="470">
        <v>9</v>
      </c>
      <c r="AO259" s="469">
        <v>1</v>
      </c>
      <c r="AP259" s="470">
        <v>0</v>
      </c>
      <c r="AQ259" s="469">
        <v>0</v>
      </c>
      <c r="AR259" s="470">
        <v>0</v>
      </c>
      <c r="AS259" s="469">
        <v>0</v>
      </c>
      <c r="AT259" s="470">
        <v>0</v>
      </c>
      <c r="AU259" s="469">
        <v>0</v>
      </c>
      <c r="AV259" s="470">
        <v>0</v>
      </c>
      <c r="AW259" s="469">
        <v>0</v>
      </c>
      <c r="AX259" s="467">
        <v>0</v>
      </c>
      <c r="AY259" s="468">
        <v>0</v>
      </c>
      <c r="AZ259" s="467">
        <v>0</v>
      </c>
      <c r="BA259" s="468">
        <v>0</v>
      </c>
      <c r="BB259" s="467">
        <v>0</v>
      </c>
      <c r="BC259" s="468">
        <v>0</v>
      </c>
      <c r="BD259" s="467">
        <v>117</v>
      </c>
      <c r="BE259" s="468">
        <v>0.48799999999999999</v>
      </c>
      <c r="BF259" s="467">
        <v>123</v>
      </c>
      <c r="BG259" s="468">
        <v>0.51200000000000001</v>
      </c>
      <c r="BH259" s="467">
        <v>0</v>
      </c>
      <c r="BI259" s="466">
        <v>0</v>
      </c>
      <c r="BJ259" s="467">
        <v>0</v>
      </c>
      <c r="BK259" s="468">
        <v>0</v>
      </c>
      <c r="BL259" s="467">
        <v>0</v>
      </c>
      <c r="BM259" s="468">
        <v>0</v>
      </c>
      <c r="BN259" s="467">
        <v>0</v>
      </c>
      <c r="BO259" s="466">
        <v>0</v>
      </c>
    </row>
    <row r="260" spans="1:67" ht="24">
      <c r="A260" s="471" t="s">
        <v>304</v>
      </c>
      <c r="B260" s="470">
        <v>81</v>
      </c>
      <c r="C260" s="469">
        <v>0.86899999999999999</v>
      </c>
      <c r="D260" s="470">
        <v>12</v>
      </c>
      <c r="E260" s="469">
        <v>0.13100000000000001</v>
      </c>
      <c r="F260" s="470">
        <v>0</v>
      </c>
      <c r="G260" s="469">
        <v>0</v>
      </c>
      <c r="H260" s="470">
        <v>6</v>
      </c>
      <c r="I260" s="469">
        <v>1</v>
      </c>
      <c r="J260" s="470">
        <v>0</v>
      </c>
      <c r="K260" s="469">
        <v>0</v>
      </c>
      <c r="L260" s="470">
        <v>0</v>
      </c>
      <c r="M260" s="469">
        <v>0</v>
      </c>
      <c r="N260" s="470">
        <v>0</v>
      </c>
      <c r="O260" s="469">
        <v>0</v>
      </c>
      <c r="P260" s="470">
        <v>87</v>
      </c>
      <c r="Q260" s="469">
        <v>1</v>
      </c>
      <c r="R260" s="470">
        <v>0</v>
      </c>
      <c r="S260" s="469">
        <v>0</v>
      </c>
      <c r="T260" s="470">
        <v>104</v>
      </c>
      <c r="U260" s="469">
        <v>0.218</v>
      </c>
      <c r="V260" s="470">
        <v>200</v>
      </c>
      <c r="W260" s="469">
        <v>0.41799999999999998</v>
      </c>
      <c r="X260" s="470">
        <v>175</v>
      </c>
      <c r="Y260" s="469">
        <v>0.36399999999999999</v>
      </c>
      <c r="Z260" s="470">
        <v>0</v>
      </c>
      <c r="AA260" s="469">
        <v>0</v>
      </c>
      <c r="AB260" s="470">
        <v>18</v>
      </c>
      <c r="AC260" s="469">
        <v>1</v>
      </c>
      <c r="AD260" s="470">
        <v>0</v>
      </c>
      <c r="AE260" s="469">
        <v>0</v>
      </c>
      <c r="AF260" s="470">
        <v>8455</v>
      </c>
      <c r="AG260" s="469">
        <v>0.17299999999999999</v>
      </c>
      <c r="AH260" s="470">
        <v>26133</v>
      </c>
      <c r="AI260" s="469">
        <v>0.53500000000000003</v>
      </c>
      <c r="AJ260" s="470">
        <v>14270</v>
      </c>
      <c r="AK260" s="469">
        <v>0.29199999999999998</v>
      </c>
      <c r="AL260" s="470">
        <v>0</v>
      </c>
      <c r="AM260" s="469">
        <v>0</v>
      </c>
      <c r="AN260" s="470">
        <v>6</v>
      </c>
      <c r="AO260" s="469">
        <v>6.5000000000000002E-2</v>
      </c>
      <c r="AP260" s="470">
        <v>87</v>
      </c>
      <c r="AQ260" s="469">
        <v>0.93500000000000005</v>
      </c>
      <c r="AR260" s="470">
        <v>0</v>
      </c>
      <c r="AS260" s="469">
        <v>0</v>
      </c>
      <c r="AT260" s="470">
        <v>0</v>
      </c>
      <c r="AU260" s="469">
        <v>0</v>
      </c>
      <c r="AV260" s="470">
        <v>0</v>
      </c>
      <c r="AW260" s="469">
        <v>0</v>
      </c>
      <c r="AX260" s="467">
        <v>0</v>
      </c>
      <c r="AY260" s="468">
        <v>0</v>
      </c>
      <c r="AZ260" s="467">
        <v>0</v>
      </c>
      <c r="BA260" s="468">
        <v>0</v>
      </c>
      <c r="BB260" s="467">
        <v>0</v>
      </c>
      <c r="BC260" s="468">
        <v>0</v>
      </c>
      <c r="BD260" s="467">
        <v>32</v>
      </c>
      <c r="BE260" s="468">
        <v>0.11700000000000001</v>
      </c>
      <c r="BF260" s="467">
        <v>133</v>
      </c>
      <c r="BG260" s="468">
        <v>0.48199999999999998</v>
      </c>
      <c r="BH260" s="467">
        <v>111</v>
      </c>
      <c r="BI260" s="466">
        <v>0.40100000000000002</v>
      </c>
      <c r="BJ260" s="467">
        <v>0</v>
      </c>
      <c r="BK260" s="468">
        <v>0</v>
      </c>
      <c r="BL260" s="467">
        <v>0</v>
      </c>
      <c r="BM260" s="468">
        <v>0</v>
      </c>
      <c r="BN260" s="467">
        <v>0</v>
      </c>
      <c r="BO260" s="466">
        <v>0</v>
      </c>
    </row>
    <row r="261" spans="1:67" ht="24">
      <c r="A261" s="471" t="s">
        <v>303</v>
      </c>
      <c r="B261" s="470">
        <v>73</v>
      </c>
      <c r="C261" s="469">
        <v>0.88400000000000001</v>
      </c>
      <c r="D261" s="470">
        <v>5</v>
      </c>
      <c r="E261" s="469">
        <v>5.8000000000000003E-2</v>
      </c>
      <c r="F261" s="470">
        <v>5</v>
      </c>
      <c r="G261" s="469">
        <v>5.8000000000000003E-2</v>
      </c>
      <c r="H261" s="470">
        <v>0</v>
      </c>
      <c r="I261" s="469">
        <v>0</v>
      </c>
      <c r="J261" s="470">
        <v>0</v>
      </c>
      <c r="K261" s="469">
        <v>0</v>
      </c>
      <c r="L261" s="470">
        <v>0</v>
      </c>
      <c r="M261" s="469">
        <v>0</v>
      </c>
      <c r="N261" s="470">
        <v>0</v>
      </c>
      <c r="O261" s="469">
        <v>0</v>
      </c>
      <c r="P261" s="470">
        <v>0</v>
      </c>
      <c r="Q261" s="469">
        <v>0</v>
      </c>
      <c r="R261" s="470">
        <v>0</v>
      </c>
      <c r="S261" s="469">
        <v>0</v>
      </c>
      <c r="T261" s="470">
        <v>7</v>
      </c>
      <c r="U261" s="469">
        <v>3.4000000000000002E-2</v>
      </c>
      <c r="V261" s="470">
        <v>66</v>
      </c>
      <c r="W261" s="469">
        <v>0.317</v>
      </c>
      <c r="X261" s="470">
        <v>135</v>
      </c>
      <c r="Y261" s="469">
        <v>0.64900000000000002</v>
      </c>
      <c r="Z261" s="470">
        <v>0</v>
      </c>
      <c r="AA261" s="469">
        <v>0</v>
      </c>
      <c r="AB261" s="470">
        <v>0</v>
      </c>
      <c r="AC261" s="469">
        <v>0</v>
      </c>
      <c r="AD261" s="470">
        <v>0</v>
      </c>
      <c r="AE261" s="469">
        <v>0</v>
      </c>
      <c r="AF261" s="470">
        <v>8098</v>
      </c>
      <c r="AG261" s="469">
        <v>0.17100000000000001</v>
      </c>
      <c r="AH261" s="470">
        <v>28229</v>
      </c>
      <c r="AI261" s="469">
        <v>0.59599999999999997</v>
      </c>
      <c r="AJ261" s="470">
        <v>11061</v>
      </c>
      <c r="AK261" s="469">
        <v>0.23300000000000001</v>
      </c>
      <c r="AL261" s="470">
        <v>46</v>
      </c>
      <c r="AM261" s="469">
        <v>0.78500000000000003</v>
      </c>
      <c r="AN261" s="470">
        <v>13</v>
      </c>
      <c r="AO261" s="469">
        <v>0.215</v>
      </c>
      <c r="AP261" s="470">
        <v>0</v>
      </c>
      <c r="AQ261" s="469">
        <v>0</v>
      </c>
      <c r="AR261" s="470">
        <v>0</v>
      </c>
      <c r="AS261" s="469">
        <v>0</v>
      </c>
      <c r="AT261" s="470">
        <v>0</v>
      </c>
      <c r="AU261" s="469">
        <v>0</v>
      </c>
      <c r="AV261" s="470">
        <v>0</v>
      </c>
      <c r="AW261" s="469">
        <v>0</v>
      </c>
      <c r="AX261" s="467">
        <v>0</v>
      </c>
      <c r="AY261" s="468">
        <v>0</v>
      </c>
      <c r="AZ261" s="467">
        <v>0</v>
      </c>
      <c r="BA261" s="468">
        <v>0</v>
      </c>
      <c r="BB261" s="467">
        <v>0</v>
      </c>
      <c r="BC261" s="468">
        <v>0</v>
      </c>
      <c r="BD261" s="467">
        <v>80</v>
      </c>
      <c r="BE261" s="468">
        <v>0.16800000000000001</v>
      </c>
      <c r="BF261" s="467">
        <v>205</v>
      </c>
      <c r="BG261" s="468">
        <v>0.43099999999999999</v>
      </c>
      <c r="BH261" s="467">
        <v>191</v>
      </c>
      <c r="BI261" s="466">
        <v>0.40200000000000002</v>
      </c>
      <c r="BJ261" s="467">
        <v>0</v>
      </c>
      <c r="BK261" s="468">
        <v>0</v>
      </c>
      <c r="BL261" s="467">
        <v>0</v>
      </c>
      <c r="BM261" s="468">
        <v>0</v>
      </c>
      <c r="BN261" s="467">
        <v>0</v>
      </c>
      <c r="BO261" s="466">
        <v>0</v>
      </c>
    </row>
    <row r="262" spans="1:67" ht="15.75" thickBot="1">
      <c r="A262" s="473" t="s">
        <v>302</v>
      </c>
      <c r="B262" s="470">
        <v>0</v>
      </c>
      <c r="C262" s="469">
        <v>0</v>
      </c>
      <c r="D262" s="470">
        <v>0</v>
      </c>
      <c r="E262" s="469">
        <v>0</v>
      </c>
      <c r="F262" s="470">
        <v>0</v>
      </c>
      <c r="G262" s="469">
        <v>0</v>
      </c>
      <c r="H262" s="470">
        <v>0</v>
      </c>
      <c r="I262" s="469">
        <v>0</v>
      </c>
      <c r="J262" s="470">
        <v>0</v>
      </c>
      <c r="K262" s="469">
        <v>0</v>
      </c>
      <c r="L262" s="470">
        <v>0</v>
      </c>
      <c r="M262" s="469">
        <v>0</v>
      </c>
      <c r="N262" s="470">
        <v>0</v>
      </c>
      <c r="O262" s="469">
        <v>0</v>
      </c>
      <c r="P262" s="470">
        <v>0</v>
      </c>
      <c r="Q262" s="469">
        <v>0</v>
      </c>
      <c r="R262" s="470">
        <v>0</v>
      </c>
      <c r="S262" s="469">
        <v>0</v>
      </c>
      <c r="T262" s="470">
        <v>0</v>
      </c>
      <c r="U262" s="469">
        <v>0</v>
      </c>
      <c r="V262" s="470">
        <v>0</v>
      </c>
      <c r="W262" s="469">
        <v>0</v>
      </c>
      <c r="X262" s="470">
        <v>0</v>
      </c>
      <c r="Y262" s="469">
        <v>0</v>
      </c>
      <c r="Z262" s="470">
        <v>0</v>
      </c>
      <c r="AA262" s="469">
        <v>0</v>
      </c>
      <c r="AB262" s="470">
        <v>0</v>
      </c>
      <c r="AC262" s="469">
        <v>0</v>
      </c>
      <c r="AD262" s="470">
        <v>0</v>
      </c>
      <c r="AE262" s="469">
        <v>0</v>
      </c>
      <c r="AF262" s="470">
        <v>468</v>
      </c>
      <c r="AG262" s="469">
        <v>0.25</v>
      </c>
      <c r="AH262" s="470">
        <v>821</v>
      </c>
      <c r="AI262" s="469">
        <v>0.438</v>
      </c>
      <c r="AJ262" s="470">
        <v>586</v>
      </c>
      <c r="AK262" s="469">
        <v>0.313</v>
      </c>
      <c r="AL262" s="470">
        <v>0</v>
      </c>
      <c r="AM262" s="469">
        <v>0</v>
      </c>
      <c r="AN262" s="470">
        <v>0</v>
      </c>
      <c r="AO262" s="469">
        <v>0</v>
      </c>
      <c r="AP262" s="470">
        <v>0</v>
      </c>
      <c r="AQ262" s="469">
        <v>0</v>
      </c>
      <c r="AR262" s="470">
        <v>0</v>
      </c>
      <c r="AS262" s="469">
        <v>0</v>
      </c>
      <c r="AT262" s="470">
        <v>0</v>
      </c>
      <c r="AU262" s="469">
        <v>0</v>
      </c>
      <c r="AV262" s="470">
        <v>0</v>
      </c>
      <c r="AW262" s="469">
        <v>0</v>
      </c>
      <c r="AX262" s="467">
        <v>0</v>
      </c>
      <c r="AY262" s="468">
        <v>0</v>
      </c>
      <c r="AZ262" s="467">
        <v>0</v>
      </c>
      <c r="BA262" s="468">
        <v>0</v>
      </c>
      <c r="BB262" s="467">
        <v>0</v>
      </c>
      <c r="BC262" s="468">
        <v>0</v>
      </c>
      <c r="BD262" s="467">
        <v>0</v>
      </c>
      <c r="BE262" s="468">
        <v>0</v>
      </c>
      <c r="BF262" s="467">
        <v>68</v>
      </c>
      <c r="BG262" s="468">
        <v>1</v>
      </c>
      <c r="BH262" s="467">
        <v>0</v>
      </c>
      <c r="BI262" s="466">
        <v>0</v>
      </c>
      <c r="BJ262" s="467">
        <v>0</v>
      </c>
      <c r="BK262" s="468">
        <v>0</v>
      </c>
      <c r="BL262" s="467">
        <v>0</v>
      </c>
      <c r="BM262" s="468">
        <v>0</v>
      </c>
      <c r="BN262" s="467">
        <v>0</v>
      </c>
      <c r="BO262" s="466">
        <v>0</v>
      </c>
    </row>
    <row r="263" spans="1:67">
      <c r="A263" s="472" t="s">
        <v>4</v>
      </c>
      <c r="B263" s="423">
        <v>0</v>
      </c>
      <c r="C263" s="446">
        <v>0</v>
      </c>
      <c r="D263" s="423">
        <v>142</v>
      </c>
      <c r="E263" s="446">
        <v>0.64200000000000002</v>
      </c>
      <c r="F263" s="423">
        <v>79</v>
      </c>
      <c r="G263" s="446">
        <v>0.35799999999999998</v>
      </c>
      <c r="H263" s="423">
        <v>0</v>
      </c>
      <c r="I263" s="446">
        <v>0</v>
      </c>
      <c r="J263" s="423">
        <v>0</v>
      </c>
      <c r="K263" s="446">
        <v>0</v>
      </c>
      <c r="L263" s="423">
        <v>0</v>
      </c>
      <c r="M263" s="446">
        <v>0</v>
      </c>
      <c r="N263" s="423">
        <v>0</v>
      </c>
      <c r="O263" s="446">
        <v>0</v>
      </c>
      <c r="P263" s="423">
        <v>0</v>
      </c>
      <c r="Q263" s="446">
        <v>0</v>
      </c>
      <c r="R263" s="423">
        <v>0</v>
      </c>
      <c r="S263" s="446">
        <v>0</v>
      </c>
      <c r="T263" s="423">
        <v>151</v>
      </c>
      <c r="U263" s="446">
        <v>0.10199999999999999</v>
      </c>
      <c r="V263" s="423">
        <v>826</v>
      </c>
      <c r="W263" s="446">
        <v>0.56299999999999994</v>
      </c>
      <c r="X263" s="423">
        <v>492</v>
      </c>
      <c r="Y263" s="446">
        <v>0.33500000000000002</v>
      </c>
      <c r="Z263" s="423">
        <v>0</v>
      </c>
      <c r="AA263" s="446">
        <v>0</v>
      </c>
      <c r="AB263" s="423">
        <v>0</v>
      </c>
      <c r="AC263" s="446">
        <v>0</v>
      </c>
      <c r="AD263" s="423">
        <v>0</v>
      </c>
      <c r="AE263" s="446">
        <v>0</v>
      </c>
      <c r="AF263" s="423">
        <v>21631</v>
      </c>
      <c r="AG263" s="446">
        <v>0.16200000000000001</v>
      </c>
      <c r="AH263" s="423">
        <v>80297</v>
      </c>
      <c r="AI263" s="446">
        <v>0.60199999999999998</v>
      </c>
      <c r="AJ263" s="423">
        <v>31387</v>
      </c>
      <c r="AK263" s="446">
        <v>0.23499999999999999</v>
      </c>
      <c r="AL263" s="423">
        <v>69</v>
      </c>
      <c r="AM263" s="446">
        <v>0.503</v>
      </c>
      <c r="AN263" s="423">
        <v>53</v>
      </c>
      <c r="AO263" s="446">
        <v>0.38600000000000001</v>
      </c>
      <c r="AP263" s="423">
        <v>15</v>
      </c>
      <c r="AQ263" s="446">
        <v>0.111</v>
      </c>
      <c r="AR263" s="423">
        <v>0</v>
      </c>
      <c r="AS263" s="446">
        <v>0</v>
      </c>
      <c r="AT263" s="423">
        <v>5</v>
      </c>
      <c r="AU263" s="446">
        <v>1</v>
      </c>
      <c r="AV263" s="423">
        <v>0</v>
      </c>
      <c r="AW263" s="446">
        <v>0</v>
      </c>
      <c r="AX263" s="444">
        <v>0</v>
      </c>
      <c r="AY263" s="445">
        <v>0</v>
      </c>
      <c r="AZ263" s="444">
        <v>0</v>
      </c>
      <c r="BA263" s="445">
        <v>0</v>
      </c>
      <c r="BB263" s="444">
        <v>0</v>
      </c>
      <c r="BC263" s="445">
        <v>0</v>
      </c>
      <c r="BD263" s="444">
        <v>491</v>
      </c>
      <c r="BE263" s="445">
        <v>0.21299999999999999</v>
      </c>
      <c r="BF263" s="444">
        <v>1536</v>
      </c>
      <c r="BG263" s="445">
        <v>0.66500000000000004</v>
      </c>
      <c r="BH263" s="444">
        <v>281</v>
      </c>
      <c r="BI263" s="417">
        <v>0.122</v>
      </c>
      <c r="BJ263" s="444">
        <v>0</v>
      </c>
      <c r="BK263" s="445">
        <v>0</v>
      </c>
      <c r="BL263" s="444">
        <v>0</v>
      </c>
      <c r="BM263" s="445">
        <v>0</v>
      </c>
      <c r="BN263" s="444">
        <v>0</v>
      </c>
      <c r="BO263" s="417">
        <v>0</v>
      </c>
    </row>
    <row r="264" spans="1:67">
      <c r="A264" s="471" t="s">
        <v>309</v>
      </c>
      <c r="B264" s="470">
        <v>0</v>
      </c>
      <c r="C264" s="469">
        <v>0</v>
      </c>
      <c r="D264" s="470">
        <v>0</v>
      </c>
      <c r="E264" s="469">
        <v>0</v>
      </c>
      <c r="F264" s="470">
        <v>0</v>
      </c>
      <c r="G264" s="469">
        <v>0</v>
      </c>
      <c r="H264" s="470">
        <v>0</v>
      </c>
      <c r="I264" s="469">
        <v>0</v>
      </c>
      <c r="J264" s="470">
        <v>0</v>
      </c>
      <c r="K264" s="469">
        <v>0</v>
      </c>
      <c r="L264" s="470">
        <v>0</v>
      </c>
      <c r="M264" s="469">
        <v>0</v>
      </c>
      <c r="N264" s="470">
        <v>0</v>
      </c>
      <c r="O264" s="469">
        <v>0</v>
      </c>
      <c r="P264" s="470">
        <v>0</v>
      </c>
      <c r="Q264" s="469">
        <v>0</v>
      </c>
      <c r="R264" s="470">
        <v>0</v>
      </c>
      <c r="S264" s="469">
        <v>0</v>
      </c>
      <c r="T264" s="470">
        <v>0</v>
      </c>
      <c r="U264" s="469">
        <v>0</v>
      </c>
      <c r="V264" s="470">
        <v>0</v>
      </c>
      <c r="W264" s="469">
        <v>0</v>
      </c>
      <c r="X264" s="470">
        <v>0</v>
      </c>
      <c r="Y264" s="469">
        <v>0</v>
      </c>
      <c r="Z264" s="470">
        <v>0</v>
      </c>
      <c r="AA264" s="469">
        <v>0</v>
      </c>
      <c r="AB264" s="470">
        <v>0</v>
      </c>
      <c r="AC264" s="469">
        <v>0</v>
      </c>
      <c r="AD264" s="470">
        <v>0</v>
      </c>
      <c r="AE264" s="469">
        <v>0</v>
      </c>
      <c r="AF264" s="470">
        <v>451</v>
      </c>
      <c r="AG264" s="469">
        <v>0.16500000000000001</v>
      </c>
      <c r="AH264" s="470">
        <v>1837</v>
      </c>
      <c r="AI264" s="469">
        <v>0.67100000000000004</v>
      </c>
      <c r="AJ264" s="470">
        <v>448</v>
      </c>
      <c r="AK264" s="469">
        <v>0.16400000000000001</v>
      </c>
      <c r="AL264" s="470">
        <v>0</v>
      </c>
      <c r="AM264" s="469">
        <v>0</v>
      </c>
      <c r="AN264" s="470">
        <v>0</v>
      </c>
      <c r="AO264" s="469">
        <v>0</v>
      </c>
      <c r="AP264" s="470">
        <v>0</v>
      </c>
      <c r="AQ264" s="469">
        <v>0</v>
      </c>
      <c r="AR264" s="470">
        <v>0</v>
      </c>
      <c r="AS264" s="469">
        <v>0</v>
      </c>
      <c r="AT264" s="470">
        <v>0</v>
      </c>
      <c r="AU264" s="469">
        <v>0</v>
      </c>
      <c r="AV264" s="470">
        <v>0</v>
      </c>
      <c r="AW264" s="469">
        <v>0</v>
      </c>
      <c r="AX264" s="467">
        <v>0</v>
      </c>
      <c r="AY264" s="468">
        <v>0</v>
      </c>
      <c r="AZ264" s="467">
        <v>0</v>
      </c>
      <c r="BA264" s="468">
        <v>0</v>
      </c>
      <c r="BB264" s="467">
        <v>0</v>
      </c>
      <c r="BC264" s="468">
        <v>0</v>
      </c>
      <c r="BD264" s="467">
        <v>80</v>
      </c>
      <c r="BE264" s="468">
        <v>0.33300000000000002</v>
      </c>
      <c r="BF264" s="467">
        <v>159</v>
      </c>
      <c r="BG264" s="468">
        <v>0.66700000000000004</v>
      </c>
      <c r="BH264" s="467">
        <v>0</v>
      </c>
      <c r="BI264" s="466">
        <v>0</v>
      </c>
      <c r="BJ264" s="467">
        <v>0</v>
      </c>
      <c r="BK264" s="468">
        <v>0</v>
      </c>
      <c r="BL264" s="467">
        <v>0</v>
      </c>
      <c r="BM264" s="468">
        <v>0</v>
      </c>
      <c r="BN264" s="467">
        <v>0</v>
      </c>
      <c r="BO264" s="466">
        <v>0</v>
      </c>
    </row>
    <row r="265" spans="1:67">
      <c r="A265" s="471" t="s">
        <v>308</v>
      </c>
      <c r="B265" s="470">
        <v>0</v>
      </c>
      <c r="C265" s="469">
        <v>0</v>
      </c>
      <c r="D265" s="470">
        <v>0</v>
      </c>
      <c r="E265" s="469">
        <v>0</v>
      </c>
      <c r="F265" s="470">
        <v>0</v>
      </c>
      <c r="G265" s="469">
        <v>0</v>
      </c>
      <c r="H265" s="470">
        <v>0</v>
      </c>
      <c r="I265" s="469">
        <v>0</v>
      </c>
      <c r="J265" s="470">
        <v>0</v>
      </c>
      <c r="K265" s="469">
        <v>0</v>
      </c>
      <c r="L265" s="470">
        <v>0</v>
      </c>
      <c r="M265" s="469">
        <v>0</v>
      </c>
      <c r="N265" s="470">
        <v>0</v>
      </c>
      <c r="O265" s="469">
        <v>0</v>
      </c>
      <c r="P265" s="470">
        <v>0</v>
      </c>
      <c r="Q265" s="469">
        <v>0</v>
      </c>
      <c r="R265" s="470">
        <v>0</v>
      </c>
      <c r="S265" s="469">
        <v>0</v>
      </c>
      <c r="T265" s="470">
        <v>26</v>
      </c>
      <c r="U265" s="469">
        <v>0.29299999999999998</v>
      </c>
      <c r="V265" s="470">
        <v>52</v>
      </c>
      <c r="W265" s="469">
        <v>0.58599999999999997</v>
      </c>
      <c r="X265" s="470">
        <v>11</v>
      </c>
      <c r="Y265" s="469">
        <v>0.121</v>
      </c>
      <c r="Z265" s="470">
        <v>0</v>
      </c>
      <c r="AA265" s="469">
        <v>0</v>
      </c>
      <c r="AB265" s="470">
        <v>0</v>
      </c>
      <c r="AC265" s="469">
        <v>0</v>
      </c>
      <c r="AD265" s="470">
        <v>0</v>
      </c>
      <c r="AE265" s="469">
        <v>0</v>
      </c>
      <c r="AF265" s="470">
        <v>550</v>
      </c>
      <c r="AG265" s="469">
        <v>8.1000000000000003E-2</v>
      </c>
      <c r="AH265" s="470">
        <v>4237</v>
      </c>
      <c r="AI265" s="469">
        <v>0.625</v>
      </c>
      <c r="AJ265" s="470">
        <v>1989</v>
      </c>
      <c r="AK265" s="469">
        <v>0.29399999999999998</v>
      </c>
      <c r="AL265" s="470">
        <v>0</v>
      </c>
      <c r="AM265" s="469">
        <v>0</v>
      </c>
      <c r="AN265" s="470">
        <v>0</v>
      </c>
      <c r="AO265" s="469">
        <v>0</v>
      </c>
      <c r="AP265" s="470">
        <v>0</v>
      </c>
      <c r="AQ265" s="469">
        <v>0</v>
      </c>
      <c r="AR265" s="470">
        <v>0</v>
      </c>
      <c r="AS265" s="469">
        <v>0</v>
      </c>
      <c r="AT265" s="470">
        <v>5</v>
      </c>
      <c r="AU265" s="469">
        <v>1</v>
      </c>
      <c r="AV265" s="470">
        <v>0</v>
      </c>
      <c r="AW265" s="469">
        <v>0</v>
      </c>
      <c r="AX265" s="467">
        <v>0</v>
      </c>
      <c r="AY265" s="468">
        <v>0</v>
      </c>
      <c r="AZ265" s="467">
        <v>0</v>
      </c>
      <c r="BA265" s="468">
        <v>0</v>
      </c>
      <c r="BB265" s="467">
        <v>0</v>
      </c>
      <c r="BC265" s="468">
        <v>0</v>
      </c>
      <c r="BD265" s="467">
        <v>0</v>
      </c>
      <c r="BE265" s="468">
        <v>0</v>
      </c>
      <c r="BF265" s="467">
        <v>150</v>
      </c>
      <c r="BG265" s="468">
        <v>1</v>
      </c>
      <c r="BH265" s="467">
        <v>0</v>
      </c>
      <c r="BI265" s="466">
        <v>0</v>
      </c>
      <c r="BJ265" s="467">
        <v>0</v>
      </c>
      <c r="BK265" s="468">
        <v>0</v>
      </c>
      <c r="BL265" s="467">
        <v>0</v>
      </c>
      <c r="BM265" s="468">
        <v>0</v>
      </c>
      <c r="BN265" s="467">
        <v>0</v>
      </c>
      <c r="BO265" s="466">
        <v>0</v>
      </c>
    </row>
    <row r="266" spans="1:67">
      <c r="A266" s="471" t="s">
        <v>307</v>
      </c>
      <c r="B266" s="470">
        <v>0</v>
      </c>
      <c r="C266" s="469">
        <v>0</v>
      </c>
      <c r="D266" s="470">
        <v>0</v>
      </c>
      <c r="E266" s="469">
        <v>0</v>
      </c>
      <c r="F266" s="470">
        <v>0</v>
      </c>
      <c r="G266" s="469">
        <v>0</v>
      </c>
      <c r="H266" s="470">
        <v>0</v>
      </c>
      <c r="I266" s="469">
        <v>0</v>
      </c>
      <c r="J266" s="470">
        <v>0</v>
      </c>
      <c r="K266" s="469">
        <v>0</v>
      </c>
      <c r="L266" s="470">
        <v>0</v>
      </c>
      <c r="M266" s="469">
        <v>0</v>
      </c>
      <c r="N266" s="470">
        <v>0</v>
      </c>
      <c r="O266" s="469">
        <v>0</v>
      </c>
      <c r="P266" s="470">
        <v>0</v>
      </c>
      <c r="Q266" s="469">
        <v>0</v>
      </c>
      <c r="R266" s="470">
        <v>0</v>
      </c>
      <c r="S266" s="469">
        <v>0</v>
      </c>
      <c r="T266" s="470">
        <v>0</v>
      </c>
      <c r="U266" s="469">
        <v>0</v>
      </c>
      <c r="V266" s="470">
        <v>241</v>
      </c>
      <c r="W266" s="469">
        <v>0.66700000000000004</v>
      </c>
      <c r="X266" s="470">
        <v>120</v>
      </c>
      <c r="Y266" s="469">
        <v>0.33300000000000002</v>
      </c>
      <c r="Z266" s="470">
        <v>0</v>
      </c>
      <c r="AA266" s="469">
        <v>0</v>
      </c>
      <c r="AB266" s="470">
        <v>0</v>
      </c>
      <c r="AC266" s="469">
        <v>0</v>
      </c>
      <c r="AD266" s="470">
        <v>0</v>
      </c>
      <c r="AE266" s="469">
        <v>0</v>
      </c>
      <c r="AF266" s="470">
        <v>1765</v>
      </c>
      <c r="AG266" s="469">
        <v>0.155</v>
      </c>
      <c r="AH266" s="470">
        <v>6749</v>
      </c>
      <c r="AI266" s="469">
        <v>0.59499999999999997</v>
      </c>
      <c r="AJ266" s="470">
        <v>2838</v>
      </c>
      <c r="AK266" s="469">
        <v>0.25</v>
      </c>
      <c r="AL266" s="470">
        <v>0</v>
      </c>
      <c r="AM266" s="469">
        <v>0</v>
      </c>
      <c r="AN266" s="470">
        <v>0</v>
      </c>
      <c r="AO266" s="469">
        <v>0</v>
      </c>
      <c r="AP266" s="470">
        <v>0</v>
      </c>
      <c r="AQ266" s="469">
        <v>0</v>
      </c>
      <c r="AR266" s="470">
        <v>0</v>
      </c>
      <c r="AS266" s="469">
        <v>0</v>
      </c>
      <c r="AT266" s="470">
        <v>0</v>
      </c>
      <c r="AU266" s="469">
        <v>0</v>
      </c>
      <c r="AV266" s="470">
        <v>0</v>
      </c>
      <c r="AW266" s="469">
        <v>0</v>
      </c>
      <c r="AX266" s="467">
        <v>0</v>
      </c>
      <c r="AY266" s="468">
        <v>0</v>
      </c>
      <c r="AZ266" s="467">
        <v>0</v>
      </c>
      <c r="BA266" s="468">
        <v>0</v>
      </c>
      <c r="BB266" s="467">
        <v>0</v>
      </c>
      <c r="BC266" s="468">
        <v>0</v>
      </c>
      <c r="BD266" s="467">
        <v>150</v>
      </c>
      <c r="BE266" s="468">
        <v>0.50600000000000001</v>
      </c>
      <c r="BF266" s="467">
        <v>147</v>
      </c>
      <c r="BG266" s="468">
        <v>0.49399999999999999</v>
      </c>
      <c r="BH266" s="467">
        <v>0</v>
      </c>
      <c r="BI266" s="466">
        <v>0</v>
      </c>
      <c r="BJ266" s="467">
        <v>0</v>
      </c>
      <c r="BK266" s="468">
        <v>0</v>
      </c>
      <c r="BL266" s="467">
        <v>0</v>
      </c>
      <c r="BM266" s="468">
        <v>0</v>
      </c>
      <c r="BN266" s="467">
        <v>0</v>
      </c>
      <c r="BO266" s="466">
        <v>0</v>
      </c>
    </row>
    <row r="267" spans="1:67">
      <c r="A267" s="471" t="s">
        <v>306</v>
      </c>
      <c r="B267" s="470">
        <v>0</v>
      </c>
      <c r="C267" s="469">
        <v>0</v>
      </c>
      <c r="D267" s="470">
        <v>0</v>
      </c>
      <c r="E267" s="469">
        <v>0</v>
      </c>
      <c r="F267" s="470">
        <v>0</v>
      </c>
      <c r="G267" s="469">
        <v>0</v>
      </c>
      <c r="H267" s="470">
        <v>0</v>
      </c>
      <c r="I267" s="469">
        <v>0</v>
      </c>
      <c r="J267" s="470">
        <v>0</v>
      </c>
      <c r="K267" s="469">
        <v>0</v>
      </c>
      <c r="L267" s="470">
        <v>0</v>
      </c>
      <c r="M267" s="469">
        <v>0</v>
      </c>
      <c r="N267" s="470">
        <v>0</v>
      </c>
      <c r="O267" s="469">
        <v>0</v>
      </c>
      <c r="P267" s="470">
        <v>0</v>
      </c>
      <c r="Q267" s="469">
        <v>0</v>
      </c>
      <c r="R267" s="470">
        <v>0</v>
      </c>
      <c r="S267" s="469">
        <v>0</v>
      </c>
      <c r="T267" s="470">
        <v>0</v>
      </c>
      <c r="U267" s="469">
        <v>0</v>
      </c>
      <c r="V267" s="470">
        <v>57</v>
      </c>
      <c r="W267" s="469">
        <v>1</v>
      </c>
      <c r="X267" s="470">
        <v>0</v>
      </c>
      <c r="Y267" s="469">
        <v>0</v>
      </c>
      <c r="Z267" s="470">
        <v>0</v>
      </c>
      <c r="AA267" s="469">
        <v>0</v>
      </c>
      <c r="AB267" s="470">
        <v>0</v>
      </c>
      <c r="AC267" s="469">
        <v>0</v>
      </c>
      <c r="AD267" s="470">
        <v>0</v>
      </c>
      <c r="AE267" s="469">
        <v>0</v>
      </c>
      <c r="AF267" s="470">
        <v>2133</v>
      </c>
      <c r="AG267" s="469">
        <v>0.20499999999999999</v>
      </c>
      <c r="AH267" s="470">
        <v>6015</v>
      </c>
      <c r="AI267" s="469">
        <v>0.57699999999999996</v>
      </c>
      <c r="AJ267" s="470">
        <v>2280</v>
      </c>
      <c r="AK267" s="469">
        <v>0.219</v>
      </c>
      <c r="AL267" s="470">
        <v>0</v>
      </c>
      <c r="AM267" s="469">
        <v>0</v>
      </c>
      <c r="AN267" s="470">
        <v>0</v>
      </c>
      <c r="AO267" s="469">
        <v>0</v>
      </c>
      <c r="AP267" s="470">
        <v>0</v>
      </c>
      <c r="AQ267" s="469">
        <v>0</v>
      </c>
      <c r="AR267" s="470">
        <v>0</v>
      </c>
      <c r="AS267" s="469">
        <v>0</v>
      </c>
      <c r="AT267" s="470">
        <v>0</v>
      </c>
      <c r="AU267" s="469">
        <v>0</v>
      </c>
      <c r="AV267" s="470">
        <v>0</v>
      </c>
      <c r="AW267" s="469">
        <v>0</v>
      </c>
      <c r="AX267" s="467">
        <v>0</v>
      </c>
      <c r="AY267" s="468">
        <v>0</v>
      </c>
      <c r="AZ267" s="467">
        <v>0</v>
      </c>
      <c r="BA267" s="468">
        <v>0</v>
      </c>
      <c r="BB267" s="467">
        <v>0</v>
      </c>
      <c r="BC267" s="468">
        <v>0</v>
      </c>
      <c r="BD267" s="467">
        <v>131</v>
      </c>
      <c r="BE267" s="468">
        <v>0.64900000000000002</v>
      </c>
      <c r="BF267" s="467">
        <v>71</v>
      </c>
      <c r="BG267" s="468">
        <v>0.35099999999999998</v>
      </c>
      <c r="BH267" s="467">
        <v>0</v>
      </c>
      <c r="BI267" s="466">
        <v>0</v>
      </c>
      <c r="BJ267" s="467">
        <v>0</v>
      </c>
      <c r="BK267" s="468">
        <v>0</v>
      </c>
      <c r="BL267" s="467">
        <v>0</v>
      </c>
      <c r="BM267" s="468">
        <v>0</v>
      </c>
      <c r="BN267" s="467">
        <v>0</v>
      </c>
      <c r="BO267" s="466">
        <v>0</v>
      </c>
    </row>
    <row r="268" spans="1:67">
      <c r="A268" s="471" t="s">
        <v>305</v>
      </c>
      <c r="B268" s="470">
        <v>0</v>
      </c>
      <c r="C268" s="469">
        <v>0</v>
      </c>
      <c r="D268" s="470">
        <v>75</v>
      </c>
      <c r="E268" s="469">
        <v>1</v>
      </c>
      <c r="F268" s="470">
        <v>0</v>
      </c>
      <c r="G268" s="469">
        <v>0</v>
      </c>
      <c r="H268" s="470">
        <v>0</v>
      </c>
      <c r="I268" s="469">
        <v>0</v>
      </c>
      <c r="J268" s="470">
        <v>0</v>
      </c>
      <c r="K268" s="469">
        <v>0</v>
      </c>
      <c r="L268" s="470">
        <v>0</v>
      </c>
      <c r="M268" s="469">
        <v>0</v>
      </c>
      <c r="N268" s="470">
        <v>0</v>
      </c>
      <c r="O268" s="469">
        <v>0</v>
      </c>
      <c r="P268" s="470">
        <v>0</v>
      </c>
      <c r="Q268" s="469">
        <v>0</v>
      </c>
      <c r="R268" s="470">
        <v>0</v>
      </c>
      <c r="S268" s="469">
        <v>0</v>
      </c>
      <c r="T268" s="470">
        <v>53</v>
      </c>
      <c r="U268" s="469">
        <v>0.16900000000000001</v>
      </c>
      <c r="V268" s="470">
        <v>133</v>
      </c>
      <c r="W268" s="469">
        <v>0.42399999999999999</v>
      </c>
      <c r="X268" s="470">
        <v>128</v>
      </c>
      <c r="Y268" s="469">
        <v>0.40699999999999997</v>
      </c>
      <c r="Z268" s="470">
        <v>0</v>
      </c>
      <c r="AA268" s="469">
        <v>0</v>
      </c>
      <c r="AB268" s="470">
        <v>0</v>
      </c>
      <c r="AC268" s="469">
        <v>0</v>
      </c>
      <c r="AD268" s="470">
        <v>0</v>
      </c>
      <c r="AE268" s="469">
        <v>0</v>
      </c>
      <c r="AF268" s="470">
        <v>2803</v>
      </c>
      <c r="AG268" s="469">
        <v>0.16</v>
      </c>
      <c r="AH268" s="470">
        <v>9674</v>
      </c>
      <c r="AI268" s="469">
        <v>0.55100000000000005</v>
      </c>
      <c r="AJ268" s="470">
        <v>5074</v>
      </c>
      <c r="AK268" s="469">
        <v>0.28899999999999998</v>
      </c>
      <c r="AL268" s="470">
        <v>0</v>
      </c>
      <c r="AM268" s="469">
        <v>0</v>
      </c>
      <c r="AN268" s="470">
        <v>53</v>
      </c>
      <c r="AO268" s="469">
        <v>1</v>
      </c>
      <c r="AP268" s="470">
        <v>0</v>
      </c>
      <c r="AQ268" s="469">
        <v>0</v>
      </c>
      <c r="AR268" s="470">
        <v>0</v>
      </c>
      <c r="AS268" s="469">
        <v>0</v>
      </c>
      <c r="AT268" s="470">
        <v>0</v>
      </c>
      <c r="AU268" s="469">
        <v>0</v>
      </c>
      <c r="AV268" s="470">
        <v>0</v>
      </c>
      <c r="AW268" s="469">
        <v>0</v>
      </c>
      <c r="AX268" s="467">
        <v>0</v>
      </c>
      <c r="AY268" s="468">
        <v>0</v>
      </c>
      <c r="AZ268" s="467">
        <v>0</v>
      </c>
      <c r="BA268" s="468">
        <v>0</v>
      </c>
      <c r="BB268" s="467">
        <v>0</v>
      </c>
      <c r="BC268" s="468">
        <v>0</v>
      </c>
      <c r="BD268" s="467">
        <v>75</v>
      </c>
      <c r="BE268" s="468">
        <v>0.14499999999999999</v>
      </c>
      <c r="BF268" s="467">
        <v>442</v>
      </c>
      <c r="BG268" s="468">
        <v>0.85499999999999998</v>
      </c>
      <c r="BH268" s="467">
        <v>0</v>
      </c>
      <c r="BI268" s="466">
        <v>0</v>
      </c>
      <c r="BJ268" s="467">
        <v>0</v>
      </c>
      <c r="BK268" s="468">
        <v>0</v>
      </c>
      <c r="BL268" s="467">
        <v>0</v>
      </c>
      <c r="BM268" s="468">
        <v>0</v>
      </c>
      <c r="BN268" s="467">
        <v>0</v>
      </c>
      <c r="BO268" s="466">
        <v>0</v>
      </c>
    </row>
    <row r="269" spans="1:67" ht="24">
      <c r="A269" s="471" t="s">
        <v>304</v>
      </c>
      <c r="B269" s="470">
        <v>0</v>
      </c>
      <c r="C269" s="469">
        <v>0</v>
      </c>
      <c r="D269" s="470">
        <v>0</v>
      </c>
      <c r="E269" s="469">
        <v>0</v>
      </c>
      <c r="F269" s="470">
        <v>0</v>
      </c>
      <c r="G269" s="469">
        <v>0</v>
      </c>
      <c r="H269" s="470">
        <v>0</v>
      </c>
      <c r="I269" s="469">
        <v>0</v>
      </c>
      <c r="J269" s="470">
        <v>0</v>
      </c>
      <c r="K269" s="469">
        <v>0</v>
      </c>
      <c r="L269" s="470">
        <v>0</v>
      </c>
      <c r="M269" s="469">
        <v>0</v>
      </c>
      <c r="N269" s="470">
        <v>0</v>
      </c>
      <c r="O269" s="469">
        <v>0</v>
      </c>
      <c r="P269" s="470">
        <v>0</v>
      </c>
      <c r="Q269" s="469">
        <v>0</v>
      </c>
      <c r="R269" s="470">
        <v>0</v>
      </c>
      <c r="S269" s="469">
        <v>0</v>
      </c>
      <c r="T269" s="470">
        <v>59</v>
      </c>
      <c r="U269" s="469">
        <v>0.16700000000000001</v>
      </c>
      <c r="V269" s="470">
        <v>122</v>
      </c>
      <c r="W269" s="469">
        <v>0.34499999999999997</v>
      </c>
      <c r="X269" s="470">
        <v>173</v>
      </c>
      <c r="Y269" s="469">
        <v>0.48899999999999999</v>
      </c>
      <c r="Z269" s="470">
        <v>0</v>
      </c>
      <c r="AA269" s="469">
        <v>0</v>
      </c>
      <c r="AB269" s="470">
        <v>0</v>
      </c>
      <c r="AC269" s="469">
        <v>0</v>
      </c>
      <c r="AD269" s="470">
        <v>0</v>
      </c>
      <c r="AE269" s="469">
        <v>0</v>
      </c>
      <c r="AF269" s="470">
        <v>7366</v>
      </c>
      <c r="AG269" s="469">
        <v>0.18099999999999999</v>
      </c>
      <c r="AH269" s="470">
        <v>24221</v>
      </c>
      <c r="AI269" s="469">
        <v>0.59599999999999997</v>
      </c>
      <c r="AJ269" s="470">
        <v>9042</v>
      </c>
      <c r="AK269" s="469">
        <v>0.223</v>
      </c>
      <c r="AL269" s="470">
        <v>0</v>
      </c>
      <c r="AM269" s="469">
        <v>0</v>
      </c>
      <c r="AN269" s="470">
        <v>0</v>
      </c>
      <c r="AO269" s="469">
        <v>0</v>
      </c>
      <c r="AP269" s="470">
        <v>15</v>
      </c>
      <c r="AQ269" s="469">
        <v>1</v>
      </c>
      <c r="AR269" s="470">
        <v>0</v>
      </c>
      <c r="AS269" s="469">
        <v>0</v>
      </c>
      <c r="AT269" s="470">
        <v>0</v>
      </c>
      <c r="AU269" s="469">
        <v>0</v>
      </c>
      <c r="AV269" s="470">
        <v>0</v>
      </c>
      <c r="AW269" s="469">
        <v>0</v>
      </c>
      <c r="AX269" s="467">
        <v>0</v>
      </c>
      <c r="AY269" s="468">
        <v>0</v>
      </c>
      <c r="AZ269" s="467">
        <v>0</v>
      </c>
      <c r="BA269" s="468">
        <v>0</v>
      </c>
      <c r="BB269" s="467">
        <v>0</v>
      </c>
      <c r="BC269" s="468">
        <v>0</v>
      </c>
      <c r="BD269" s="467">
        <v>50</v>
      </c>
      <c r="BE269" s="468">
        <v>0.12</v>
      </c>
      <c r="BF269" s="467">
        <v>173</v>
      </c>
      <c r="BG269" s="468">
        <v>0.41299999999999998</v>
      </c>
      <c r="BH269" s="467">
        <v>195</v>
      </c>
      <c r="BI269" s="466">
        <v>0.46700000000000003</v>
      </c>
      <c r="BJ269" s="467">
        <v>0</v>
      </c>
      <c r="BK269" s="468">
        <v>0</v>
      </c>
      <c r="BL269" s="467">
        <v>0</v>
      </c>
      <c r="BM269" s="468">
        <v>0</v>
      </c>
      <c r="BN269" s="467">
        <v>0</v>
      </c>
      <c r="BO269" s="466">
        <v>0</v>
      </c>
    </row>
    <row r="270" spans="1:67" ht="24">
      <c r="A270" s="471" t="s">
        <v>303</v>
      </c>
      <c r="B270" s="470">
        <v>0</v>
      </c>
      <c r="C270" s="469">
        <v>0</v>
      </c>
      <c r="D270" s="470">
        <v>0</v>
      </c>
      <c r="E270" s="469">
        <v>0</v>
      </c>
      <c r="F270" s="470">
        <v>79</v>
      </c>
      <c r="G270" s="469">
        <v>1</v>
      </c>
      <c r="H270" s="470">
        <v>0</v>
      </c>
      <c r="I270" s="469">
        <v>0</v>
      </c>
      <c r="J270" s="470">
        <v>0</v>
      </c>
      <c r="K270" s="469">
        <v>0</v>
      </c>
      <c r="L270" s="470">
        <v>0</v>
      </c>
      <c r="M270" s="469">
        <v>0</v>
      </c>
      <c r="N270" s="470">
        <v>0</v>
      </c>
      <c r="O270" s="469">
        <v>0</v>
      </c>
      <c r="P270" s="470">
        <v>0</v>
      </c>
      <c r="Q270" s="469">
        <v>0</v>
      </c>
      <c r="R270" s="470">
        <v>0</v>
      </c>
      <c r="S270" s="469">
        <v>0</v>
      </c>
      <c r="T270" s="470">
        <v>13</v>
      </c>
      <c r="U270" s="469">
        <v>4.2999999999999997E-2</v>
      </c>
      <c r="V270" s="470">
        <v>221</v>
      </c>
      <c r="W270" s="469">
        <v>0.752</v>
      </c>
      <c r="X270" s="470">
        <v>60</v>
      </c>
      <c r="Y270" s="469">
        <v>0.20499999999999999</v>
      </c>
      <c r="Z270" s="470">
        <v>0</v>
      </c>
      <c r="AA270" s="469">
        <v>0</v>
      </c>
      <c r="AB270" s="470">
        <v>0</v>
      </c>
      <c r="AC270" s="469">
        <v>0</v>
      </c>
      <c r="AD270" s="470">
        <v>0</v>
      </c>
      <c r="AE270" s="469">
        <v>0</v>
      </c>
      <c r="AF270" s="470">
        <v>6222</v>
      </c>
      <c r="AG270" s="469">
        <v>0.151</v>
      </c>
      <c r="AH270" s="470">
        <v>25933</v>
      </c>
      <c r="AI270" s="469">
        <v>0.63100000000000001</v>
      </c>
      <c r="AJ270" s="470">
        <v>8953</v>
      </c>
      <c r="AK270" s="469">
        <v>0.218</v>
      </c>
      <c r="AL270" s="470">
        <v>69</v>
      </c>
      <c r="AM270" s="469">
        <v>1</v>
      </c>
      <c r="AN270" s="470">
        <v>0</v>
      </c>
      <c r="AO270" s="469">
        <v>0</v>
      </c>
      <c r="AP270" s="470">
        <v>0</v>
      </c>
      <c r="AQ270" s="469">
        <v>0</v>
      </c>
      <c r="AR270" s="470">
        <v>0</v>
      </c>
      <c r="AS270" s="469">
        <v>0</v>
      </c>
      <c r="AT270" s="470">
        <v>0</v>
      </c>
      <c r="AU270" s="469">
        <v>0</v>
      </c>
      <c r="AV270" s="470">
        <v>0</v>
      </c>
      <c r="AW270" s="469">
        <v>0</v>
      </c>
      <c r="AX270" s="467">
        <v>0</v>
      </c>
      <c r="AY270" s="468">
        <v>0</v>
      </c>
      <c r="AZ270" s="467">
        <v>0</v>
      </c>
      <c r="BA270" s="468">
        <v>0</v>
      </c>
      <c r="BB270" s="467">
        <v>0</v>
      </c>
      <c r="BC270" s="468">
        <v>0</v>
      </c>
      <c r="BD270" s="467">
        <v>5</v>
      </c>
      <c r="BE270" s="468">
        <v>1.2E-2</v>
      </c>
      <c r="BF270" s="467">
        <v>326</v>
      </c>
      <c r="BG270" s="468">
        <v>0.78200000000000003</v>
      </c>
      <c r="BH270" s="467">
        <v>86</v>
      </c>
      <c r="BI270" s="466">
        <v>0.20599999999999999</v>
      </c>
      <c r="BJ270" s="467">
        <v>0</v>
      </c>
      <c r="BK270" s="468">
        <v>0</v>
      </c>
      <c r="BL270" s="467">
        <v>0</v>
      </c>
      <c r="BM270" s="468">
        <v>0</v>
      </c>
      <c r="BN270" s="467">
        <v>0</v>
      </c>
      <c r="BO270" s="466">
        <v>0</v>
      </c>
    </row>
    <row r="271" spans="1:67" ht="15.75" thickBot="1">
      <c r="A271" s="473" t="s">
        <v>302</v>
      </c>
      <c r="B271" s="470">
        <v>0</v>
      </c>
      <c r="C271" s="469">
        <v>0</v>
      </c>
      <c r="D271" s="470">
        <v>68</v>
      </c>
      <c r="E271" s="469">
        <v>1</v>
      </c>
      <c r="F271" s="470">
        <v>0</v>
      </c>
      <c r="G271" s="469">
        <v>0</v>
      </c>
      <c r="H271" s="470">
        <v>0</v>
      </c>
      <c r="I271" s="469">
        <v>0</v>
      </c>
      <c r="J271" s="470">
        <v>0</v>
      </c>
      <c r="K271" s="469">
        <v>0</v>
      </c>
      <c r="L271" s="470">
        <v>0</v>
      </c>
      <c r="M271" s="469">
        <v>0</v>
      </c>
      <c r="N271" s="470">
        <v>0</v>
      </c>
      <c r="O271" s="469">
        <v>0</v>
      </c>
      <c r="P271" s="470">
        <v>0</v>
      </c>
      <c r="Q271" s="469">
        <v>0</v>
      </c>
      <c r="R271" s="470">
        <v>0</v>
      </c>
      <c r="S271" s="469">
        <v>0</v>
      </c>
      <c r="T271" s="470">
        <v>0</v>
      </c>
      <c r="U271" s="469">
        <v>0</v>
      </c>
      <c r="V271" s="470">
        <v>0</v>
      </c>
      <c r="W271" s="469">
        <v>0</v>
      </c>
      <c r="X271" s="470">
        <v>0</v>
      </c>
      <c r="Y271" s="469">
        <v>0</v>
      </c>
      <c r="Z271" s="470">
        <v>0</v>
      </c>
      <c r="AA271" s="469">
        <v>0</v>
      </c>
      <c r="AB271" s="470">
        <v>0</v>
      </c>
      <c r="AC271" s="469">
        <v>0</v>
      </c>
      <c r="AD271" s="470">
        <v>0</v>
      </c>
      <c r="AE271" s="469">
        <v>0</v>
      </c>
      <c r="AF271" s="470">
        <v>341</v>
      </c>
      <c r="AG271" s="469">
        <v>0.125</v>
      </c>
      <c r="AH271" s="470">
        <v>1631</v>
      </c>
      <c r="AI271" s="469">
        <v>0.59599999999999997</v>
      </c>
      <c r="AJ271" s="470">
        <v>763</v>
      </c>
      <c r="AK271" s="469">
        <v>0.27900000000000003</v>
      </c>
      <c r="AL271" s="470">
        <v>0</v>
      </c>
      <c r="AM271" s="469">
        <v>0</v>
      </c>
      <c r="AN271" s="470">
        <v>0</v>
      </c>
      <c r="AO271" s="469">
        <v>0</v>
      </c>
      <c r="AP271" s="470">
        <v>0</v>
      </c>
      <c r="AQ271" s="469">
        <v>0</v>
      </c>
      <c r="AR271" s="470">
        <v>0</v>
      </c>
      <c r="AS271" s="469">
        <v>0</v>
      </c>
      <c r="AT271" s="470">
        <v>0</v>
      </c>
      <c r="AU271" s="469">
        <v>0</v>
      </c>
      <c r="AV271" s="470">
        <v>0</v>
      </c>
      <c r="AW271" s="469">
        <v>0</v>
      </c>
      <c r="AX271" s="467">
        <v>0</v>
      </c>
      <c r="AY271" s="468">
        <v>0</v>
      </c>
      <c r="AZ271" s="467">
        <v>0</v>
      </c>
      <c r="BA271" s="468">
        <v>0</v>
      </c>
      <c r="BB271" s="467">
        <v>0</v>
      </c>
      <c r="BC271" s="468">
        <v>0</v>
      </c>
      <c r="BD271" s="467">
        <v>0</v>
      </c>
      <c r="BE271" s="468">
        <v>0</v>
      </c>
      <c r="BF271" s="467">
        <v>68</v>
      </c>
      <c r="BG271" s="468">
        <v>1</v>
      </c>
      <c r="BH271" s="467">
        <v>0</v>
      </c>
      <c r="BI271" s="466">
        <v>0</v>
      </c>
      <c r="BJ271" s="467">
        <v>0</v>
      </c>
      <c r="BK271" s="468">
        <v>0</v>
      </c>
      <c r="BL271" s="467">
        <v>0</v>
      </c>
      <c r="BM271" s="468">
        <v>0</v>
      </c>
      <c r="BN271" s="467">
        <v>0</v>
      </c>
      <c r="BO271" s="466">
        <v>0</v>
      </c>
    </row>
    <row r="272" spans="1:67">
      <c r="A272" s="472" t="s">
        <v>3</v>
      </c>
      <c r="B272" s="423">
        <v>0</v>
      </c>
      <c r="C272" s="446">
        <v>0</v>
      </c>
      <c r="D272" s="423">
        <v>188</v>
      </c>
      <c r="E272" s="446">
        <v>0.73699999999999999</v>
      </c>
      <c r="F272" s="423">
        <v>67</v>
      </c>
      <c r="G272" s="446">
        <v>0.26300000000000001</v>
      </c>
      <c r="H272" s="423">
        <v>0</v>
      </c>
      <c r="I272" s="446">
        <v>0</v>
      </c>
      <c r="J272" s="423">
        <v>0</v>
      </c>
      <c r="K272" s="446">
        <v>0</v>
      </c>
      <c r="L272" s="423">
        <v>0</v>
      </c>
      <c r="M272" s="446">
        <v>0</v>
      </c>
      <c r="N272" s="423">
        <v>0</v>
      </c>
      <c r="O272" s="446">
        <v>0</v>
      </c>
      <c r="P272" s="423">
        <v>0</v>
      </c>
      <c r="Q272" s="446">
        <v>0</v>
      </c>
      <c r="R272" s="423">
        <v>0</v>
      </c>
      <c r="S272" s="446">
        <v>0</v>
      </c>
      <c r="T272" s="423">
        <v>229</v>
      </c>
      <c r="U272" s="446">
        <v>0.20300000000000001</v>
      </c>
      <c r="V272" s="423">
        <v>589</v>
      </c>
      <c r="W272" s="446">
        <v>0.52100000000000002</v>
      </c>
      <c r="X272" s="423">
        <v>311</v>
      </c>
      <c r="Y272" s="446">
        <v>0.27500000000000002</v>
      </c>
      <c r="Z272" s="423">
        <v>0</v>
      </c>
      <c r="AA272" s="446">
        <v>0</v>
      </c>
      <c r="AB272" s="423">
        <v>0</v>
      </c>
      <c r="AC272" s="446">
        <v>0</v>
      </c>
      <c r="AD272" s="423">
        <v>0</v>
      </c>
      <c r="AE272" s="446">
        <v>0</v>
      </c>
      <c r="AF272" s="423">
        <v>14149</v>
      </c>
      <c r="AG272" s="446">
        <v>0.158</v>
      </c>
      <c r="AH272" s="423">
        <v>48638</v>
      </c>
      <c r="AI272" s="446">
        <v>0.54200000000000004</v>
      </c>
      <c r="AJ272" s="423">
        <v>26896</v>
      </c>
      <c r="AK272" s="446">
        <v>0.3</v>
      </c>
      <c r="AL272" s="423">
        <v>0</v>
      </c>
      <c r="AM272" s="446">
        <v>0</v>
      </c>
      <c r="AN272" s="423">
        <v>0</v>
      </c>
      <c r="AO272" s="446">
        <v>0</v>
      </c>
      <c r="AP272" s="423">
        <v>0</v>
      </c>
      <c r="AQ272" s="446">
        <v>0</v>
      </c>
      <c r="AR272" s="423">
        <v>0</v>
      </c>
      <c r="AS272" s="446">
        <v>0</v>
      </c>
      <c r="AT272" s="423">
        <v>0</v>
      </c>
      <c r="AU272" s="446">
        <v>0</v>
      </c>
      <c r="AV272" s="423">
        <v>0</v>
      </c>
      <c r="AW272" s="446">
        <v>0</v>
      </c>
      <c r="AX272" s="444">
        <v>0</v>
      </c>
      <c r="AY272" s="445">
        <v>0</v>
      </c>
      <c r="AZ272" s="444">
        <v>0</v>
      </c>
      <c r="BA272" s="445">
        <v>0</v>
      </c>
      <c r="BB272" s="444">
        <v>0</v>
      </c>
      <c r="BC272" s="445">
        <v>0</v>
      </c>
      <c r="BD272" s="444">
        <v>236</v>
      </c>
      <c r="BE272" s="445">
        <v>0.16</v>
      </c>
      <c r="BF272" s="444">
        <v>787</v>
      </c>
      <c r="BG272" s="445">
        <v>0.53400000000000003</v>
      </c>
      <c r="BH272" s="444">
        <v>451</v>
      </c>
      <c r="BI272" s="417">
        <v>0.30599999999999999</v>
      </c>
      <c r="BJ272" s="444">
        <v>0</v>
      </c>
      <c r="BK272" s="445">
        <v>0</v>
      </c>
      <c r="BL272" s="444">
        <v>72</v>
      </c>
      <c r="BM272" s="445">
        <v>1</v>
      </c>
      <c r="BN272" s="444">
        <v>0</v>
      </c>
      <c r="BO272" s="417">
        <v>0</v>
      </c>
    </row>
    <row r="273" spans="1:67">
      <c r="A273" s="471" t="s">
        <v>309</v>
      </c>
      <c r="B273" s="470">
        <v>0</v>
      </c>
      <c r="C273" s="469">
        <v>0</v>
      </c>
      <c r="D273" s="470">
        <v>0</v>
      </c>
      <c r="E273" s="469">
        <v>0</v>
      </c>
      <c r="F273" s="470">
        <v>0</v>
      </c>
      <c r="G273" s="469">
        <v>0</v>
      </c>
      <c r="H273" s="470">
        <v>0</v>
      </c>
      <c r="I273" s="469">
        <v>0</v>
      </c>
      <c r="J273" s="470">
        <v>0</v>
      </c>
      <c r="K273" s="469">
        <v>0</v>
      </c>
      <c r="L273" s="470">
        <v>0</v>
      </c>
      <c r="M273" s="469">
        <v>0</v>
      </c>
      <c r="N273" s="470">
        <v>0</v>
      </c>
      <c r="O273" s="469">
        <v>0</v>
      </c>
      <c r="P273" s="470">
        <v>0</v>
      </c>
      <c r="Q273" s="469">
        <v>0</v>
      </c>
      <c r="R273" s="470">
        <v>0</v>
      </c>
      <c r="S273" s="469">
        <v>0</v>
      </c>
      <c r="T273" s="470">
        <v>0</v>
      </c>
      <c r="U273" s="469">
        <v>0</v>
      </c>
      <c r="V273" s="470">
        <v>0</v>
      </c>
      <c r="W273" s="469">
        <v>0</v>
      </c>
      <c r="X273" s="470">
        <v>0</v>
      </c>
      <c r="Y273" s="469">
        <v>0</v>
      </c>
      <c r="Z273" s="470">
        <v>0</v>
      </c>
      <c r="AA273" s="469">
        <v>0</v>
      </c>
      <c r="AB273" s="470">
        <v>0</v>
      </c>
      <c r="AC273" s="469">
        <v>0</v>
      </c>
      <c r="AD273" s="470">
        <v>0</v>
      </c>
      <c r="AE273" s="469">
        <v>0</v>
      </c>
      <c r="AF273" s="470">
        <v>295</v>
      </c>
      <c r="AG273" s="469">
        <v>0.21199999999999999</v>
      </c>
      <c r="AH273" s="470">
        <v>899</v>
      </c>
      <c r="AI273" s="469">
        <v>0.64500000000000002</v>
      </c>
      <c r="AJ273" s="470">
        <v>199</v>
      </c>
      <c r="AK273" s="469">
        <v>0.14299999999999999</v>
      </c>
      <c r="AL273" s="470">
        <v>0</v>
      </c>
      <c r="AM273" s="469">
        <v>0</v>
      </c>
      <c r="AN273" s="470">
        <v>0</v>
      </c>
      <c r="AO273" s="469">
        <v>0</v>
      </c>
      <c r="AP273" s="470">
        <v>0</v>
      </c>
      <c r="AQ273" s="469">
        <v>0</v>
      </c>
      <c r="AR273" s="470">
        <v>0</v>
      </c>
      <c r="AS273" s="469">
        <v>0</v>
      </c>
      <c r="AT273" s="470">
        <v>0</v>
      </c>
      <c r="AU273" s="469">
        <v>0</v>
      </c>
      <c r="AV273" s="470">
        <v>0</v>
      </c>
      <c r="AW273" s="469">
        <v>0</v>
      </c>
      <c r="AX273" s="467">
        <v>0</v>
      </c>
      <c r="AY273" s="468">
        <v>0</v>
      </c>
      <c r="AZ273" s="467">
        <v>0</v>
      </c>
      <c r="BA273" s="468">
        <v>0</v>
      </c>
      <c r="BB273" s="467">
        <v>0</v>
      </c>
      <c r="BC273" s="468">
        <v>0</v>
      </c>
      <c r="BD273" s="467">
        <v>55</v>
      </c>
      <c r="BE273" s="468">
        <v>0.51600000000000001</v>
      </c>
      <c r="BF273" s="467">
        <v>51</v>
      </c>
      <c r="BG273" s="468">
        <v>0.48399999999999999</v>
      </c>
      <c r="BH273" s="467">
        <v>0</v>
      </c>
      <c r="BI273" s="466">
        <v>0</v>
      </c>
      <c r="BJ273" s="467">
        <v>0</v>
      </c>
      <c r="BK273" s="468">
        <v>0</v>
      </c>
      <c r="BL273" s="467">
        <v>0</v>
      </c>
      <c r="BM273" s="468">
        <v>0</v>
      </c>
      <c r="BN273" s="467">
        <v>0</v>
      </c>
      <c r="BO273" s="466">
        <v>0</v>
      </c>
    </row>
    <row r="274" spans="1:67">
      <c r="A274" s="471" t="s">
        <v>308</v>
      </c>
      <c r="B274" s="470">
        <v>0</v>
      </c>
      <c r="C274" s="469">
        <v>0</v>
      </c>
      <c r="D274" s="470">
        <v>8</v>
      </c>
      <c r="E274" s="469">
        <v>1</v>
      </c>
      <c r="F274" s="470">
        <v>0</v>
      </c>
      <c r="G274" s="469">
        <v>0</v>
      </c>
      <c r="H274" s="470">
        <v>0</v>
      </c>
      <c r="I274" s="469">
        <v>0</v>
      </c>
      <c r="J274" s="470">
        <v>0</v>
      </c>
      <c r="K274" s="469">
        <v>0</v>
      </c>
      <c r="L274" s="470">
        <v>0</v>
      </c>
      <c r="M274" s="469">
        <v>0</v>
      </c>
      <c r="N274" s="470">
        <v>0</v>
      </c>
      <c r="O274" s="469">
        <v>0</v>
      </c>
      <c r="P274" s="470">
        <v>0</v>
      </c>
      <c r="Q274" s="469">
        <v>0</v>
      </c>
      <c r="R274" s="470">
        <v>0</v>
      </c>
      <c r="S274" s="469">
        <v>0</v>
      </c>
      <c r="T274" s="470">
        <v>6</v>
      </c>
      <c r="U274" s="469">
        <v>0.17100000000000001</v>
      </c>
      <c r="V274" s="470">
        <v>21</v>
      </c>
      <c r="W274" s="469">
        <v>0.61</v>
      </c>
      <c r="X274" s="470">
        <v>8</v>
      </c>
      <c r="Y274" s="469">
        <v>0.219</v>
      </c>
      <c r="Z274" s="470">
        <v>0</v>
      </c>
      <c r="AA274" s="469">
        <v>0</v>
      </c>
      <c r="AB274" s="470">
        <v>0</v>
      </c>
      <c r="AC274" s="469">
        <v>0</v>
      </c>
      <c r="AD274" s="470">
        <v>0</v>
      </c>
      <c r="AE274" s="469">
        <v>0</v>
      </c>
      <c r="AF274" s="470">
        <v>529</v>
      </c>
      <c r="AG274" s="469">
        <v>0.10100000000000001</v>
      </c>
      <c r="AH274" s="470">
        <v>2780</v>
      </c>
      <c r="AI274" s="469">
        <v>0.52900000000000003</v>
      </c>
      <c r="AJ274" s="470">
        <v>1944</v>
      </c>
      <c r="AK274" s="469">
        <v>0.37</v>
      </c>
      <c r="AL274" s="470">
        <v>0</v>
      </c>
      <c r="AM274" s="469">
        <v>0</v>
      </c>
      <c r="AN274" s="470">
        <v>0</v>
      </c>
      <c r="AO274" s="469">
        <v>0</v>
      </c>
      <c r="AP274" s="470">
        <v>0</v>
      </c>
      <c r="AQ274" s="469">
        <v>0</v>
      </c>
      <c r="AR274" s="470">
        <v>0</v>
      </c>
      <c r="AS274" s="469">
        <v>0</v>
      </c>
      <c r="AT274" s="470">
        <v>0</v>
      </c>
      <c r="AU274" s="469">
        <v>0</v>
      </c>
      <c r="AV274" s="470">
        <v>0</v>
      </c>
      <c r="AW274" s="469">
        <v>0</v>
      </c>
      <c r="AX274" s="467">
        <v>0</v>
      </c>
      <c r="AY274" s="468">
        <v>0</v>
      </c>
      <c r="AZ274" s="467">
        <v>0</v>
      </c>
      <c r="BA274" s="468">
        <v>0</v>
      </c>
      <c r="BB274" s="467">
        <v>0</v>
      </c>
      <c r="BC274" s="468">
        <v>0</v>
      </c>
      <c r="BD274" s="467">
        <v>8</v>
      </c>
      <c r="BE274" s="468">
        <v>0.1</v>
      </c>
      <c r="BF274" s="467">
        <v>68</v>
      </c>
      <c r="BG274" s="468">
        <v>0.9</v>
      </c>
      <c r="BH274" s="467">
        <v>0</v>
      </c>
      <c r="BI274" s="466">
        <v>0</v>
      </c>
      <c r="BJ274" s="467">
        <v>0</v>
      </c>
      <c r="BK274" s="468">
        <v>0</v>
      </c>
      <c r="BL274" s="467">
        <v>0</v>
      </c>
      <c r="BM274" s="468">
        <v>0</v>
      </c>
      <c r="BN274" s="467">
        <v>0</v>
      </c>
      <c r="BO274" s="466">
        <v>0</v>
      </c>
    </row>
    <row r="275" spans="1:67">
      <c r="A275" s="471" t="s">
        <v>307</v>
      </c>
      <c r="B275" s="470">
        <v>0</v>
      </c>
      <c r="C275" s="469">
        <v>0</v>
      </c>
      <c r="D275" s="470">
        <v>0</v>
      </c>
      <c r="E275" s="469">
        <v>0</v>
      </c>
      <c r="F275" s="470">
        <v>0</v>
      </c>
      <c r="G275" s="469">
        <v>0</v>
      </c>
      <c r="H275" s="470">
        <v>0</v>
      </c>
      <c r="I275" s="469">
        <v>0</v>
      </c>
      <c r="J275" s="470">
        <v>0</v>
      </c>
      <c r="K275" s="469">
        <v>0</v>
      </c>
      <c r="L275" s="470">
        <v>0</v>
      </c>
      <c r="M275" s="469">
        <v>0</v>
      </c>
      <c r="N275" s="470">
        <v>0</v>
      </c>
      <c r="O275" s="469">
        <v>0</v>
      </c>
      <c r="P275" s="470">
        <v>0</v>
      </c>
      <c r="Q275" s="469">
        <v>0</v>
      </c>
      <c r="R275" s="470">
        <v>0</v>
      </c>
      <c r="S275" s="469">
        <v>0</v>
      </c>
      <c r="T275" s="470">
        <v>96</v>
      </c>
      <c r="U275" s="469">
        <v>0.33300000000000002</v>
      </c>
      <c r="V275" s="470">
        <v>96</v>
      </c>
      <c r="W275" s="469">
        <v>0.33300000000000002</v>
      </c>
      <c r="X275" s="470">
        <v>96</v>
      </c>
      <c r="Y275" s="469">
        <v>0.33300000000000002</v>
      </c>
      <c r="Z275" s="470">
        <v>0</v>
      </c>
      <c r="AA275" s="469">
        <v>0</v>
      </c>
      <c r="AB275" s="470">
        <v>0</v>
      </c>
      <c r="AC275" s="469">
        <v>0</v>
      </c>
      <c r="AD275" s="470">
        <v>0</v>
      </c>
      <c r="AE275" s="469">
        <v>0</v>
      </c>
      <c r="AF275" s="470">
        <v>1893</v>
      </c>
      <c r="AG275" s="469">
        <v>0.19500000000000001</v>
      </c>
      <c r="AH275" s="470">
        <v>4650</v>
      </c>
      <c r="AI275" s="469">
        <v>0.47799999999999998</v>
      </c>
      <c r="AJ275" s="470">
        <v>3189</v>
      </c>
      <c r="AK275" s="469">
        <v>0.32800000000000001</v>
      </c>
      <c r="AL275" s="470">
        <v>0</v>
      </c>
      <c r="AM275" s="469">
        <v>0</v>
      </c>
      <c r="AN275" s="470">
        <v>0</v>
      </c>
      <c r="AO275" s="469">
        <v>0</v>
      </c>
      <c r="AP275" s="470">
        <v>0</v>
      </c>
      <c r="AQ275" s="469">
        <v>0</v>
      </c>
      <c r="AR275" s="470">
        <v>0</v>
      </c>
      <c r="AS275" s="469">
        <v>0</v>
      </c>
      <c r="AT275" s="470">
        <v>0</v>
      </c>
      <c r="AU275" s="469">
        <v>0</v>
      </c>
      <c r="AV275" s="470">
        <v>0</v>
      </c>
      <c r="AW275" s="469">
        <v>0</v>
      </c>
      <c r="AX275" s="467">
        <v>0</v>
      </c>
      <c r="AY275" s="468">
        <v>0</v>
      </c>
      <c r="AZ275" s="467">
        <v>0</v>
      </c>
      <c r="BA275" s="468">
        <v>0</v>
      </c>
      <c r="BB275" s="467">
        <v>0</v>
      </c>
      <c r="BC275" s="468">
        <v>0</v>
      </c>
      <c r="BD275" s="467">
        <v>0</v>
      </c>
      <c r="BE275" s="468">
        <v>0</v>
      </c>
      <c r="BF275" s="467">
        <v>191</v>
      </c>
      <c r="BG275" s="468">
        <v>0.66700000000000004</v>
      </c>
      <c r="BH275" s="467">
        <v>96</v>
      </c>
      <c r="BI275" s="466">
        <v>0.33300000000000002</v>
      </c>
      <c r="BJ275" s="467">
        <v>0</v>
      </c>
      <c r="BK275" s="468">
        <v>0</v>
      </c>
      <c r="BL275" s="467">
        <v>72</v>
      </c>
      <c r="BM275" s="468">
        <v>1</v>
      </c>
      <c r="BN275" s="467">
        <v>0</v>
      </c>
      <c r="BO275" s="466">
        <v>0</v>
      </c>
    </row>
    <row r="276" spans="1:67">
      <c r="A276" s="471" t="s">
        <v>306</v>
      </c>
      <c r="B276" s="470">
        <v>0</v>
      </c>
      <c r="C276" s="469">
        <v>0</v>
      </c>
      <c r="D276" s="470">
        <v>72</v>
      </c>
      <c r="E276" s="469">
        <v>1</v>
      </c>
      <c r="F276" s="470">
        <v>0</v>
      </c>
      <c r="G276" s="469">
        <v>0</v>
      </c>
      <c r="H276" s="470">
        <v>0</v>
      </c>
      <c r="I276" s="469">
        <v>0</v>
      </c>
      <c r="J276" s="470">
        <v>0</v>
      </c>
      <c r="K276" s="469">
        <v>0</v>
      </c>
      <c r="L276" s="470">
        <v>0</v>
      </c>
      <c r="M276" s="469">
        <v>0</v>
      </c>
      <c r="N276" s="470">
        <v>0</v>
      </c>
      <c r="O276" s="469">
        <v>0</v>
      </c>
      <c r="P276" s="470">
        <v>0</v>
      </c>
      <c r="Q276" s="469">
        <v>0</v>
      </c>
      <c r="R276" s="470">
        <v>0</v>
      </c>
      <c r="S276" s="469">
        <v>0</v>
      </c>
      <c r="T276" s="470">
        <v>0</v>
      </c>
      <c r="U276" s="469">
        <v>0</v>
      </c>
      <c r="V276" s="470">
        <v>0</v>
      </c>
      <c r="W276" s="469">
        <v>0</v>
      </c>
      <c r="X276" s="470">
        <v>91</v>
      </c>
      <c r="Y276" s="469">
        <v>1</v>
      </c>
      <c r="Z276" s="470">
        <v>0</v>
      </c>
      <c r="AA276" s="469">
        <v>0</v>
      </c>
      <c r="AB276" s="470">
        <v>0</v>
      </c>
      <c r="AC276" s="469">
        <v>0</v>
      </c>
      <c r="AD276" s="470">
        <v>0</v>
      </c>
      <c r="AE276" s="469">
        <v>0</v>
      </c>
      <c r="AF276" s="470">
        <v>1297</v>
      </c>
      <c r="AG276" s="469">
        <v>0.161</v>
      </c>
      <c r="AH276" s="470">
        <v>4558</v>
      </c>
      <c r="AI276" s="469">
        <v>0.56499999999999995</v>
      </c>
      <c r="AJ276" s="470">
        <v>2216</v>
      </c>
      <c r="AK276" s="469">
        <v>0.27500000000000002</v>
      </c>
      <c r="AL276" s="470">
        <v>0</v>
      </c>
      <c r="AM276" s="469">
        <v>0</v>
      </c>
      <c r="AN276" s="470">
        <v>0</v>
      </c>
      <c r="AO276" s="469">
        <v>0</v>
      </c>
      <c r="AP276" s="470">
        <v>0</v>
      </c>
      <c r="AQ276" s="469">
        <v>0</v>
      </c>
      <c r="AR276" s="470">
        <v>0</v>
      </c>
      <c r="AS276" s="469">
        <v>0</v>
      </c>
      <c r="AT276" s="470">
        <v>0</v>
      </c>
      <c r="AU276" s="469">
        <v>0</v>
      </c>
      <c r="AV276" s="470">
        <v>0</v>
      </c>
      <c r="AW276" s="469">
        <v>0</v>
      </c>
      <c r="AX276" s="467">
        <v>0</v>
      </c>
      <c r="AY276" s="468">
        <v>0</v>
      </c>
      <c r="AZ276" s="467">
        <v>0</v>
      </c>
      <c r="BA276" s="468">
        <v>0</v>
      </c>
      <c r="BB276" s="467">
        <v>0</v>
      </c>
      <c r="BC276" s="468">
        <v>0</v>
      </c>
      <c r="BD276" s="467">
        <v>0</v>
      </c>
      <c r="BE276" s="468">
        <v>0</v>
      </c>
      <c r="BF276" s="467">
        <v>72</v>
      </c>
      <c r="BG276" s="468">
        <v>0.46899999999999997</v>
      </c>
      <c r="BH276" s="467">
        <v>82</v>
      </c>
      <c r="BI276" s="466">
        <v>0.53100000000000003</v>
      </c>
      <c r="BJ276" s="467">
        <v>0</v>
      </c>
      <c r="BK276" s="468">
        <v>0</v>
      </c>
      <c r="BL276" s="467">
        <v>0</v>
      </c>
      <c r="BM276" s="468">
        <v>0</v>
      </c>
      <c r="BN276" s="467">
        <v>0</v>
      </c>
      <c r="BO276" s="466">
        <v>0</v>
      </c>
    </row>
    <row r="277" spans="1:67">
      <c r="A277" s="471" t="s">
        <v>305</v>
      </c>
      <c r="B277" s="470">
        <v>0</v>
      </c>
      <c r="C277" s="469">
        <v>0</v>
      </c>
      <c r="D277" s="470">
        <v>92</v>
      </c>
      <c r="E277" s="469">
        <v>0.62</v>
      </c>
      <c r="F277" s="470">
        <v>56</v>
      </c>
      <c r="G277" s="469">
        <v>0.38</v>
      </c>
      <c r="H277" s="470">
        <v>0</v>
      </c>
      <c r="I277" s="469">
        <v>0</v>
      </c>
      <c r="J277" s="470">
        <v>0</v>
      </c>
      <c r="K277" s="469">
        <v>0</v>
      </c>
      <c r="L277" s="470">
        <v>0</v>
      </c>
      <c r="M277" s="469">
        <v>0</v>
      </c>
      <c r="N277" s="470">
        <v>0</v>
      </c>
      <c r="O277" s="469">
        <v>0</v>
      </c>
      <c r="P277" s="470">
        <v>0</v>
      </c>
      <c r="Q277" s="469">
        <v>0</v>
      </c>
      <c r="R277" s="470">
        <v>0</v>
      </c>
      <c r="S277" s="469">
        <v>0</v>
      </c>
      <c r="T277" s="470">
        <v>102</v>
      </c>
      <c r="U277" s="469">
        <v>0.47399999999999998</v>
      </c>
      <c r="V277" s="470">
        <v>113</v>
      </c>
      <c r="W277" s="469">
        <v>0.52600000000000002</v>
      </c>
      <c r="X277" s="470">
        <v>0</v>
      </c>
      <c r="Y277" s="469">
        <v>0</v>
      </c>
      <c r="Z277" s="470">
        <v>0</v>
      </c>
      <c r="AA277" s="469">
        <v>0</v>
      </c>
      <c r="AB277" s="470">
        <v>0</v>
      </c>
      <c r="AC277" s="469">
        <v>0</v>
      </c>
      <c r="AD277" s="470">
        <v>0</v>
      </c>
      <c r="AE277" s="469">
        <v>0</v>
      </c>
      <c r="AF277" s="470">
        <v>2661</v>
      </c>
      <c r="AG277" s="469">
        <v>0.20300000000000001</v>
      </c>
      <c r="AH277" s="470">
        <v>6350</v>
      </c>
      <c r="AI277" s="469">
        <v>0.48299999999999998</v>
      </c>
      <c r="AJ277" s="470">
        <v>4128</v>
      </c>
      <c r="AK277" s="469">
        <v>0.314</v>
      </c>
      <c r="AL277" s="470">
        <v>0</v>
      </c>
      <c r="AM277" s="469">
        <v>0</v>
      </c>
      <c r="AN277" s="470">
        <v>0</v>
      </c>
      <c r="AO277" s="469">
        <v>0</v>
      </c>
      <c r="AP277" s="470">
        <v>0</v>
      </c>
      <c r="AQ277" s="469">
        <v>0</v>
      </c>
      <c r="AR277" s="470">
        <v>0</v>
      </c>
      <c r="AS277" s="469">
        <v>0</v>
      </c>
      <c r="AT277" s="470">
        <v>0</v>
      </c>
      <c r="AU277" s="469">
        <v>0</v>
      </c>
      <c r="AV277" s="470">
        <v>0</v>
      </c>
      <c r="AW277" s="469">
        <v>0</v>
      </c>
      <c r="AX277" s="467">
        <v>0</v>
      </c>
      <c r="AY277" s="468">
        <v>0</v>
      </c>
      <c r="AZ277" s="467">
        <v>0</v>
      </c>
      <c r="BA277" s="468">
        <v>0</v>
      </c>
      <c r="BB277" s="467">
        <v>0</v>
      </c>
      <c r="BC277" s="468">
        <v>0</v>
      </c>
      <c r="BD277" s="467">
        <v>53</v>
      </c>
      <c r="BE277" s="468">
        <v>0.34300000000000003</v>
      </c>
      <c r="BF277" s="467">
        <v>102</v>
      </c>
      <c r="BG277" s="468">
        <v>0.65700000000000003</v>
      </c>
      <c r="BH277" s="467">
        <v>0</v>
      </c>
      <c r="BI277" s="466">
        <v>0</v>
      </c>
      <c r="BJ277" s="467">
        <v>0</v>
      </c>
      <c r="BK277" s="468">
        <v>0</v>
      </c>
      <c r="BL277" s="467">
        <v>0</v>
      </c>
      <c r="BM277" s="468">
        <v>0</v>
      </c>
      <c r="BN277" s="467">
        <v>0</v>
      </c>
      <c r="BO277" s="466">
        <v>0</v>
      </c>
    </row>
    <row r="278" spans="1:67" ht="24">
      <c r="A278" s="471" t="s">
        <v>304</v>
      </c>
      <c r="B278" s="470">
        <v>0</v>
      </c>
      <c r="C278" s="469">
        <v>0</v>
      </c>
      <c r="D278" s="470">
        <v>17</v>
      </c>
      <c r="E278" s="469">
        <v>0.59899999999999998</v>
      </c>
      <c r="F278" s="470">
        <v>11</v>
      </c>
      <c r="G278" s="469">
        <v>0.40100000000000002</v>
      </c>
      <c r="H278" s="470">
        <v>0</v>
      </c>
      <c r="I278" s="469">
        <v>0</v>
      </c>
      <c r="J278" s="470">
        <v>0</v>
      </c>
      <c r="K278" s="469">
        <v>0</v>
      </c>
      <c r="L278" s="470">
        <v>0</v>
      </c>
      <c r="M278" s="469">
        <v>0</v>
      </c>
      <c r="N278" s="470">
        <v>0</v>
      </c>
      <c r="O278" s="469">
        <v>0</v>
      </c>
      <c r="P278" s="470">
        <v>0</v>
      </c>
      <c r="Q278" s="469">
        <v>0</v>
      </c>
      <c r="R278" s="470">
        <v>0</v>
      </c>
      <c r="S278" s="469">
        <v>0</v>
      </c>
      <c r="T278" s="470">
        <v>11</v>
      </c>
      <c r="U278" s="469">
        <v>5.6000000000000001E-2</v>
      </c>
      <c r="V278" s="470">
        <v>115</v>
      </c>
      <c r="W278" s="469">
        <v>0.58599999999999997</v>
      </c>
      <c r="X278" s="470">
        <v>70</v>
      </c>
      <c r="Y278" s="469">
        <v>0.35699999999999998</v>
      </c>
      <c r="Z278" s="470">
        <v>0</v>
      </c>
      <c r="AA278" s="469">
        <v>0</v>
      </c>
      <c r="AB278" s="470">
        <v>0</v>
      </c>
      <c r="AC278" s="469">
        <v>0</v>
      </c>
      <c r="AD278" s="470">
        <v>0</v>
      </c>
      <c r="AE278" s="469">
        <v>0</v>
      </c>
      <c r="AF278" s="470">
        <v>3298</v>
      </c>
      <c r="AG278" s="469">
        <v>0.153</v>
      </c>
      <c r="AH278" s="470">
        <v>11957</v>
      </c>
      <c r="AI278" s="469">
        <v>0.55400000000000005</v>
      </c>
      <c r="AJ278" s="470">
        <v>6311</v>
      </c>
      <c r="AK278" s="469">
        <v>0.29299999999999998</v>
      </c>
      <c r="AL278" s="470">
        <v>0</v>
      </c>
      <c r="AM278" s="469">
        <v>0</v>
      </c>
      <c r="AN278" s="470">
        <v>0</v>
      </c>
      <c r="AO278" s="469">
        <v>0</v>
      </c>
      <c r="AP278" s="470">
        <v>0</v>
      </c>
      <c r="AQ278" s="469">
        <v>0</v>
      </c>
      <c r="AR278" s="470">
        <v>0</v>
      </c>
      <c r="AS278" s="469">
        <v>0</v>
      </c>
      <c r="AT278" s="470">
        <v>0</v>
      </c>
      <c r="AU278" s="469">
        <v>0</v>
      </c>
      <c r="AV278" s="470">
        <v>0</v>
      </c>
      <c r="AW278" s="469">
        <v>0</v>
      </c>
      <c r="AX278" s="467">
        <v>0</v>
      </c>
      <c r="AY278" s="468">
        <v>0</v>
      </c>
      <c r="AZ278" s="467">
        <v>0</v>
      </c>
      <c r="BA278" s="468">
        <v>0</v>
      </c>
      <c r="BB278" s="467">
        <v>0</v>
      </c>
      <c r="BC278" s="468">
        <v>0</v>
      </c>
      <c r="BD278" s="467">
        <v>24</v>
      </c>
      <c r="BE278" s="468">
        <v>0.17899999999999999</v>
      </c>
      <c r="BF278" s="467">
        <v>62</v>
      </c>
      <c r="BG278" s="468">
        <v>0.47599999999999998</v>
      </c>
      <c r="BH278" s="467">
        <v>45</v>
      </c>
      <c r="BI278" s="466">
        <v>0.34399999999999997</v>
      </c>
      <c r="BJ278" s="467">
        <v>0</v>
      </c>
      <c r="BK278" s="468">
        <v>0</v>
      </c>
      <c r="BL278" s="467">
        <v>0</v>
      </c>
      <c r="BM278" s="468">
        <v>0</v>
      </c>
      <c r="BN278" s="467">
        <v>0</v>
      </c>
      <c r="BO278" s="466">
        <v>0</v>
      </c>
    </row>
    <row r="279" spans="1:67" ht="24">
      <c r="A279" s="471" t="s">
        <v>303</v>
      </c>
      <c r="B279" s="470">
        <v>0</v>
      </c>
      <c r="C279" s="469">
        <v>0</v>
      </c>
      <c r="D279" s="470">
        <v>0</v>
      </c>
      <c r="E279" s="469">
        <v>0</v>
      </c>
      <c r="F279" s="470">
        <v>0</v>
      </c>
      <c r="G279" s="469">
        <v>0</v>
      </c>
      <c r="H279" s="470">
        <v>0</v>
      </c>
      <c r="I279" s="469">
        <v>0</v>
      </c>
      <c r="J279" s="470">
        <v>0</v>
      </c>
      <c r="K279" s="469">
        <v>0</v>
      </c>
      <c r="L279" s="470">
        <v>0</v>
      </c>
      <c r="M279" s="469">
        <v>0</v>
      </c>
      <c r="N279" s="470">
        <v>0</v>
      </c>
      <c r="O279" s="469">
        <v>0</v>
      </c>
      <c r="P279" s="470">
        <v>0</v>
      </c>
      <c r="Q279" s="469">
        <v>0</v>
      </c>
      <c r="R279" s="470">
        <v>0</v>
      </c>
      <c r="S279" s="469">
        <v>0</v>
      </c>
      <c r="T279" s="470">
        <v>15</v>
      </c>
      <c r="U279" s="469">
        <v>5.8999999999999997E-2</v>
      </c>
      <c r="V279" s="470">
        <v>184</v>
      </c>
      <c r="W279" s="469">
        <v>0.751</v>
      </c>
      <c r="X279" s="470">
        <v>47</v>
      </c>
      <c r="Y279" s="469">
        <v>0.19</v>
      </c>
      <c r="Z279" s="470">
        <v>0</v>
      </c>
      <c r="AA279" s="469">
        <v>0</v>
      </c>
      <c r="AB279" s="470">
        <v>0</v>
      </c>
      <c r="AC279" s="469">
        <v>0</v>
      </c>
      <c r="AD279" s="470">
        <v>0</v>
      </c>
      <c r="AE279" s="469">
        <v>0</v>
      </c>
      <c r="AF279" s="470">
        <v>3826</v>
      </c>
      <c r="AG279" s="469">
        <v>0.13500000000000001</v>
      </c>
      <c r="AH279" s="470">
        <v>16361</v>
      </c>
      <c r="AI279" s="469">
        <v>0.57699999999999996</v>
      </c>
      <c r="AJ279" s="470">
        <v>8188</v>
      </c>
      <c r="AK279" s="469">
        <v>0.28899999999999998</v>
      </c>
      <c r="AL279" s="470">
        <v>0</v>
      </c>
      <c r="AM279" s="469">
        <v>0</v>
      </c>
      <c r="AN279" s="470">
        <v>0</v>
      </c>
      <c r="AO279" s="469">
        <v>0</v>
      </c>
      <c r="AP279" s="470">
        <v>0</v>
      </c>
      <c r="AQ279" s="469">
        <v>0</v>
      </c>
      <c r="AR279" s="470">
        <v>0</v>
      </c>
      <c r="AS279" s="469">
        <v>0</v>
      </c>
      <c r="AT279" s="470">
        <v>0</v>
      </c>
      <c r="AU279" s="469">
        <v>0</v>
      </c>
      <c r="AV279" s="470">
        <v>0</v>
      </c>
      <c r="AW279" s="469">
        <v>0</v>
      </c>
      <c r="AX279" s="467">
        <v>0</v>
      </c>
      <c r="AY279" s="468">
        <v>0</v>
      </c>
      <c r="AZ279" s="467">
        <v>0</v>
      </c>
      <c r="BA279" s="468">
        <v>0</v>
      </c>
      <c r="BB279" s="467">
        <v>0</v>
      </c>
      <c r="BC279" s="468">
        <v>0</v>
      </c>
      <c r="BD279" s="467">
        <v>97</v>
      </c>
      <c r="BE279" s="468">
        <v>0.192</v>
      </c>
      <c r="BF279" s="467">
        <v>239</v>
      </c>
      <c r="BG279" s="468">
        <v>0.47399999999999998</v>
      </c>
      <c r="BH279" s="467">
        <v>169</v>
      </c>
      <c r="BI279" s="466">
        <v>0.33500000000000002</v>
      </c>
      <c r="BJ279" s="467">
        <v>0</v>
      </c>
      <c r="BK279" s="468">
        <v>0</v>
      </c>
      <c r="BL279" s="467">
        <v>0</v>
      </c>
      <c r="BM279" s="468">
        <v>0</v>
      </c>
      <c r="BN279" s="467">
        <v>0</v>
      </c>
      <c r="BO279" s="466">
        <v>0</v>
      </c>
    </row>
    <row r="280" spans="1:67" ht="15.75" thickBot="1">
      <c r="A280" s="465" t="s">
        <v>302</v>
      </c>
      <c r="B280" s="464">
        <v>0</v>
      </c>
      <c r="C280" s="463">
        <v>0</v>
      </c>
      <c r="D280" s="464">
        <v>0</v>
      </c>
      <c r="E280" s="463">
        <v>0</v>
      </c>
      <c r="F280" s="464">
        <v>0</v>
      </c>
      <c r="G280" s="463">
        <v>0</v>
      </c>
      <c r="H280" s="464">
        <v>0</v>
      </c>
      <c r="I280" s="463">
        <v>0</v>
      </c>
      <c r="J280" s="464">
        <v>0</v>
      </c>
      <c r="K280" s="463">
        <v>0</v>
      </c>
      <c r="L280" s="464">
        <v>0</v>
      </c>
      <c r="M280" s="463">
        <v>0</v>
      </c>
      <c r="N280" s="464">
        <v>0</v>
      </c>
      <c r="O280" s="463">
        <v>0</v>
      </c>
      <c r="P280" s="464">
        <v>0</v>
      </c>
      <c r="Q280" s="463">
        <v>0</v>
      </c>
      <c r="R280" s="464">
        <v>0</v>
      </c>
      <c r="S280" s="463">
        <v>0</v>
      </c>
      <c r="T280" s="464">
        <v>0</v>
      </c>
      <c r="U280" s="463">
        <v>0</v>
      </c>
      <c r="V280" s="464">
        <v>59</v>
      </c>
      <c r="W280" s="463">
        <v>1</v>
      </c>
      <c r="X280" s="464">
        <v>0</v>
      </c>
      <c r="Y280" s="463">
        <v>0</v>
      </c>
      <c r="Z280" s="464">
        <v>0</v>
      </c>
      <c r="AA280" s="463">
        <v>0</v>
      </c>
      <c r="AB280" s="464">
        <v>0</v>
      </c>
      <c r="AC280" s="463">
        <v>0</v>
      </c>
      <c r="AD280" s="464">
        <v>0</v>
      </c>
      <c r="AE280" s="463">
        <v>0</v>
      </c>
      <c r="AF280" s="464">
        <v>350</v>
      </c>
      <c r="AG280" s="463">
        <v>0.16200000000000001</v>
      </c>
      <c r="AH280" s="464">
        <v>1083</v>
      </c>
      <c r="AI280" s="463">
        <v>0.503</v>
      </c>
      <c r="AJ280" s="464">
        <v>722</v>
      </c>
      <c r="AK280" s="463">
        <v>0.33500000000000002</v>
      </c>
      <c r="AL280" s="464">
        <v>0</v>
      </c>
      <c r="AM280" s="463">
        <v>0</v>
      </c>
      <c r="AN280" s="464">
        <v>0</v>
      </c>
      <c r="AO280" s="463">
        <v>0</v>
      </c>
      <c r="AP280" s="464">
        <v>0</v>
      </c>
      <c r="AQ280" s="463">
        <v>0</v>
      </c>
      <c r="AR280" s="464">
        <v>0</v>
      </c>
      <c r="AS280" s="463">
        <v>0</v>
      </c>
      <c r="AT280" s="464">
        <v>0</v>
      </c>
      <c r="AU280" s="463">
        <v>0</v>
      </c>
      <c r="AV280" s="464">
        <v>0</v>
      </c>
      <c r="AW280" s="463">
        <v>0</v>
      </c>
      <c r="AX280" s="461">
        <v>0</v>
      </c>
      <c r="AY280" s="462">
        <v>0</v>
      </c>
      <c r="AZ280" s="461">
        <v>0</v>
      </c>
      <c r="BA280" s="462">
        <v>0</v>
      </c>
      <c r="BB280" s="461">
        <v>0</v>
      </c>
      <c r="BC280" s="462">
        <v>0</v>
      </c>
      <c r="BD280" s="461">
        <v>0</v>
      </c>
      <c r="BE280" s="462">
        <v>0</v>
      </c>
      <c r="BF280" s="461">
        <v>0</v>
      </c>
      <c r="BG280" s="462">
        <v>0</v>
      </c>
      <c r="BH280" s="461">
        <v>59</v>
      </c>
      <c r="BI280" s="460">
        <v>1</v>
      </c>
      <c r="BJ280" s="461">
        <v>0</v>
      </c>
      <c r="BK280" s="462">
        <v>0</v>
      </c>
      <c r="BL280" s="461">
        <v>0</v>
      </c>
      <c r="BM280" s="462">
        <v>0</v>
      </c>
      <c r="BN280" s="461">
        <v>0</v>
      </c>
      <c r="BO280" s="460">
        <v>0</v>
      </c>
    </row>
    <row r="285" spans="1:67" ht="15.75" thickBot="1"/>
    <row r="286" spans="1:67" ht="26.25" customHeight="1" thickBot="1">
      <c r="A286" s="897" t="s">
        <v>317</v>
      </c>
      <c r="B286" s="898"/>
      <c r="C286" s="898"/>
      <c r="D286" s="898"/>
      <c r="E286" s="898"/>
      <c r="F286" s="898"/>
      <c r="G286" s="898"/>
      <c r="H286" s="898"/>
      <c r="I286" s="898"/>
      <c r="J286" s="898"/>
      <c r="K286" s="899"/>
      <c r="N286" s="326"/>
    </row>
    <row r="287" spans="1:67" ht="15.75" customHeight="1">
      <c r="A287" s="905" t="s">
        <v>262</v>
      </c>
      <c r="B287" s="906"/>
      <c r="C287" s="909" t="s">
        <v>313</v>
      </c>
      <c r="D287" s="910"/>
      <c r="E287" s="910"/>
      <c r="F287" s="910"/>
      <c r="G287" s="910"/>
      <c r="H287" s="910"/>
      <c r="I287" s="910"/>
      <c r="J287" s="911"/>
      <c r="K287" s="900" t="s">
        <v>260</v>
      </c>
      <c r="N287" s="326"/>
    </row>
    <row r="288" spans="1:67" ht="60.75" thickBot="1">
      <c r="A288" s="907"/>
      <c r="B288" s="908"/>
      <c r="C288" s="459" t="s">
        <v>309</v>
      </c>
      <c r="D288" s="458" t="s">
        <v>308</v>
      </c>
      <c r="E288" s="458" t="s">
        <v>307</v>
      </c>
      <c r="F288" s="458" t="s">
        <v>306</v>
      </c>
      <c r="G288" s="458" t="s">
        <v>305</v>
      </c>
      <c r="H288" s="458" t="s">
        <v>304</v>
      </c>
      <c r="I288" s="458" t="s">
        <v>303</v>
      </c>
      <c r="J288" s="458" t="s">
        <v>302</v>
      </c>
      <c r="K288" s="901"/>
      <c r="N288" s="326"/>
    </row>
    <row r="289" spans="1:14" ht="15" customHeight="1">
      <c r="A289" s="902" t="s">
        <v>256</v>
      </c>
      <c r="B289" s="457" t="s">
        <v>7</v>
      </c>
      <c r="C289" s="456">
        <v>62.075584599999992</v>
      </c>
      <c r="D289" s="456">
        <v>62.147366999999988</v>
      </c>
      <c r="E289" s="456">
        <v>99.101029999999994</v>
      </c>
      <c r="F289" s="456">
        <v>350.2583975</v>
      </c>
      <c r="G289" s="456">
        <v>340.00542599999994</v>
      </c>
      <c r="H289" s="456">
        <v>899.61450599999989</v>
      </c>
      <c r="I289" s="456">
        <v>329.4595690000001</v>
      </c>
      <c r="J289" s="456">
        <v>0</v>
      </c>
      <c r="K289" s="455">
        <v>2142.6618801</v>
      </c>
      <c r="N289" s="326"/>
    </row>
    <row r="290" spans="1:14" ht="36.75" thickBot="1">
      <c r="A290" s="903"/>
      <c r="B290" s="454" t="s">
        <v>312</v>
      </c>
      <c r="C290" s="453">
        <v>5.7518260290689805E-3</v>
      </c>
      <c r="D290" s="453">
        <v>3.8119256092895414E-3</v>
      </c>
      <c r="E290" s="453">
        <v>3.3649346965016307E-3</v>
      </c>
      <c r="F290" s="453">
        <v>1.1223266132599751E-2</v>
      </c>
      <c r="G290" s="453">
        <v>5.523505916099891E-3</v>
      </c>
      <c r="H290" s="453">
        <v>6.5258537128161627E-3</v>
      </c>
      <c r="I290" s="453">
        <v>2.5805384740416409E-3</v>
      </c>
      <c r="J290" s="453">
        <v>0</v>
      </c>
      <c r="K290" s="452">
        <f>+K289/$K$307</f>
        <v>5.0907443232744353E-3</v>
      </c>
      <c r="N290" s="326"/>
    </row>
    <row r="291" spans="1:14" ht="15" customHeight="1">
      <c r="A291" s="904" t="s">
        <v>255</v>
      </c>
      <c r="B291" s="457" t="s">
        <v>7</v>
      </c>
      <c r="C291" s="456">
        <v>122.26228039999999</v>
      </c>
      <c r="D291" s="456">
        <v>102.50292300000002</v>
      </c>
      <c r="E291" s="456">
        <v>18.75</v>
      </c>
      <c r="F291" s="456">
        <v>357.39276200000006</v>
      </c>
      <c r="G291" s="456">
        <v>252.16451200000006</v>
      </c>
      <c r="H291" s="456">
        <v>970.84602400000006</v>
      </c>
      <c r="I291" s="456">
        <v>765.02349999999944</v>
      </c>
      <c r="J291" s="456">
        <v>0</v>
      </c>
      <c r="K291" s="455">
        <v>2588.9420013999998</v>
      </c>
      <c r="N291" s="326"/>
    </row>
    <row r="292" spans="1:14" ht="36.75" thickBot="1">
      <c r="A292" s="903"/>
      <c r="B292" s="454" t="s">
        <v>312</v>
      </c>
      <c r="C292" s="453">
        <v>1.1328630593002103E-2</v>
      </c>
      <c r="D292" s="453">
        <v>6.2872095162251063E-3</v>
      </c>
      <c r="E292" s="453">
        <v>6.366485349285025E-4</v>
      </c>
      <c r="F292" s="453">
        <v>1.1451871276807531E-2</v>
      </c>
      <c r="G292" s="453">
        <v>4.0964998419244121E-3</v>
      </c>
      <c r="H292" s="453">
        <v>7.0425711102230833E-3</v>
      </c>
      <c r="I292" s="453">
        <v>5.992154306788379E-3</v>
      </c>
      <c r="J292" s="453">
        <v>0</v>
      </c>
      <c r="K292" s="452">
        <f>+K291/$K$307</f>
        <v>6.1510600059299595E-3</v>
      </c>
      <c r="N292" s="326"/>
    </row>
    <row r="293" spans="1:14" ht="15" customHeight="1">
      <c r="A293" s="904" t="s">
        <v>254</v>
      </c>
      <c r="B293" s="457" t="s">
        <v>7</v>
      </c>
      <c r="C293" s="456">
        <v>2126.9781342000001</v>
      </c>
      <c r="D293" s="456">
        <v>1811.4797450000015</v>
      </c>
      <c r="E293" s="456">
        <v>1963.2313930000003</v>
      </c>
      <c r="F293" s="456">
        <v>3397.9238619999974</v>
      </c>
      <c r="G293" s="456">
        <v>3838.3757669999977</v>
      </c>
      <c r="H293" s="456">
        <v>17467.427348999972</v>
      </c>
      <c r="I293" s="456">
        <v>12759.27269400005</v>
      </c>
      <c r="J293" s="456">
        <v>1126.7416659999999</v>
      </c>
      <c r="K293" s="455">
        <v>44491.430610200019</v>
      </c>
      <c r="N293" s="326"/>
    </row>
    <row r="294" spans="1:14" ht="36.75" thickBot="1">
      <c r="A294" s="903"/>
      <c r="B294" s="454" t="s">
        <v>312</v>
      </c>
      <c r="C294" s="453">
        <v>0.19708244834720631</v>
      </c>
      <c r="D294" s="453">
        <v>0.11111051624560048</v>
      </c>
      <c r="E294" s="453">
        <v>6.6660714137551647E-2</v>
      </c>
      <c r="F294" s="453">
        <v>0.10887905635877618</v>
      </c>
      <c r="G294" s="453">
        <v>6.2355743867566822E-2</v>
      </c>
      <c r="H294" s="453">
        <v>0.12670969049360581</v>
      </c>
      <c r="I294" s="453">
        <v>9.9938800343832346E-2</v>
      </c>
      <c r="J294" s="453">
        <v>0.18600181632418353</v>
      </c>
      <c r="K294" s="452">
        <f>+K293/$K$307</f>
        <v>0.10570706461752308</v>
      </c>
      <c r="N294" s="326"/>
    </row>
    <row r="295" spans="1:14" ht="15" customHeight="1">
      <c r="A295" s="904" t="s">
        <v>253</v>
      </c>
      <c r="B295" s="457" t="s">
        <v>7</v>
      </c>
      <c r="C295" s="456">
        <v>2058.0862767999997</v>
      </c>
      <c r="D295" s="456">
        <v>2418.0868040000028</v>
      </c>
      <c r="E295" s="456">
        <v>9391.8446179999955</v>
      </c>
      <c r="F295" s="456">
        <v>9800.3515420000003</v>
      </c>
      <c r="G295" s="456">
        <v>15949.465777999949</v>
      </c>
      <c r="H295" s="456">
        <v>30009.177963000053</v>
      </c>
      <c r="I295" s="456">
        <v>29439.357223000141</v>
      </c>
      <c r="J295" s="456">
        <v>955.73337999999978</v>
      </c>
      <c r="K295" s="455">
        <v>100022.10358480013</v>
      </c>
      <c r="N295" s="326"/>
    </row>
    <row r="296" spans="1:14" ht="36.75" thickBot="1">
      <c r="A296" s="903"/>
      <c r="B296" s="454" t="s">
        <v>312</v>
      </c>
      <c r="C296" s="453">
        <v>0.19069903720194537</v>
      </c>
      <c r="D296" s="453">
        <v>0.14831790079944518</v>
      </c>
      <c r="E296" s="453">
        <v>0.31889621953737807</v>
      </c>
      <c r="F296" s="453">
        <v>0.3140308821543682</v>
      </c>
      <c r="G296" s="453">
        <v>0.25910459612316739</v>
      </c>
      <c r="H296" s="453">
        <v>0.21768824771307646</v>
      </c>
      <c r="I296" s="453">
        <v>0.2305879115777254</v>
      </c>
      <c r="J296" s="453">
        <v>0.15777187439312382</v>
      </c>
      <c r="K296" s="452">
        <f>+K295/$K$307</f>
        <v>0.23764223406192517</v>
      </c>
      <c r="N296" s="326"/>
    </row>
    <row r="297" spans="1:14" ht="15" customHeight="1">
      <c r="A297" s="904" t="s">
        <v>252</v>
      </c>
      <c r="B297" s="457" t="s">
        <v>7</v>
      </c>
      <c r="C297" s="456">
        <v>1094.901355</v>
      </c>
      <c r="D297" s="456">
        <v>2876.1550340000044</v>
      </c>
      <c r="E297" s="456">
        <v>3795.5944719999979</v>
      </c>
      <c r="F297" s="456">
        <v>2572.0750735000011</v>
      </c>
      <c r="G297" s="456">
        <v>11007.546229999982</v>
      </c>
      <c r="H297" s="456">
        <v>13819.921399999976</v>
      </c>
      <c r="I297" s="456">
        <v>18193.739256000055</v>
      </c>
      <c r="J297" s="456">
        <v>435.46667000000002</v>
      </c>
      <c r="K297" s="455">
        <v>53795.399490500015</v>
      </c>
      <c r="N297" s="326"/>
    </row>
    <row r="298" spans="1:14" ht="36.75" thickBot="1">
      <c r="A298" s="903"/>
      <c r="B298" s="454" t="s">
        <v>312</v>
      </c>
      <c r="C298" s="453">
        <v>0.10145183736138179</v>
      </c>
      <c r="D298" s="453">
        <v>0.17641437698224047</v>
      </c>
      <c r="E298" s="453">
        <v>0.12887784852168116</v>
      </c>
      <c r="F298" s="453">
        <v>8.2416533818911744E-2</v>
      </c>
      <c r="G298" s="453">
        <v>0.17882140128889579</v>
      </c>
      <c r="H298" s="453">
        <v>0.10025047926363406</v>
      </c>
      <c r="I298" s="453">
        <v>0.14250502506057083</v>
      </c>
      <c r="J298" s="453">
        <v>7.1886568157357777E-2</v>
      </c>
      <c r="K298" s="452">
        <f>+K297/$K$307</f>
        <v>0.12781233806323292</v>
      </c>
      <c r="N298" s="326"/>
    </row>
    <row r="299" spans="1:14" ht="15" customHeight="1">
      <c r="A299" s="904" t="s">
        <v>251</v>
      </c>
      <c r="B299" s="457" t="s">
        <v>7</v>
      </c>
      <c r="C299" s="456">
        <v>1989.6242416</v>
      </c>
      <c r="D299" s="456">
        <v>2678.8749900000048</v>
      </c>
      <c r="E299" s="456">
        <v>6973.8716929999964</v>
      </c>
      <c r="F299" s="456">
        <v>6161.0781319999978</v>
      </c>
      <c r="G299" s="456">
        <v>15223.651762999978</v>
      </c>
      <c r="H299" s="456">
        <v>28959.21024000004</v>
      </c>
      <c r="I299" s="456">
        <v>24893.268414000057</v>
      </c>
      <c r="J299" s="456">
        <v>2031.1833360000003</v>
      </c>
      <c r="K299" s="455">
        <v>88910.76280960007</v>
      </c>
      <c r="N299" s="326"/>
    </row>
    <row r="300" spans="1:14" ht="36.75" thickBot="1">
      <c r="A300" s="903"/>
      <c r="B300" s="454" t="s">
        <v>312</v>
      </c>
      <c r="C300" s="453">
        <v>0.18435545270566023</v>
      </c>
      <c r="D300" s="453">
        <v>0.16431383454211801</v>
      </c>
      <c r="E300" s="453">
        <v>0.23679494379348287</v>
      </c>
      <c r="F300" s="453">
        <v>0.19741830612120162</v>
      </c>
      <c r="G300" s="453">
        <v>0.24731349604278058</v>
      </c>
      <c r="H300" s="453">
        <v>0.21007172339318431</v>
      </c>
      <c r="I300" s="453">
        <v>0.19498003072714717</v>
      </c>
      <c r="J300" s="453">
        <v>0.33530648700037902</v>
      </c>
      <c r="K300" s="452">
        <f>+K299/$K$307</f>
        <v>0.21124283082398754</v>
      </c>
      <c r="N300" s="326"/>
    </row>
    <row r="301" spans="1:14" ht="15" customHeight="1">
      <c r="A301" s="904" t="s">
        <v>250</v>
      </c>
      <c r="B301" s="457" t="s">
        <v>7</v>
      </c>
      <c r="C301" s="456">
        <v>284.76194199999998</v>
      </c>
      <c r="D301" s="456">
        <v>1606.8391370000022</v>
      </c>
      <c r="E301" s="456">
        <v>1986.8739250000001</v>
      </c>
      <c r="F301" s="456">
        <v>2031.8578550000009</v>
      </c>
      <c r="G301" s="456">
        <v>4657.1243510000004</v>
      </c>
      <c r="H301" s="456">
        <v>7804.9074660000279</v>
      </c>
      <c r="I301" s="456">
        <v>12189.507642000019</v>
      </c>
      <c r="J301" s="456">
        <v>520.14167399999997</v>
      </c>
      <c r="K301" s="455">
        <v>31082.013992000051</v>
      </c>
      <c r="N301" s="326"/>
    </row>
    <row r="302" spans="1:14" ht="36.75" thickBot="1">
      <c r="A302" s="903"/>
      <c r="B302" s="454" t="s">
        <v>312</v>
      </c>
      <c r="C302" s="453">
        <v>2.6385593637789619E-2</v>
      </c>
      <c r="D302" s="453">
        <v>9.8558499772629399E-2</v>
      </c>
      <c r="E302" s="453">
        <v>6.7463486583407659E-2</v>
      </c>
      <c r="F302" s="453">
        <v>6.5106451731191645E-2</v>
      </c>
      <c r="G302" s="453">
        <v>7.5656598211939624E-2</v>
      </c>
      <c r="H302" s="453">
        <v>5.6617233298795748E-2</v>
      </c>
      <c r="I302" s="453">
        <v>9.5476035330470665E-2</v>
      </c>
      <c r="J302" s="453">
        <v>8.5864665370332854E-2</v>
      </c>
      <c r="K302" s="452">
        <f>+K301/$K$307</f>
        <v>7.384766945978713E-2</v>
      </c>
      <c r="N302" s="326"/>
    </row>
    <row r="303" spans="1:14" ht="15" customHeight="1">
      <c r="A303" s="904" t="s">
        <v>249</v>
      </c>
      <c r="B303" s="457" t="s">
        <v>7</v>
      </c>
      <c r="C303" s="456">
        <v>2949.1621267999994</v>
      </c>
      <c r="D303" s="456">
        <v>3563.9563530000069</v>
      </c>
      <c r="E303" s="456">
        <v>3983.967654</v>
      </c>
      <c r="F303" s="456">
        <v>5883.1884414999995</v>
      </c>
      <c r="G303" s="456">
        <v>9107.2440660000011</v>
      </c>
      <c r="H303" s="456">
        <v>32760.147526000062</v>
      </c>
      <c r="I303" s="456">
        <v>25552.27630500009</v>
      </c>
      <c r="J303" s="456">
        <v>988.42501199999981</v>
      </c>
      <c r="K303" s="455">
        <v>84788.367484300165</v>
      </c>
      <c r="N303" s="326"/>
    </row>
    <row r="304" spans="1:14" ht="36.75" thickBot="1">
      <c r="A304" s="903"/>
      <c r="B304" s="454" t="s">
        <v>312</v>
      </c>
      <c r="C304" s="453">
        <v>0.2732647238713668</v>
      </c>
      <c r="D304" s="453">
        <v>0.21860196414098904</v>
      </c>
      <c r="E304" s="453">
        <v>0.13527398240648764</v>
      </c>
      <c r="F304" s="453">
        <v>0.18851393730592644</v>
      </c>
      <c r="G304" s="453">
        <v>0.14795033441000627</v>
      </c>
      <c r="H304" s="453">
        <v>0.23764393408408732</v>
      </c>
      <c r="I304" s="453">
        <v>0.20014180284560287</v>
      </c>
      <c r="J304" s="453">
        <v>0.16316858875462309</v>
      </c>
      <c r="K304" s="452">
        <f>+K303/$K$307</f>
        <v>0.20144844338681331</v>
      </c>
      <c r="N304" s="326"/>
    </row>
    <row r="305" spans="1:19">
      <c r="A305" s="904" t="s">
        <v>172</v>
      </c>
      <c r="B305" s="457" t="s">
        <v>7</v>
      </c>
      <c r="C305" s="456">
        <v>104.47458</v>
      </c>
      <c r="D305" s="456">
        <v>1183.3626370000002</v>
      </c>
      <c r="E305" s="456">
        <v>1237.865738</v>
      </c>
      <c r="F305" s="456">
        <v>654.11522200000002</v>
      </c>
      <c r="G305" s="456">
        <v>1180.5118739999998</v>
      </c>
      <c r="H305" s="456">
        <v>5162.6660460000094</v>
      </c>
      <c r="I305" s="456">
        <v>3548.9564649999984</v>
      </c>
      <c r="J305" s="456">
        <v>0</v>
      </c>
      <c r="K305" s="455">
        <v>13071.952562000008</v>
      </c>
      <c r="N305" s="326"/>
    </row>
    <row r="306" spans="1:19" ht="36.75" thickBot="1">
      <c r="A306" s="903"/>
      <c r="B306" s="454" t="s">
        <v>312</v>
      </c>
      <c r="C306" s="453">
        <v>9.6804502525788469E-3</v>
      </c>
      <c r="D306" s="453">
        <v>7.2583772391462784E-2</v>
      </c>
      <c r="E306" s="453">
        <v>4.2031221788580785E-2</v>
      </c>
      <c r="F306" s="453">
        <v>2.0959695100216887E-2</v>
      </c>
      <c r="G306" s="453">
        <v>1.9177824297619207E-2</v>
      </c>
      <c r="H306" s="453">
        <v>3.7450266930576938E-2</v>
      </c>
      <c r="I306" s="453">
        <v>2.7797701333820746E-2</v>
      </c>
      <c r="J306" s="453">
        <v>0</v>
      </c>
      <c r="K306" s="452">
        <f>+K305/$K$307</f>
        <v>3.1057615257526535E-2</v>
      </c>
      <c r="N306" s="326"/>
    </row>
    <row r="307" spans="1:19" ht="15.75" thickBot="1">
      <c r="A307" s="451" t="s">
        <v>9</v>
      </c>
      <c r="B307" s="450" t="s">
        <v>7</v>
      </c>
      <c r="C307" s="449">
        <v>10792.326521399998</v>
      </c>
      <c r="D307" s="449">
        <v>16303.404990000023</v>
      </c>
      <c r="E307" s="449">
        <v>29451.10052299999</v>
      </c>
      <c r="F307" s="449">
        <v>31208.241287499997</v>
      </c>
      <c r="G307" s="449">
        <v>61556.08976699991</v>
      </c>
      <c r="H307" s="449">
        <v>137853.91852000015</v>
      </c>
      <c r="I307" s="449">
        <v>127670.86106800041</v>
      </c>
      <c r="J307" s="449">
        <v>6057.6917379999995</v>
      </c>
      <c r="K307" s="448">
        <v>420893.63441490044</v>
      </c>
      <c r="N307" s="326"/>
    </row>
    <row r="308" spans="1:19">
      <c r="A308" s="326"/>
      <c r="B308" s="326"/>
      <c r="C308" s="326"/>
      <c r="D308" s="326"/>
      <c r="E308" s="326"/>
      <c r="G308" s="326"/>
      <c r="H308" s="326"/>
      <c r="I308" s="326"/>
      <c r="J308" s="326"/>
      <c r="K308" s="326"/>
      <c r="L308" s="326"/>
      <c r="M308" s="326"/>
      <c r="N308" s="326"/>
      <c r="O308" s="326"/>
      <c r="P308" s="326"/>
      <c r="Q308" s="326"/>
      <c r="R308" s="326"/>
      <c r="S308" s="326"/>
    </row>
    <row r="309" spans="1:19">
      <c r="A309" s="326"/>
      <c r="B309" s="326"/>
      <c r="C309" s="326"/>
      <c r="D309" s="326"/>
      <c r="E309" s="326"/>
      <c r="G309" s="326"/>
      <c r="H309" s="326"/>
      <c r="I309" s="326"/>
      <c r="J309" s="326"/>
      <c r="K309" s="326"/>
      <c r="L309" s="326"/>
      <c r="M309" s="326"/>
      <c r="N309" s="326"/>
      <c r="O309" s="326"/>
      <c r="P309" s="326"/>
      <c r="Q309" s="326"/>
      <c r="R309" s="326"/>
      <c r="S309" s="326"/>
    </row>
    <row r="310" spans="1:19" ht="8.25" customHeight="1" thickBot="1"/>
    <row r="311" spans="1:19" ht="15.75" hidden="1" thickBot="1"/>
    <row r="312" spans="1:19" ht="36.75" customHeight="1">
      <c r="A312" s="830" t="s">
        <v>310</v>
      </c>
      <c r="B312" s="921" t="s">
        <v>318</v>
      </c>
      <c r="C312" s="922"/>
      <c r="D312" s="922"/>
      <c r="E312" s="922"/>
      <c r="F312" s="922"/>
      <c r="G312" s="923"/>
      <c r="H312" s="326"/>
    </row>
    <row r="313" spans="1:19" ht="15" customHeight="1">
      <c r="A313" s="831"/>
      <c r="B313" s="809" t="s">
        <v>245</v>
      </c>
      <c r="C313" s="810"/>
      <c r="D313" s="811" t="s">
        <v>26</v>
      </c>
      <c r="E313" s="810"/>
      <c r="F313" s="812" t="s">
        <v>9</v>
      </c>
      <c r="G313" s="813"/>
      <c r="H313" s="326"/>
    </row>
    <row r="314" spans="1:19" ht="15.75" customHeight="1" thickBot="1">
      <c r="A314" s="839"/>
      <c r="B314" s="185" t="s">
        <v>7</v>
      </c>
      <c r="C314" s="185" t="s">
        <v>8</v>
      </c>
      <c r="D314" s="185" t="s">
        <v>7</v>
      </c>
      <c r="E314" s="185" t="s">
        <v>8</v>
      </c>
      <c r="F314" s="185" t="s">
        <v>7</v>
      </c>
      <c r="G314" s="447" t="s">
        <v>6</v>
      </c>
      <c r="H314" s="326"/>
    </row>
    <row r="315" spans="1:19" ht="15.75" customHeight="1">
      <c r="A315" s="438" t="s">
        <v>5</v>
      </c>
      <c r="B315" s="400">
        <v>10676.338827500003</v>
      </c>
      <c r="C315" s="446">
        <v>4.1696467845665372E-2</v>
      </c>
      <c r="D315" s="400">
        <v>245372.65954370968</v>
      </c>
      <c r="E315" s="446">
        <v>0.95830353215433151</v>
      </c>
      <c r="F315" s="400">
        <v>256048.9983712105</v>
      </c>
      <c r="G315" s="399">
        <v>1</v>
      </c>
      <c r="H315" s="326"/>
    </row>
    <row r="316" spans="1:19">
      <c r="A316" s="436" t="s">
        <v>309</v>
      </c>
      <c r="B316" s="390">
        <v>183.016425</v>
      </c>
      <c r="C316" s="353">
        <v>3.2243907555739859E-2</v>
      </c>
      <c r="D316" s="390">
        <v>5492.9837522000053</v>
      </c>
      <c r="E316" s="353">
        <v>0.9677560924442602</v>
      </c>
      <c r="F316" s="390">
        <v>5676.0001772000051</v>
      </c>
      <c r="G316" s="311">
        <v>2.2167632809760682E-2</v>
      </c>
      <c r="H316" s="326"/>
    </row>
    <row r="317" spans="1:19">
      <c r="A317" s="436" t="s">
        <v>308</v>
      </c>
      <c r="B317" s="390">
        <v>974.02912499999979</v>
      </c>
      <c r="C317" s="353">
        <v>9.2632346515502895E-2</v>
      </c>
      <c r="D317" s="390">
        <v>9540.9708900000151</v>
      </c>
      <c r="E317" s="353">
        <v>0.90736765348449677</v>
      </c>
      <c r="F317" s="390">
        <v>10515.000015000018</v>
      </c>
      <c r="G317" s="311">
        <v>4.1066358712154596E-2</v>
      </c>
      <c r="H317" s="326"/>
    </row>
    <row r="318" spans="1:19">
      <c r="A318" s="436" t="s">
        <v>307</v>
      </c>
      <c r="B318" s="390">
        <v>490.273775</v>
      </c>
      <c r="C318" s="353">
        <v>2.5431775474600737E-2</v>
      </c>
      <c r="D318" s="390">
        <v>18787.72651600001</v>
      </c>
      <c r="E318" s="353">
        <v>0.97456822452539926</v>
      </c>
      <c r="F318" s="390">
        <v>19278.000291000011</v>
      </c>
      <c r="G318" s="311">
        <v>7.5290278085960199E-2</v>
      </c>
      <c r="H318" s="326"/>
    </row>
    <row r="319" spans="1:19">
      <c r="A319" s="436" t="s">
        <v>306</v>
      </c>
      <c r="B319" s="390">
        <v>332.50345149999998</v>
      </c>
      <c r="C319" s="353">
        <v>1.6540814690520687E-2</v>
      </c>
      <c r="D319" s="390">
        <v>19769.496221499976</v>
      </c>
      <c r="E319" s="353">
        <v>0.9834591853094794</v>
      </c>
      <c r="F319" s="390">
        <v>20101.999672999973</v>
      </c>
      <c r="G319" s="311">
        <v>7.8508409721864347E-2</v>
      </c>
      <c r="H319" s="326"/>
    </row>
    <row r="320" spans="1:19">
      <c r="A320" s="436" t="s">
        <v>305</v>
      </c>
      <c r="B320" s="390">
        <v>1373.2846950000003</v>
      </c>
      <c r="C320" s="353">
        <v>4.3283053212090812E-2</v>
      </c>
      <c r="D320" s="390">
        <v>30354.714905000084</v>
      </c>
      <c r="E320" s="353">
        <v>0.95671694678790875</v>
      </c>
      <c r="F320" s="390">
        <v>31727.999600000101</v>
      </c>
      <c r="G320" s="311">
        <v>0.12391378135368453</v>
      </c>
      <c r="H320" s="326"/>
    </row>
    <row r="321" spans="1:8" ht="25.5">
      <c r="A321" s="436" t="s">
        <v>304</v>
      </c>
      <c r="B321" s="390">
        <v>3270.4906770000007</v>
      </c>
      <c r="C321" s="353">
        <v>3.4305966092977605E-2</v>
      </c>
      <c r="D321" s="390">
        <v>92062.509656999129</v>
      </c>
      <c r="E321" s="353">
        <v>0.96569403390702102</v>
      </c>
      <c r="F321" s="390">
        <v>95333.000333999255</v>
      </c>
      <c r="G321" s="311">
        <v>0.37232326992269249</v>
      </c>
      <c r="H321" s="326"/>
    </row>
    <row r="322" spans="1:8" ht="25.5">
      <c r="A322" s="436" t="s">
        <v>303</v>
      </c>
      <c r="B322" s="390">
        <v>3855.0740089999995</v>
      </c>
      <c r="C322" s="353">
        <v>5.5912776398544931E-2</v>
      </c>
      <c r="D322" s="390">
        <v>65092.924236001294</v>
      </c>
      <c r="E322" s="353">
        <v>0.94408722360146191</v>
      </c>
      <c r="F322" s="390">
        <v>68947.998245000825</v>
      </c>
      <c r="G322" s="311">
        <v>0.2692765786376658</v>
      </c>
      <c r="H322" s="326"/>
    </row>
    <row r="323" spans="1:8" ht="15.75" thickBot="1">
      <c r="A323" s="439" t="s">
        <v>302</v>
      </c>
      <c r="B323" s="390">
        <v>197.66667000000001</v>
      </c>
      <c r="C323" s="353">
        <v>4.4230626182075967E-2</v>
      </c>
      <c r="D323" s="390">
        <v>4271.3333659999998</v>
      </c>
      <c r="E323" s="353">
        <v>0.95576937381792415</v>
      </c>
      <c r="F323" s="390">
        <v>4469.0000359999995</v>
      </c>
      <c r="G323" s="311">
        <v>1.7453690756177091E-2</v>
      </c>
      <c r="H323" s="326"/>
    </row>
    <row r="324" spans="1:8" ht="15" customHeight="1">
      <c r="A324" s="438" t="s">
        <v>4</v>
      </c>
      <c r="B324" s="400">
        <v>14684.314522543327</v>
      </c>
      <c r="C324" s="446">
        <v>6.5372283362314751E-2</v>
      </c>
      <c r="D324" s="400">
        <v>209941.68547745657</v>
      </c>
      <c r="E324" s="446">
        <v>0.93462771663768396</v>
      </c>
      <c r="F324" s="400">
        <v>224626.0000000002</v>
      </c>
      <c r="G324" s="399">
        <v>1</v>
      </c>
      <c r="H324" s="326"/>
    </row>
    <row r="325" spans="1:8">
      <c r="A325" s="436" t="s">
        <v>309</v>
      </c>
      <c r="B325" s="390">
        <v>439.41664256795838</v>
      </c>
      <c r="C325" s="353">
        <v>6.011994015158835E-2</v>
      </c>
      <c r="D325" s="390">
        <v>6869.5833574320304</v>
      </c>
      <c r="E325" s="353">
        <v>0.93988005984841194</v>
      </c>
      <c r="F325" s="390">
        <v>7308.9999999999864</v>
      </c>
      <c r="G325" s="311">
        <v>3.2538530713274422E-2</v>
      </c>
      <c r="H325" s="326"/>
    </row>
    <row r="326" spans="1:8">
      <c r="A326" s="436" t="s">
        <v>308</v>
      </c>
      <c r="B326" s="390">
        <v>1442.1469759370752</v>
      </c>
      <c r="C326" s="353">
        <v>0.15061587216053049</v>
      </c>
      <c r="D326" s="390">
        <v>8132.8530240629134</v>
      </c>
      <c r="E326" s="353">
        <v>0.84938412783947115</v>
      </c>
      <c r="F326" s="390">
        <v>9574.9999999999727</v>
      </c>
      <c r="G326" s="311">
        <v>4.2626410121713268E-2</v>
      </c>
      <c r="H326" s="326"/>
    </row>
    <row r="327" spans="1:8">
      <c r="A327" s="436" t="s">
        <v>307</v>
      </c>
      <c r="B327" s="390">
        <v>1807.5448886144975</v>
      </c>
      <c r="C327" s="353">
        <v>9.1290145889620936E-2</v>
      </c>
      <c r="D327" s="390">
        <v>17992.455111385541</v>
      </c>
      <c r="E327" s="353">
        <v>0.9087098541103793</v>
      </c>
      <c r="F327" s="390">
        <v>19800.000000000033</v>
      </c>
      <c r="G327" s="311">
        <v>8.8146519102864376E-2</v>
      </c>
      <c r="H327" s="326"/>
    </row>
    <row r="328" spans="1:8">
      <c r="A328" s="436" t="s">
        <v>306</v>
      </c>
      <c r="B328" s="390">
        <v>778.29231271776996</v>
      </c>
      <c r="C328" s="353">
        <v>3.9188938203311846E-2</v>
      </c>
      <c r="D328" s="390">
        <v>19081.70768728216</v>
      </c>
      <c r="E328" s="353">
        <v>0.96081106179668874</v>
      </c>
      <c r="F328" s="390">
        <v>19859.999999999916</v>
      </c>
      <c r="G328" s="311">
        <v>8.8413629766811927E-2</v>
      </c>
      <c r="H328" s="326"/>
    </row>
    <row r="329" spans="1:8">
      <c r="A329" s="436" t="s">
        <v>305</v>
      </c>
      <c r="B329" s="390">
        <v>2535.5145816429272</v>
      </c>
      <c r="C329" s="353">
        <v>8.9193885448443699E-2</v>
      </c>
      <c r="D329" s="390">
        <v>25891.485418357228</v>
      </c>
      <c r="E329" s="353">
        <v>0.9108061145515548</v>
      </c>
      <c r="F329" s="390">
        <v>28427.0000000002</v>
      </c>
      <c r="G329" s="311">
        <v>0.12655258073419895</v>
      </c>
      <c r="H329" s="326"/>
    </row>
    <row r="330" spans="1:8" ht="25.5">
      <c r="A330" s="436" t="s">
        <v>304</v>
      </c>
      <c r="B330" s="390">
        <v>4284.1859763881239</v>
      </c>
      <c r="C330" s="353">
        <v>5.5620720238729868E-2</v>
      </c>
      <c r="D330" s="390">
        <v>72740.814023611223</v>
      </c>
      <c r="E330" s="353">
        <v>0.94437927976127201</v>
      </c>
      <c r="F330" s="390">
        <v>77024.9999999992</v>
      </c>
      <c r="G330" s="311">
        <v>0.34290331484333569</v>
      </c>
      <c r="H330" s="326"/>
    </row>
    <row r="331" spans="1:8" ht="25.5">
      <c r="A331" s="436" t="s">
        <v>303</v>
      </c>
      <c r="B331" s="390">
        <v>2785.6728668972073</v>
      </c>
      <c r="C331" s="353">
        <v>4.7449629810199803E-2</v>
      </c>
      <c r="D331" s="390">
        <v>55922.327133102728</v>
      </c>
      <c r="E331" s="353">
        <v>0.95255037018980004</v>
      </c>
      <c r="F331" s="390">
        <v>58707.999999999942</v>
      </c>
      <c r="G331" s="311">
        <v>0.26135888098439131</v>
      </c>
      <c r="H331" s="326"/>
    </row>
    <row r="332" spans="1:8" ht="15.75" thickBot="1">
      <c r="A332" s="439" t="s">
        <v>302</v>
      </c>
      <c r="B332" s="390">
        <v>611.54027777777787</v>
      </c>
      <c r="C332" s="353">
        <v>0.15592561901524171</v>
      </c>
      <c r="D332" s="390">
        <v>3310.459722222221</v>
      </c>
      <c r="E332" s="353">
        <v>0.84407438098475818</v>
      </c>
      <c r="F332" s="390">
        <v>3921.9999999999991</v>
      </c>
      <c r="G332" s="311">
        <v>1.7460133733405728E-2</v>
      </c>
      <c r="H332" s="326"/>
    </row>
    <row r="333" spans="1:8" ht="15.75" customHeight="1">
      <c r="A333" s="438" t="s">
        <v>3</v>
      </c>
      <c r="B333" s="400">
        <v>12535.78987351861</v>
      </c>
      <c r="C333" s="446">
        <v>8.4109673670457144E-2</v>
      </c>
      <c r="D333" s="400">
        <v>136505.21012647988</v>
      </c>
      <c r="E333" s="446">
        <v>0.91589032632953216</v>
      </c>
      <c r="F333" s="400">
        <v>149041.00000000009</v>
      </c>
      <c r="G333" s="399">
        <v>1</v>
      </c>
      <c r="H333" s="326"/>
    </row>
    <row r="334" spans="1:8">
      <c r="A334" s="436" t="s">
        <v>309</v>
      </c>
      <c r="B334" s="390">
        <v>171.98954248366013</v>
      </c>
      <c r="C334" s="353">
        <v>5.9429696780808602E-2</v>
      </c>
      <c r="D334" s="390">
        <v>2722.0104575163405</v>
      </c>
      <c r="E334" s="353">
        <v>0.94057030321919144</v>
      </c>
      <c r="F334" s="390">
        <v>2894.0000000000005</v>
      </c>
      <c r="G334" s="311">
        <v>1.9417475728155331E-2</v>
      </c>
      <c r="H334" s="326"/>
    </row>
    <row r="335" spans="1:8">
      <c r="A335" s="436" t="s">
        <v>308</v>
      </c>
      <c r="B335" s="390">
        <v>1429.3352742920772</v>
      </c>
      <c r="C335" s="353">
        <v>0.19131779872735666</v>
      </c>
      <c r="D335" s="390">
        <v>6041.6647257079112</v>
      </c>
      <c r="E335" s="353">
        <v>0.80868220127264479</v>
      </c>
      <c r="F335" s="390">
        <v>7470.9999999999773</v>
      </c>
      <c r="G335" s="311">
        <v>5.0127146221509336E-2</v>
      </c>
      <c r="H335" s="326"/>
    </row>
    <row r="336" spans="1:8">
      <c r="A336" s="436" t="s">
        <v>307</v>
      </c>
      <c r="B336" s="390">
        <v>1031.9632523148148</v>
      </c>
      <c r="C336" s="353">
        <v>6.3867016481916949E-2</v>
      </c>
      <c r="D336" s="390">
        <v>15126.036747685193</v>
      </c>
      <c r="E336" s="353">
        <v>0.93613298351808283</v>
      </c>
      <c r="F336" s="390">
        <v>16158.000000000011</v>
      </c>
      <c r="G336" s="311">
        <v>0.10841312122167727</v>
      </c>
      <c r="H336" s="326"/>
    </row>
    <row r="337" spans="1:10">
      <c r="A337" s="436" t="s">
        <v>306</v>
      </c>
      <c r="B337" s="390">
        <v>948.44019956850093</v>
      </c>
      <c r="C337" s="353">
        <v>7.1558789766749814E-2</v>
      </c>
      <c r="D337" s="390">
        <v>12305.559800431485</v>
      </c>
      <c r="E337" s="353">
        <v>0.92844121023325032</v>
      </c>
      <c r="F337" s="390">
        <v>13253.999999999985</v>
      </c>
      <c r="G337" s="311">
        <v>8.8928549862118317E-2</v>
      </c>
      <c r="H337" s="326"/>
    </row>
    <row r="338" spans="1:10">
      <c r="A338" s="436" t="s">
        <v>305</v>
      </c>
      <c r="B338" s="390">
        <v>2159.6127714077156</v>
      </c>
      <c r="C338" s="353">
        <v>9.2974546728418928E-2</v>
      </c>
      <c r="D338" s="390">
        <v>21068.387228592259</v>
      </c>
      <c r="E338" s="353">
        <v>0.90702545327157968</v>
      </c>
      <c r="F338" s="390">
        <v>23228.000000000007</v>
      </c>
      <c r="G338" s="311">
        <v>0.15584973262390883</v>
      </c>
      <c r="H338" s="326"/>
    </row>
    <row r="339" spans="1:10" ht="25.5">
      <c r="A339" s="436" t="s">
        <v>304</v>
      </c>
      <c r="B339" s="390">
        <v>3174.5428515432409</v>
      </c>
      <c r="C339" s="353">
        <v>7.1333232625738638E-2</v>
      </c>
      <c r="D339" s="390">
        <v>41328.457148456691</v>
      </c>
      <c r="E339" s="353">
        <v>0.92866676737426157</v>
      </c>
      <c r="F339" s="390">
        <v>44502.99999999992</v>
      </c>
      <c r="G339" s="311">
        <v>0.29859568843472528</v>
      </c>
      <c r="H339" s="326"/>
    </row>
    <row r="340" spans="1:10" ht="25.5">
      <c r="A340" s="436" t="s">
        <v>303</v>
      </c>
      <c r="B340" s="390">
        <v>3229.4388766454813</v>
      </c>
      <c r="C340" s="353">
        <v>8.366421960221386E-2</v>
      </c>
      <c r="D340" s="390">
        <v>35370.561123354892</v>
      </c>
      <c r="E340" s="353">
        <v>0.91633578039778774</v>
      </c>
      <c r="F340" s="390">
        <v>38600.000000000313</v>
      </c>
      <c r="G340" s="311">
        <v>0.25898913721727773</v>
      </c>
      <c r="H340" s="326"/>
    </row>
    <row r="341" spans="1:10" ht="15.75" thickBot="1">
      <c r="A341" s="433" t="s">
        <v>302</v>
      </c>
      <c r="B341" s="386">
        <v>390.46710526315792</v>
      </c>
      <c r="C341" s="352">
        <v>0.1331289141708687</v>
      </c>
      <c r="D341" s="386">
        <v>2542.5328947368421</v>
      </c>
      <c r="E341" s="352">
        <v>0.86687108582913108</v>
      </c>
      <c r="F341" s="386">
        <v>2933.0000000000005</v>
      </c>
      <c r="G341" s="308">
        <v>1.9679148690628746E-2</v>
      </c>
      <c r="H341" s="326"/>
    </row>
    <row r="345" spans="1:10" ht="15.75" thickBot="1"/>
    <row r="346" spans="1:10" ht="15" customHeight="1">
      <c r="A346" s="830" t="s">
        <v>310</v>
      </c>
      <c r="B346" s="833" t="s">
        <v>319</v>
      </c>
      <c r="C346" s="799"/>
      <c r="D346" s="799"/>
      <c r="E346" s="799"/>
      <c r="F346" s="799"/>
      <c r="G346" s="799"/>
      <c r="H346" s="799"/>
      <c r="I346" s="800"/>
      <c r="J346" s="326"/>
    </row>
    <row r="347" spans="1:10" ht="29.25" customHeight="1">
      <c r="A347" s="831"/>
      <c r="B347" s="848" t="s">
        <v>191</v>
      </c>
      <c r="C347" s="810"/>
      <c r="D347" s="781" t="s">
        <v>190</v>
      </c>
      <c r="E347" s="810"/>
      <c r="F347" s="781" t="s">
        <v>189</v>
      </c>
      <c r="G347" s="810"/>
      <c r="H347" s="836" t="s">
        <v>9</v>
      </c>
      <c r="I347" s="813"/>
      <c r="J347" s="326"/>
    </row>
    <row r="348" spans="1:10" ht="15.75" customHeight="1" thickBot="1">
      <c r="A348" s="839"/>
      <c r="B348" s="428" t="s">
        <v>7</v>
      </c>
      <c r="C348" s="428" t="s">
        <v>8</v>
      </c>
      <c r="D348" s="428" t="s">
        <v>7</v>
      </c>
      <c r="E348" s="428" t="s">
        <v>8</v>
      </c>
      <c r="F348" s="428" t="s">
        <v>7</v>
      </c>
      <c r="G348" s="430" t="s">
        <v>8</v>
      </c>
      <c r="H348" s="428" t="s">
        <v>7</v>
      </c>
      <c r="I348" s="430" t="s">
        <v>6</v>
      </c>
      <c r="J348" s="326"/>
    </row>
    <row r="349" spans="1:10" ht="15.75" customHeight="1">
      <c r="A349" s="438" t="s">
        <v>5</v>
      </c>
      <c r="B349" s="400">
        <v>3874.2611340000008</v>
      </c>
      <c r="C349" s="446">
        <v>0.36288293174254815</v>
      </c>
      <c r="D349" s="400">
        <v>2411.5905050000001</v>
      </c>
      <c r="E349" s="446">
        <v>0.2258817881264924</v>
      </c>
      <c r="F349" s="400">
        <v>4390.487188500002</v>
      </c>
      <c r="G349" s="446">
        <v>0.41123528013095934</v>
      </c>
      <c r="H349" s="400">
        <v>10676.338827500003</v>
      </c>
      <c r="I349" s="446">
        <v>1</v>
      </c>
      <c r="J349" s="326"/>
    </row>
    <row r="350" spans="1:10">
      <c r="A350" s="436" t="s">
        <v>309</v>
      </c>
      <c r="B350" s="390">
        <v>0</v>
      </c>
      <c r="C350" s="353">
        <v>0</v>
      </c>
      <c r="D350" s="390">
        <v>0</v>
      </c>
      <c r="E350" s="353">
        <v>0</v>
      </c>
      <c r="F350" s="390">
        <v>183.016425</v>
      </c>
      <c r="G350" s="353">
        <v>1</v>
      </c>
      <c r="H350" s="390">
        <v>183.016425</v>
      </c>
      <c r="I350" s="353">
        <v>1.7142245853849093E-2</v>
      </c>
      <c r="J350" s="326"/>
    </row>
    <row r="351" spans="1:10">
      <c r="A351" s="436" t="s">
        <v>308</v>
      </c>
      <c r="B351" s="390">
        <v>402.19509199999993</v>
      </c>
      <c r="C351" s="353">
        <v>0.4129189586605021</v>
      </c>
      <c r="D351" s="390">
        <v>311.28187499999996</v>
      </c>
      <c r="E351" s="353">
        <v>0.31958169115322915</v>
      </c>
      <c r="F351" s="390">
        <v>260.55215800000002</v>
      </c>
      <c r="G351" s="353">
        <v>0.26749935018626891</v>
      </c>
      <c r="H351" s="390">
        <v>974.02912499999979</v>
      </c>
      <c r="I351" s="353">
        <v>9.123250402011461E-2</v>
      </c>
      <c r="J351" s="326"/>
    </row>
    <row r="352" spans="1:10">
      <c r="A352" s="436" t="s">
        <v>307</v>
      </c>
      <c r="B352" s="390">
        <v>338.85543799999999</v>
      </c>
      <c r="C352" s="353">
        <v>0.69115554467501339</v>
      </c>
      <c r="D352" s="390">
        <v>151.41833700000001</v>
      </c>
      <c r="E352" s="353">
        <v>0.30884445532498656</v>
      </c>
      <c r="F352" s="390">
        <v>0</v>
      </c>
      <c r="G352" s="353">
        <v>0</v>
      </c>
      <c r="H352" s="390">
        <v>490.273775</v>
      </c>
      <c r="I352" s="353">
        <v>4.592152636980365E-2</v>
      </c>
      <c r="J352" s="326"/>
    </row>
    <row r="353" spans="1:10">
      <c r="A353" s="436" t="s">
        <v>306</v>
      </c>
      <c r="B353" s="390">
        <v>76.238094000000004</v>
      </c>
      <c r="C353" s="353">
        <v>0.22928512066889029</v>
      </c>
      <c r="D353" s="390">
        <v>72.371899999999997</v>
      </c>
      <c r="E353" s="353">
        <v>0.21765759024008208</v>
      </c>
      <c r="F353" s="390">
        <v>183.89345749999998</v>
      </c>
      <c r="G353" s="353">
        <v>0.55305728909102769</v>
      </c>
      <c r="H353" s="390">
        <v>332.50345149999998</v>
      </c>
      <c r="I353" s="353">
        <v>3.1143958324321912E-2</v>
      </c>
      <c r="J353" s="326"/>
    </row>
    <row r="354" spans="1:10">
      <c r="A354" s="436" t="s">
        <v>305</v>
      </c>
      <c r="B354" s="390">
        <v>497.24142799999993</v>
      </c>
      <c r="C354" s="353">
        <v>0.36208182455568677</v>
      </c>
      <c r="D354" s="390">
        <v>310.11219799999998</v>
      </c>
      <c r="E354" s="353">
        <v>0.22581785053681089</v>
      </c>
      <c r="F354" s="390">
        <v>565.93106899999987</v>
      </c>
      <c r="G354" s="353">
        <v>0.41210032490750192</v>
      </c>
      <c r="H354" s="390">
        <v>1373.2846950000003</v>
      </c>
      <c r="I354" s="353">
        <v>0.12862880404869764</v>
      </c>
      <c r="J354" s="326"/>
    </row>
    <row r="355" spans="1:10" ht="25.5">
      <c r="A355" s="436" t="s">
        <v>304</v>
      </c>
      <c r="B355" s="390">
        <v>998.02458400000012</v>
      </c>
      <c r="C355" s="353">
        <v>0.30516050420772989</v>
      </c>
      <c r="D355" s="390">
        <v>475.50569400000006</v>
      </c>
      <c r="E355" s="353">
        <v>0.14539276853593672</v>
      </c>
      <c r="F355" s="390">
        <v>1796.9603990000001</v>
      </c>
      <c r="G355" s="353">
        <v>0.54944672725633326</v>
      </c>
      <c r="H355" s="390">
        <v>3270.4906770000007</v>
      </c>
      <c r="I355" s="353">
        <v>0.30633073095955932</v>
      </c>
      <c r="J355" s="326"/>
    </row>
    <row r="356" spans="1:10" ht="25.5">
      <c r="A356" s="436" t="s">
        <v>303</v>
      </c>
      <c r="B356" s="390">
        <v>1432.3064980000004</v>
      </c>
      <c r="C356" s="353">
        <v>0.37153800281295729</v>
      </c>
      <c r="D356" s="390">
        <v>1090.9005010000001</v>
      </c>
      <c r="E356" s="353">
        <v>0.28297783608127874</v>
      </c>
      <c r="F356" s="390">
        <v>1331.8670100000006</v>
      </c>
      <c r="G356" s="353">
        <v>0.34548416110576435</v>
      </c>
      <c r="H356" s="390">
        <v>3855.0740089999995</v>
      </c>
      <c r="I356" s="353">
        <v>0.36108576837877598</v>
      </c>
      <c r="J356" s="326"/>
    </row>
    <row r="357" spans="1:10" ht="15.75" thickBot="1">
      <c r="A357" s="439" t="s">
        <v>302</v>
      </c>
      <c r="B357" s="390">
        <v>129.4</v>
      </c>
      <c r="C357" s="353">
        <v>0.65463742572280903</v>
      </c>
      <c r="D357" s="390">
        <v>0</v>
      </c>
      <c r="E357" s="353">
        <v>0</v>
      </c>
      <c r="F357" s="390">
        <v>68.266670000000005</v>
      </c>
      <c r="G357" s="353">
        <v>0.34536257427719103</v>
      </c>
      <c r="H357" s="390">
        <v>197.66667000000001</v>
      </c>
      <c r="I357" s="353">
        <v>1.8514462044877431E-2</v>
      </c>
      <c r="J357" s="326"/>
    </row>
    <row r="358" spans="1:10" ht="15" customHeight="1">
      <c r="A358" s="438" t="s">
        <v>4</v>
      </c>
      <c r="B358" s="400">
        <v>7388.9949064009825</v>
      </c>
      <c r="C358" s="446">
        <v>0.50318963783140258</v>
      </c>
      <c r="D358" s="400">
        <v>3133.0371440494796</v>
      </c>
      <c r="E358" s="446">
        <v>0.21335944141210322</v>
      </c>
      <c r="F358" s="400">
        <v>4162.2824720928675</v>
      </c>
      <c r="G358" s="446">
        <v>0.28345092075649431</v>
      </c>
      <c r="H358" s="400">
        <v>14684.314522543327</v>
      </c>
      <c r="I358" s="446">
        <v>1</v>
      </c>
      <c r="J358" s="326"/>
    </row>
    <row r="359" spans="1:10">
      <c r="A359" s="436" t="s">
        <v>309</v>
      </c>
      <c r="B359" s="390">
        <v>119.45467032967034</v>
      </c>
      <c r="C359" s="353">
        <v>0.27184830695436385</v>
      </c>
      <c r="D359" s="390">
        <v>280.12268652400235</v>
      </c>
      <c r="E359" s="353">
        <v>0.63748765838034849</v>
      </c>
      <c r="F359" s="390">
        <v>39.839285714285715</v>
      </c>
      <c r="G359" s="353">
        <v>9.0664034665287704E-2</v>
      </c>
      <c r="H359" s="390">
        <v>439.41664256795838</v>
      </c>
      <c r="I359" s="353">
        <v>2.9924218927166599E-2</v>
      </c>
      <c r="J359" s="326"/>
    </row>
    <row r="360" spans="1:10">
      <c r="A360" s="436" t="s">
        <v>308</v>
      </c>
      <c r="B360" s="390">
        <v>780.58778659480811</v>
      </c>
      <c r="C360" s="353">
        <v>0.5412678455242742</v>
      </c>
      <c r="D360" s="390">
        <v>331.08154012787759</v>
      </c>
      <c r="E360" s="353">
        <v>0.22957544941821767</v>
      </c>
      <c r="F360" s="390">
        <v>330.47764921438909</v>
      </c>
      <c r="G360" s="353">
        <v>0.22915670505750774</v>
      </c>
      <c r="H360" s="390">
        <v>1442.1469759370752</v>
      </c>
      <c r="I360" s="353">
        <v>9.8210030418722949E-2</v>
      </c>
      <c r="J360" s="326"/>
    </row>
    <row r="361" spans="1:10">
      <c r="A361" s="436" t="s">
        <v>307</v>
      </c>
      <c r="B361" s="390">
        <v>945.45933014354046</v>
      </c>
      <c r="C361" s="353">
        <v>0.52306271124931525</v>
      </c>
      <c r="D361" s="390">
        <v>150.26259196378041</v>
      </c>
      <c r="E361" s="353">
        <v>8.3130766439199366E-2</v>
      </c>
      <c r="F361" s="390">
        <v>711.82296650717694</v>
      </c>
      <c r="G361" s="353">
        <v>0.39380652231148566</v>
      </c>
      <c r="H361" s="390">
        <v>1807.5448886144975</v>
      </c>
      <c r="I361" s="353">
        <v>0.12309358300924149</v>
      </c>
      <c r="J361" s="326"/>
    </row>
    <row r="362" spans="1:10">
      <c r="A362" s="436" t="s">
        <v>306</v>
      </c>
      <c r="B362" s="390">
        <v>261.98612804878047</v>
      </c>
      <c r="C362" s="353">
        <v>0.33661662047506796</v>
      </c>
      <c r="D362" s="390">
        <v>73.604878048780478</v>
      </c>
      <c r="E362" s="353">
        <v>9.4572279394299519E-2</v>
      </c>
      <c r="F362" s="390">
        <v>442.70130662020904</v>
      </c>
      <c r="G362" s="353">
        <v>0.56881110013063252</v>
      </c>
      <c r="H362" s="390">
        <v>778.29231271776996</v>
      </c>
      <c r="I362" s="353">
        <v>5.3001610086935776E-2</v>
      </c>
      <c r="J362" s="326"/>
    </row>
    <row r="363" spans="1:10">
      <c r="A363" s="436" t="s">
        <v>305</v>
      </c>
      <c r="B363" s="390">
        <v>1507.193192671702</v>
      </c>
      <c r="C363" s="353">
        <v>0.59443286328690415</v>
      </c>
      <c r="D363" s="390">
        <v>413.43326257336724</v>
      </c>
      <c r="E363" s="353">
        <v>0.16305694535011372</v>
      </c>
      <c r="F363" s="390">
        <v>614.88812639785851</v>
      </c>
      <c r="G363" s="353">
        <v>0.24251019136298241</v>
      </c>
      <c r="H363" s="390">
        <v>2535.5145816429272</v>
      </c>
      <c r="I363" s="353">
        <v>0.17266822892893033</v>
      </c>
      <c r="J363" s="326"/>
    </row>
    <row r="364" spans="1:10" ht="25.5">
      <c r="A364" s="436" t="s">
        <v>304</v>
      </c>
      <c r="B364" s="390">
        <v>2068.4120309428326</v>
      </c>
      <c r="C364" s="353">
        <v>0.48280164361273881</v>
      </c>
      <c r="D364" s="390">
        <v>783.86866781856088</v>
      </c>
      <c r="E364" s="353">
        <v>0.18296793653188193</v>
      </c>
      <c r="F364" s="390">
        <v>1431.905277626731</v>
      </c>
      <c r="G364" s="353">
        <v>0.33423041985537938</v>
      </c>
      <c r="H364" s="390">
        <v>4284.1859763881239</v>
      </c>
      <c r="I364" s="353">
        <v>0.29175253429848913</v>
      </c>
      <c r="J364" s="326"/>
    </row>
    <row r="365" spans="1:10" ht="25.5">
      <c r="A365" s="436" t="s">
        <v>303</v>
      </c>
      <c r="B365" s="390">
        <v>1298.0441287807698</v>
      </c>
      <c r="C365" s="353">
        <v>0.46597148725025378</v>
      </c>
      <c r="D365" s="390">
        <v>963.18087810422264</v>
      </c>
      <c r="E365" s="353">
        <v>0.34576237919029296</v>
      </c>
      <c r="F365" s="390">
        <v>524.44786001221564</v>
      </c>
      <c r="G365" s="353">
        <v>0.1882661335594536</v>
      </c>
      <c r="H365" s="390">
        <v>2785.6728668972073</v>
      </c>
      <c r="I365" s="353">
        <v>0.18970397716697285</v>
      </c>
      <c r="J365" s="326"/>
    </row>
    <row r="366" spans="1:10" ht="15.75" thickBot="1">
      <c r="A366" s="439" t="s">
        <v>302</v>
      </c>
      <c r="B366" s="390">
        <v>407.85763888888891</v>
      </c>
      <c r="C366" s="353">
        <v>0.66693503880229554</v>
      </c>
      <c r="D366" s="390">
        <v>137.48263888888889</v>
      </c>
      <c r="E366" s="353">
        <v>0.22481371037157991</v>
      </c>
      <c r="F366" s="390">
        <v>66.2</v>
      </c>
      <c r="G366" s="353">
        <v>0.10825125082612437</v>
      </c>
      <c r="H366" s="390">
        <v>611.54027777777787</v>
      </c>
      <c r="I366" s="353">
        <v>4.1645817163541585E-2</v>
      </c>
      <c r="J366" s="326"/>
    </row>
    <row r="367" spans="1:10" ht="15.75" customHeight="1">
      <c r="A367" s="438" t="s">
        <v>3</v>
      </c>
      <c r="B367" s="400">
        <v>8149.4241290574791</v>
      </c>
      <c r="C367" s="446">
        <v>0.65009259179374368</v>
      </c>
      <c r="D367" s="400">
        <v>2191.8876971504624</v>
      </c>
      <c r="E367" s="446">
        <v>0.174850385916307</v>
      </c>
      <c r="F367" s="400">
        <v>2194.4780473107107</v>
      </c>
      <c r="G367" s="446">
        <v>0.17505702228995271</v>
      </c>
      <c r="H367" s="400">
        <v>12535.78987351861</v>
      </c>
      <c r="I367" s="446">
        <v>1</v>
      </c>
      <c r="J367" s="326"/>
    </row>
    <row r="368" spans="1:10">
      <c r="A368" s="436" t="s">
        <v>309</v>
      </c>
      <c r="B368" s="390">
        <v>11.705882352941176</v>
      </c>
      <c r="C368" s="353">
        <v>6.8061593652144828E-2</v>
      </c>
      <c r="D368" s="390">
        <v>54.555555555555557</v>
      </c>
      <c r="E368" s="353">
        <v>0.31720274830511053</v>
      </c>
      <c r="F368" s="390">
        <v>105.7281045751634</v>
      </c>
      <c r="G368" s="353">
        <v>0.61473565804274466</v>
      </c>
      <c r="H368" s="390">
        <v>171.98954248366013</v>
      </c>
      <c r="I368" s="353">
        <v>1.3719880774882932E-2</v>
      </c>
      <c r="J368" s="326"/>
    </row>
    <row r="369" spans="1:22">
      <c r="A369" s="436" t="s">
        <v>308</v>
      </c>
      <c r="B369" s="390">
        <v>921.67886411282575</v>
      </c>
      <c r="C369" s="353">
        <v>0.64483041920959794</v>
      </c>
      <c r="D369" s="390">
        <v>252.6596150181056</v>
      </c>
      <c r="E369" s="353">
        <v>0.17676721449643307</v>
      </c>
      <c r="F369" s="390">
        <v>254.99679516114472</v>
      </c>
      <c r="G369" s="353">
        <v>0.17840236629396825</v>
      </c>
      <c r="H369" s="390">
        <v>1429.3352742920772</v>
      </c>
      <c r="I369" s="353">
        <v>0.11402036000232382</v>
      </c>
      <c r="J369" s="326"/>
    </row>
    <row r="370" spans="1:22">
      <c r="A370" s="436" t="s">
        <v>307</v>
      </c>
      <c r="B370" s="390">
        <v>600.0451388888888</v>
      </c>
      <c r="C370" s="353">
        <v>0.58145979282006122</v>
      </c>
      <c r="D370" s="390">
        <v>0</v>
      </c>
      <c r="E370" s="353">
        <v>0</v>
      </c>
      <c r="F370" s="390">
        <v>431.91811342592587</v>
      </c>
      <c r="G370" s="353">
        <v>0.41854020717993862</v>
      </c>
      <c r="H370" s="390">
        <v>1031.9632523148148</v>
      </c>
      <c r="I370" s="353">
        <v>8.2321358504484743E-2</v>
      </c>
      <c r="J370" s="326"/>
    </row>
    <row r="371" spans="1:22">
      <c r="A371" s="436" t="s">
        <v>306</v>
      </c>
      <c r="B371" s="390">
        <v>693.98131067961185</v>
      </c>
      <c r="C371" s="353">
        <v>0.73170803071753299</v>
      </c>
      <c r="D371" s="390">
        <v>144.38</v>
      </c>
      <c r="E371" s="353">
        <v>0.15222889125290831</v>
      </c>
      <c r="F371" s="390">
        <v>110.07888888888888</v>
      </c>
      <c r="G371" s="353">
        <v>0.11606307802955841</v>
      </c>
      <c r="H371" s="390">
        <v>948.44019956850093</v>
      </c>
      <c r="I371" s="353">
        <v>7.5658591053129054E-2</v>
      </c>
      <c r="J371" s="326"/>
    </row>
    <row r="372" spans="1:22">
      <c r="A372" s="436" t="s">
        <v>305</v>
      </c>
      <c r="B372" s="390">
        <v>1522.0958890637291</v>
      </c>
      <c r="C372" s="353">
        <v>0.70480037403722651</v>
      </c>
      <c r="D372" s="390">
        <v>286.90742793791571</v>
      </c>
      <c r="E372" s="353">
        <v>0.13285132952371773</v>
      </c>
      <c r="F372" s="390">
        <v>350.60945440607122</v>
      </c>
      <c r="G372" s="353">
        <v>0.16234829643905604</v>
      </c>
      <c r="H372" s="390">
        <v>2159.6127714077156</v>
      </c>
      <c r="I372" s="353">
        <v>0.17227576348976759</v>
      </c>
      <c r="J372" s="326"/>
    </row>
    <row r="373" spans="1:22" ht="25.5">
      <c r="A373" s="436" t="s">
        <v>304</v>
      </c>
      <c r="B373" s="390">
        <v>2180.124916892491</v>
      </c>
      <c r="C373" s="353">
        <v>0.68675239832805124</v>
      </c>
      <c r="D373" s="390">
        <v>417.38061281382329</v>
      </c>
      <c r="E373" s="353">
        <v>0.13147739133869998</v>
      </c>
      <c r="F373" s="390">
        <v>577.03732183692875</v>
      </c>
      <c r="G373" s="353">
        <v>0.18177021033324955</v>
      </c>
      <c r="H373" s="390">
        <v>3174.5428515432409</v>
      </c>
      <c r="I373" s="353">
        <v>0.25323835861746091</v>
      </c>
      <c r="J373" s="326"/>
    </row>
    <row r="374" spans="1:22" ht="25.5">
      <c r="A374" s="436" t="s">
        <v>303</v>
      </c>
      <c r="B374" s="390">
        <v>1926.9417981196186</v>
      </c>
      <c r="C374" s="353">
        <v>0.59668006477992019</v>
      </c>
      <c r="D374" s="390">
        <v>938.3877095092713</v>
      </c>
      <c r="E374" s="353">
        <v>0.29057298972136109</v>
      </c>
      <c r="F374" s="390">
        <v>364.1093690165863</v>
      </c>
      <c r="G374" s="353">
        <v>0.11274694549871711</v>
      </c>
      <c r="H374" s="390">
        <v>3229.4388766454813</v>
      </c>
      <c r="I374" s="353">
        <v>0.25761750230574232</v>
      </c>
      <c r="J374" s="326"/>
    </row>
    <row r="375" spans="1:22" ht="15.75" thickBot="1">
      <c r="A375" s="433" t="s">
        <v>302</v>
      </c>
      <c r="B375" s="386">
        <v>292.85032894736844</v>
      </c>
      <c r="C375" s="352">
        <v>0.75</v>
      </c>
      <c r="D375" s="386">
        <v>97.61677631578948</v>
      </c>
      <c r="E375" s="352">
        <v>0.25</v>
      </c>
      <c r="F375" s="386">
        <v>0</v>
      </c>
      <c r="G375" s="352">
        <v>0</v>
      </c>
      <c r="H375" s="386">
        <v>390.46710526315792</v>
      </c>
      <c r="I375" s="352">
        <v>3.1148185252211764E-2</v>
      </c>
      <c r="J375" s="326"/>
    </row>
    <row r="379" spans="1:22">
      <c r="A379" s="158"/>
    </row>
    <row r="380" spans="1:22" ht="15.75" thickBot="1"/>
    <row r="381" spans="1:22" ht="15" customHeight="1">
      <c r="A381" s="830" t="s">
        <v>310</v>
      </c>
      <c r="B381" s="833" t="s">
        <v>320</v>
      </c>
      <c r="C381" s="799"/>
      <c r="D381" s="799"/>
      <c r="E381" s="799"/>
      <c r="F381" s="799"/>
      <c r="G381" s="799"/>
      <c r="H381" s="799"/>
      <c r="I381" s="799"/>
      <c r="J381" s="799"/>
      <c r="K381" s="799"/>
      <c r="L381" s="799"/>
      <c r="M381" s="799"/>
      <c r="N381" s="799"/>
      <c r="O381" s="799"/>
      <c r="P381" s="799"/>
      <c r="Q381" s="799"/>
      <c r="R381" s="799"/>
      <c r="S381" s="799"/>
      <c r="T381" s="799"/>
      <c r="U381" s="800"/>
      <c r="V381" s="326"/>
    </row>
    <row r="382" spans="1:22" ht="15" customHeight="1">
      <c r="A382" s="831"/>
      <c r="B382" s="914" t="s">
        <v>91</v>
      </c>
      <c r="C382" s="838"/>
      <c r="D382" s="837" t="s">
        <v>90</v>
      </c>
      <c r="E382" s="838"/>
      <c r="F382" s="837" t="s">
        <v>89</v>
      </c>
      <c r="G382" s="838"/>
      <c r="H382" s="837" t="s">
        <v>88</v>
      </c>
      <c r="I382" s="838"/>
      <c r="J382" s="837" t="s">
        <v>76</v>
      </c>
      <c r="K382" s="838"/>
      <c r="L382" s="837" t="s">
        <v>0</v>
      </c>
      <c r="M382" s="838"/>
      <c r="N382" s="837" t="s">
        <v>75</v>
      </c>
      <c r="O382" s="838"/>
      <c r="P382" s="837" t="s">
        <v>74</v>
      </c>
      <c r="Q382" s="838"/>
      <c r="R382" s="837" t="s">
        <v>73</v>
      </c>
      <c r="S382" s="838"/>
      <c r="T382" s="912" t="s">
        <v>9</v>
      </c>
      <c r="U382" s="913"/>
      <c r="V382" s="326"/>
    </row>
    <row r="383" spans="1:22" ht="15.75" customHeight="1" thickBot="1">
      <c r="A383" s="832"/>
      <c r="B383" s="428" t="s">
        <v>7</v>
      </c>
      <c r="C383" s="428" t="s">
        <v>8</v>
      </c>
      <c r="D383" s="428" t="s">
        <v>7</v>
      </c>
      <c r="E383" s="428" t="s">
        <v>8</v>
      </c>
      <c r="F383" s="428" t="s">
        <v>7</v>
      </c>
      <c r="G383" s="428" t="s">
        <v>8</v>
      </c>
      <c r="H383" s="428" t="s">
        <v>7</v>
      </c>
      <c r="I383" s="428" t="s">
        <v>8</v>
      </c>
      <c r="J383" s="428" t="s">
        <v>7</v>
      </c>
      <c r="K383" s="428" t="s">
        <v>8</v>
      </c>
      <c r="L383" s="428" t="s">
        <v>7</v>
      </c>
      <c r="M383" s="428" t="s">
        <v>8</v>
      </c>
      <c r="N383" s="428" t="s">
        <v>7</v>
      </c>
      <c r="O383" s="428" t="s">
        <v>8</v>
      </c>
      <c r="P383" s="428" t="s">
        <v>7</v>
      </c>
      <c r="Q383" s="428" t="s">
        <v>8</v>
      </c>
      <c r="R383" s="428" t="s">
        <v>7</v>
      </c>
      <c r="S383" s="428" t="s">
        <v>8</v>
      </c>
      <c r="T383" s="428" t="s">
        <v>7</v>
      </c>
      <c r="U383" s="430" t="s">
        <v>6</v>
      </c>
      <c r="V383" s="326"/>
    </row>
    <row r="384" spans="1:22" ht="15.75" customHeight="1">
      <c r="A384" s="438" t="s">
        <v>5</v>
      </c>
      <c r="B384" s="444">
        <v>2080.5296940000003</v>
      </c>
      <c r="C384" s="445">
        <v>0.53701328383405755</v>
      </c>
      <c r="D384" s="444">
        <v>548.82146999999998</v>
      </c>
      <c r="E384" s="445">
        <v>0.14165835781785996</v>
      </c>
      <c r="F384" s="444">
        <v>67.313805000000002</v>
      </c>
      <c r="G384" s="445">
        <v>1.7374617422987574E-2</v>
      </c>
      <c r="H384" s="444">
        <v>0</v>
      </c>
      <c r="I384" s="445">
        <v>0</v>
      </c>
      <c r="J384" s="444">
        <v>13.013596</v>
      </c>
      <c r="K384" s="445">
        <v>3.3589878301682895E-3</v>
      </c>
      <c r="L384" s="444">
        <v>295.72294199999999</v>
      </c>
      <c r="M384" s="445">
        <v>7.6330152194640358E-2</v>
      </c>
      <c r="N384" s="444">
        <v>316.76557799999995</v>
      </c>
      <c r="O384" s="445">
        <v>8.1761545503504479E-2</v>
      </c>
      <c r="P384" s="444">
        <v>552.09404899999993</v>
      </c>
      <c r="Q384" s="445">
        <v>0.14250305539678157</v>
      </c>
      <c r="R384" s="444">
        <v>0</v>
      </c>
      <c r="S384" s="445">
        <v>0</v>
      </c>
      <c r="T384" s="444">
        <v>3874.2611340000008</v>
      </c>
      <c r="U384" s="417">
        <v>1</v>
      </c>
      <c r="V384" s="326"/>
    </row>
    <row r="385" spans="1:22">
      <c r="A385" s="436" t="s">
        <v>309</v>
      </c>
      <c r="B385" s="440">
        <v>0</v>
      </c>
      <c r="C385" s="321">
        <v>0</v>
      </c>
      <c r="D385" s="440">
        <v>0</v>
      </c>
      <c r="E385" s="321">
        <v>0</v>
      </c>
      <c r="F385" s="440">
        <v>0</v>
      </c>
      <c r="G385" s="321">
        <v>0</v>
      </c>
      <c r="H385" s="440">
        <v>0</v>
      </c>
      <c r="I385" s="321">
        <v>0</v>
      </c>
      <c r="J385" s="440">
        <v>0</v>
      </c>
      <c r="K385" s="321">
        <v>0</v>
      </c>
      <c r="L385" s="440">
        <v>0</v>
      </c>
      <c r="M385" s="321">
        <v>0</v>
      </c>
      <c r="N385" s="440">
        <v>0</v>
      </c>
      <c r="O385" s="321">
        <v>0</v>
      </c>
      <c r="P385" s="440">
        <v>0</v>
      </c>
      <c r="Q385" s="321">
        <v>0</v>
      </c>
      <c r="R385" s="440">
        <v>0</v>
      </c>
      <c r="S385" s="321">
        <v>0</v>
      </c>
      <c r="T385" s="440">
        <v>0</v>
      </c>
      <c r="U385" s="415">
        <v>0</v>
      </c>
      <c r="V385" s="326"/>
    </row>
    <row r="386" spans="1:22">
      <c r="A386" s="436" t="s">
        <v>308</v>
      </c>
      <c r="B386" s="440">
        <v>180.617546</v>
      </c>
      <c r="C386" s="321">
        <v>0.44907943829409047</v>
      </c>
      <c r="D386" s="440">
        <v>0</v>
      </c>
      <c r="E386" s="321">
        <v>0</v>
      </c>
      <c r="F386" s="440">
        <v>0</v>
      </c>
      <c r="G386" s="321">
        <v>0</v>
      </c>
      <c r="H386" s="440">
        <v>0</v>
      </c>
      <c r="I386" s="321">
        <v>0</v>
      </c>
      <c r="J386" s="440">
        <v>6.9052629999999997</v>
      </c>
      <c r="K386" s="321">
        <v>1.7168938998390365E-2</v>
      </c>
      <c r="L386" s="440">
        <v>0</v>
      </c>
      <c r="M386" s="321">
        <v>0</v>
      </c>
      <c r="N386" s="440">
        <v>90.308773000000002</v>
      </c>
      <c r="O386" s="321">
        <v>0.22453971914704524</v>
      </c>
      <c r="P386" s="440">
        <v>124.36350999999999</v>
      </c>
      <c r="Q386" s="321">
        <v>0.30921190356047412</v>
      </c>
      <c r="R386" s="440">
        <v>0</v>
      </c>
      <c r="S386" s="321">
        <v>0</v>
      </c>
      <c r="T386" s="440">
        <v>402.19509199999993</v>
      </c>
      <c r="U386" s="415">
        <v>0.1038120761841243</v>
      </c>
      <c r="V386" s="326"/>
    </row>
    <row r="387" spans="1:22">
      <c r="A387" s="436" t="s">
        <v>307</v>
      </c>
      <c r="B387" s="440">
        <v>62.282352000000003</v>
      </c>
      <c r="C387" s="321">
        <v>0.18380213216469027</v>
      </c>
      <c r="D387" s="440">
        <v>0</v>
      </c>
      <c r="E387" s="321">
        <v>0</v>
      </c>
      <c r="F387" s="440">
        <v>0</v>
      </c>
      <c r="G387" s="321">
        <v>0</v>
      </c>
      <c r="H387" s="440">
        <v>0</v>
      </c>
      <c r="I387" s="321">
        <v>0</v>
      </c>
      <c r="J387" s="440">
        <v>0</v>
      </c>
      <c r="K387" s="321">
        <v>0</v>
      </c>
      <c r="L387" s="440">
        <v>124.56470400000001</v>
      </c>
      <c r="M387" s="321">
        <v>0.36760426432938054</v>
      </c>
      <c r="N387" s="440">
        <v>62.282352000000003</v>
      </c>
      <c r="O387" s="321">
        <v>0.18380213216469027</v>
      </c>
      <c r="P387" s="440">
        <v>89.726029999999994</v>
      </c>
      <c r="Q387" s="321">
        <v>0.26479147134123904</v>
      </c>
      <c r="R387" s="440">
        <v>0</v>
      </c>
      <c r="S387" s="321">
        <v>0</v>
      </c>
      <c r="T387" s="440">
        <v>338.85543799999999</v>
      </c>
      <c r="U387" s="415">
        <v>8.7463241707237988E-2</v>
      </c>
      <c r="V387" s="326"/>
    </row>
    <row r="388" spans="1:22">
      <c r="A388" s="436" t="s">
        <v>306</v>
      </c>
      <c r="B388" s="440">
        <v>0</v>
      </c>
      <c r="C388" s="321">
        <v>0</v>
      </c>
      <c r="D388" s="440">
        <v>60</v>
      </c>
      <c r="E388" s="321">
        <v>0.78700813270594094</v>
      </c>
      <c r="F388" s="440">
        <v>0</v>
      </c>
      <c r="G388" s="321">
        <v>0</v>
      </c>
      <c r="H388" s="440">
        <v>0</v>
      </c>
      <c r="I388" s="321">
        <v>0</v>
      </c>
      <c r="J388" s="440">
        <v>0</v>
      </c>
      <c r="K388" s="321">
        <v>0</v>
      </c>
      <c r="L388" s="440">
        <v>16.238094</v>
      </c>
      <c r="M388" s="321">
        <v>0.21299186729405903</v>
      </c>
      <c r="N388" s="440">
        <v>0</v>
      </c>
      <c r="O388" s="321">
        <v>0</v>
      </c>
      <c r="P388" s="440">
        <v>0</v>
      </c>
      <c r="Q388" s="321">
        <v>0</v>
      </c>
      <c r="R388" s="440">
        <v>0</v>
      </c>
      <c r="S388" s="321">
        <v>0</v>
      </c>
      <c r="T388" s="440">
        <v>76.238094000000004</v>
      </c>
      <c r="U388" s="415">
        <v>1.9678098962133614E-2</v>
      </c>
      <c r="V388" s="326"/>
    </row>
    <row r="389" spans="1:22">
      <c r="A389" s="436" t="s">
        <v>305</v>
      </c>
      <c r="B389" s="440">
        <v>280.18880000000001</v>
      </c>
      <c r="C389" s="321">
        <v>0.56348643580840185</v>
      </c>
      <c r="D389" s="440">
        <v>54.263157</v>
      </c>
      <c r="E389" s="321">
        <v>0.10912839104789958</v>
      </c>
      <c r="F389" s="440">
        <v>0</v>
      </c>
      <c r="G389" s="321">
        <v>0</v>
      </c>
      <c r="H389" s="440">
        <v>0</v>
      </c>
      <c r="I389" s="321">
        <v>0</v>
      </c>
      <c r="J389" s="440">
        <v>0</v>
      </c>
      <c r="K389" s="321">
        <v>0</v>
      </c>
      <c r="L389" s="440">
        <v>54.263157</v>
      </c>
      <c r="M389" s="321">
        <v>0.10912839104789958</v>
      </c>
      <c r="N389" s="440">
        <v>0</v>
      </c>
      <c r="O389" s="321">
        <v>0</v>
      </c>
      <c r="P389" s="440">
        <v>108.526314</v>
      </c>
      <c r="Q389" s="321">
        <v>0.21825678209579916</v>
      </c>
      <c r="R389" s="440">
        <v>0</v>
      </c>
      <c r="S389" s="321">
        <v>0</v>
      </c>
      <c r="T389" s="440">
        <v>497.24142799999993</v>
      </c>
      <c r="U389" s="415">
        <v>0.12834484068104632</v>
      </c>
      <c r="V389" s="326"/>
    </row>
    <row r="390" spans="1:22" ht="25.5">
      <c r="A390" s="436" t="s">
        <v>304</v>
      </c>
      <c r="B390" s="440">
        <v>437.62302099999999</v>
      </c>
      <c r="C390" s="321">
        <v>0.43848921962026532</v>
      </c>
      <c r="D390" s="440">
        <v>157.15484499999999</v>
      </c>
      <c r="E390" s="321">
        <v>0.15746590566951402</v>
      </c>
      <c r="F390" s="440">
        <v>0</v>
      </c>
      <c r="G390" s="321">
        <v>0</v>
      </c>
      <c r="H390" s="440">
        <v>0</v>
      </c>
      <c r="I390" s="321">
        <v>0</v>
      </c>
      <c r="J390" s="440">
        <v>6.108333</v>
      </c>
      <c r="K390" s="321">
        <v>6.1204233822761212E-3</v>
      </c>
      <c r="L390" s="440">
        <v>76.361114999999998</v>
      </c>
      <c r="M390" s="321">
        <v>7.651225853971548E-2</v>
      </c>
      <c r="N390" s="440">
        <v>157.15484499999999</v>
      </c>
      <c r="O390" s="321">
        <v>0.15746590566951402</v>
      </c>
      <c r="P390" s="440">
        <v>163.62242499999999</v>
      </c>
      <c r="Q390" s="321">
        <v>0.16394628711871487</v>
      </c>
      <c r="R390" s="440">
        <v>0</v>
      </c>
      <c r="S390" s="321">
        <v>0</v>
      </c>
      <c r="T390" s="440">
        <v>998.02458400000012</v>
      </c>
      <c r="U390" s="415">
        <v>0.25760384999386565</v>
      </c>
      <c r="V390" s="326"/>
    </row>
    <row r="391" spans="1:22" ht="24" customHeight="1">
      <c r="A391" s="436" t="s">
        <v>303</v>
      </c>
      <c r="B391" s="440">
        <v>997.41797500000007</v>
      </c>
      <c r="C391" s="321">
        <v>0.69637188436465491</v>
      </c>
      <c r="D391" s="440">
        <v>277.40346800000003</v>
      </c>
      <c r="E391" s="321">
        <v>0.19367605214900027</v>
      </c>
      <c r="F391" s="440">
        <v>67.313805000000002</v>
      </c>
      <c r="G391" s="321">
        <v>4.699678811343351E-2</v>
      </c>
      <c r="H391" s="440">
        <v>0</v>
      </c>
      <c r="I391" s="321">
        <v>0</v>
      </c>
      <c r="J391" s="440">
        <v>0</v>
      </c>
      <c r="K391" s="321">
        <v>0</v>
      </c>
      <c r="L391" s="440">
        <v>17.295872000000003</v>
      </c>
      <c r="M391" s="321">
        <v>1.2075538318195913E-2</v>
      </c>
      <c r="N391" s="440">
        <v>7.0196079999999998</v>
      </c>
      <c r="O391" s="321">
        <v>4.9009119275810181E-3</v>
      </c>
      <c r="P391" s="440">
        <v>65.855770000000007</v>
      </c>
      <c r="Q391" s="321">
        <v>4.5978825127134193E-2</v>
      </c>
      <c r="R391" s="440">
        <v>0</v>
      </c>
      <c r="S391" s="321">
        <v>0</v>
      </c>
      <c r="T391" s="440">
        <v>1432.3064980000004</v>
      </c>
      <c r="U391" s="415">
        <v>0.36969797555210432</v>
      </c>
      <c r="V391" s="326"/>
    </row>
    <row r="392" spans="1:22" ht="15.75" thickBot="1">
      <c r="A392" s="439" t="s">
        <v>302</v>
      </c>
      <c r="B392" s="440">
        <v>122.4</v>
      </c>
      <c r="C392" s="321">
        <v>0.9459041731066461</v>
      </c>
      <c r="D392" s="440">
        <v>0</v>
      </c>
      <c r="E392" s="321">
        <v>0</v>
      </c>
      <c r="F392" s="440">
        <v>0</v>
      </c>
      <c r="G392" s="321">
        <v>0</v>
      </c>
      <c r="H392" s="440">
        <v>0</v>
      </c>
      <c r="I392" s="321">
        <v>0</v>
      </c>
      <c r="J392" s="440">
        <v>0</v>
      </c>
      <c r="K392" s="321">
        <v>0</v>
      </c>
      <c r="L392" s="440">
        <v>7</v>
      </c>
      <c r="M392" s="321">
        <v>5.4095826893353932E-2</v>
      </c>
      <c r="N392" s="440">
        <v>0</v>
      </c>
      <c r="O392" s="321">
        <v>0</v>
      </c>
      <c r="P392" s="440">
        <v>0</v>
      </c>
      <c r="Q392" s="321">
        <v>0</v>
      </c>
      <c r="R392" s="440">
        <v>0</v>
      </c>
      <c r="S392" s="321">
        <v>0</v>
      </c>
      <c r="T392" s="440">
        <v>129.4</v>
      </c>
      <c r="U392" s="415">
        <v>3.3399916919487647E-2</v>
      </c>
      <c r="V392" s="326"/>
    </row>
    <row r="393" spans="1:22" ht="15" customHeight="1">
      <c r="A393" s="438" t="s">
        <v>4</v>
      </c>
      <c r="B393" s="444">
        <v>3195.6381427468955</v>
      </c>
      <c r="C393" s="445">
        <v>0.43248617480823526</v>
      </c>
      <c r="D393" s="444">
        <v>1237.0632726480674</v>
      </c>
      <c r="E393" s="445">
        <v>0.16741969487303568</v>
      </c>
      <c r="F393" s="444">
        <v>100.54905032420956</v>
      </c>
      <c r="G393" s="445">
        <v>1.3607946899124986E-2</v>
      </c>
      <c r="H393" s="444">
        <v>141.75</v>
      </c>
      <c r="I393" s="445">
        <v>1.9183935270709683E-2</v>
      </c>
      <c r="J393" s="444">
        <v>14</v>
      </c>
      <c r="K393" s="445">
        <v>1.8947096563663884E-3</v>
      </c>
      <c r="L393" s="444">
        <v>450.75370223801815</v>
      </c>
      <c r="M393" s="445">
        <v>6.1003385162376619E-2</v>
      </c>
      <c r="N393" s="444">
        <v>548.30203131162375</v>
      </c>
      <c r="O393" s="445">
        <v>7.4205225237959957E-2</v>
      </c>
      <c r="P393" s="444">
        <v>1700.9387071321787</v>
      </c>
      <c r="Q393" s="445">
        <v>0.23019892809219283</v>
      </c>
      <c r="R393" s="444">
        <v>0</v>
      </c>
      <c r="S393" s="445">
        <v>0</v>
      </c>
      <c r="T393" s="444">
        <v>7388.9949064009825</v>
      </c>
      <c r="U393" s="417">
        <v>1</v>
      </c>
      <c r="V393" s="326"/>
    </row>
    <row r="394" spans="1:22">
      <c r="A394" s="436" t="s">
        <v>309</v>
      </c>
      <c r="B394" s="440">
        <v>119.45467032967034</v>
      </c>
      <c r="C394" s="321">
        <v>1</v>
      </c>
      <c r="D394" s="440">
        <v>0</v>
      </c>
      <c r="E394" s="321">
        <v>0</v>
      </c>
      <c r="F394" s="440">
        <v>0</v>
      </c>
      <c r="G394" s="321">
        <v>0</v>
      </c>
      <c r="H394" s="440">
        <v>0</v>
      </c>
      <c r="I394" s="321">
        <v>0</v>
      </c>
      <c r="J394" s="440">
        <v>0</v>
      </c>
      <c r="K394" s="321">
        <v>0</v>
      </c>
      <c r="L394" s="440">
        <v>0</v>
      </c>
      <c r="M394" s="321">
        <v>0</v>
      </c>
      <c r="N394" s="440">
        <v>0</v>
      </c>
      <c r="O394" s="321">
        <v>0</v>
      </c>
      <c r="P394" s="440">
        <v>0</v>
      </c>
      <c r="Q394" s="321">
        <v>0</v>
      </c>
      <c r="R394" s="440">
        <v>0</v>
      </c>
      <c r="S394" s="321">
        <v>0</v>
      </c>
      <c r="T394" s="440">
        <v>119.45467032967034</v>
      </c>
      <c r="U394" s="415">
        <v>1.6166565526549281E-2</v>
      </c>
      <c r="V394" s="326"/>
    </row>
    <row r="395" spans="1:22">
      <c r="A395" s="436" t="s">
        <v>308</v>
      </c>
      <c r="B395" s="440">
        <v>384.18260107589492</v>
      </c>
      <c r="C395" s="321">
        <v>0.49217090975997885</v>
      </c>
      <c r="D395" s="440">
        <v>73.069743323826799</v>
      </c>
      <c r="E395" s="321">
        <v>9.3608617222390972E-2</v>
      </c>
      <c r="F395" s="440">
        <v>0</v>
      </c>
      <c r="G395" s="321">
        <v>0</v>
      </c>
      <c r="H395" s="440">
        <v>0</v>
      </c>
      <c r="I395" s="321">
        <v>0</v>
      </c>
      <c r="J395" s="440">
        <v>0</v>
      </c>
      <c r="K395" s="321">
        <v>0</v>
      </c>
      <c r="L395" s="440">
        <v>103.13607081581853</v>
      </c>
      <c r="M395" s="321">
        <v>0.13212616516296452</v>
      </c>
      <c r="N395" s="440">
        <v>71.606557377049185</v>
      </c>
      <c r="O395" s="321">
        <v>9.1734150350240004E-2</v>
      </c>
      <c r="P395" s="440">
        <v>148.59281400221869</v>
      </c>
      <c r="Q395" s="321">
        <v>0.19036015750442567</v>
      </c>
      <c r="R395" s="440">
        <v>0</v>
      </c>
      <c r="S395" s="321">
        <v>0</v>
      </c>
      <c r="T395" s="440">
        <v>780.58778659480811</v>
      </c>
      <c r="U395" s="415">
        <v>0.10564194406448919</v>
      </c>
      <c r="V395" s="326"/>
    </row>
    <row r="396" spans="1:22">
      <c r="A396" s="436" t="s">
        <v>307</v>
      </c>
      <c r="B396" s="440">
        <v>240.91228070175438</v>
      </c>
      <c r="C396" s="321">
        <v>0.25480977660369475</v>
      </c>
      <c r="D396" s="440">
        <v>470.91068580542264</v>
      </c>
      <c r="E396" s="321">
        <v>0.49807608935852221</v>
      </c>
      <c r="F396" s="440">
        <v>0</v>
      </c>
      <c r="G396" s="321">
        <v>0</v>
      </c>
      <c r="H396" s="440">
        <v>0</v>
      </c>
      <c r="I396" s="321">
        <v>0</v>
      </c>
      <c r="J396" s="440">
        <v>0</v>
      </c>
      <c r="K396" s="321">
        <v>0</v>
      </c>
      <c r="L396" s="440">
        <v>0</v>
      </c>
      <c r="M396" s="321">
        <v>0</v>
      </c>
      <c r="N396" s="440">
        <v>116.81818181818181</v>
      </c>
      <c r="O396" s="321">
        <v>0.12355706701889163</v>
      </c>
      <c r="P396" s="440">
        <v>116.81818181818181</v>
      </c>
      <c r="Q396" s="321">
        <v>0.12355706701889163</v>
      </c>
      <c r="R396" s="440">
        <v>0</v>
      </c>
      <c r="S396" s="321">
        <v>0</v>
      </c>
      <c r="T396" s="440">
        <v>945.45933014354046</v>
      </c>
      <c r="U396" s="415">
        <v>0.1279550658946188</v>
      </c>
      <c r="V396" s="326"/>
    </row>
    <row r="397" spans="1:22">
      <c r="A397" s="436" t="s">
        <v>306</v>
      </c>
      <c r="B397" s="440">
        <v>57.112499999999997</v>
      </c>
      <c r="C397" s="321">
        <v>0.21799818343575023</v>
      </c>
      <c r="D397" s="440">
        <v>114.22499999999999</v>
      </c>
      <c r="E397" s="321">
        <v>0.43599636687150045</v>
      </c>
      <c r="F397" s="440">
        <v>0</v>
      </c>
      <c r="G397" s="321">
        <v>0</v>
      </c>
      <c r="H397" s="440">
        <v>74.15625</v>
      </c>
      <c r="I397" s="321">
        <v>0.28305410882744331</v>
      </c>
      <c r="J397" s="440">
        <v>7.6875</v>
      </c>
      <c r="K397" s="321">
        <v>2.9343156667320288E-2</v>
      </c>
      <c r="L397" s="440">
        <v>0</v>
      </c>
      <c r="M397" s="321">
        <v>0</v>
      </c>
      <c r="N397" s="440">
        <v>8.8048780487804876</v>
      </c>
      <c r="O397" s="321">
        <v>3.3608184197985717E-2</v>
      </c>
      <c r="P397" s="440">
        <v>0</v>
      </c>
      <c r="Q397" s="321">
        <v>0</v>
      </c>
      <c r="R397" s="440">
        <v>0</v>
      </c>
      <c r="S397" s="321">
        <v>0</v>
      </c>
      <c r="T397" s="440">
        <v>261.98612804878047</v>
      </c>
      <c r="U397" s="415">
        <v>3.545626047486182E-2</v>
      </c>
      <c r="V397" s="326"/>
    </row>
    <row r="398" spans="1:22">
      <c r="A398" s="436" t="s">
        <v>305</v>
      </c>
      <c r="B398" s="440">
        <v>551.02885589418543</v>
      </c>
      <c r="C398" s="321">
        <v>0.36559935287221734</v>
      </c>
      <c r="D398" s="440">
        <v>105.82234957020057</v>
      </c>
      <c r="E398" s="321">
        <v>7.0211536307841382E-2</v>
      </c>
      <c r="F398" s="440">
        <v>0</v>
      </c>
      <c r="G398" s="321">
        <v>0</v>
      </c>
      <c r="H398" s="440">
        <v>0</v>
      </c>
      <c r="I398" s="321">
        <v>0</v>
      </c>
      <c r="J398" s="440">
        <v>0</v>
      </c>
      <c r="K398" s="321">
        <v>0</v>
      </c>
      <c r="L398" s="440">
        <v>74.828282828282823</v>
      </c>
      <c r="M398" s="321">
        <v>4.9647439486931108E-2</v>
      </c>
      <c r="N398" s="440">
        <v>127.73945761338311</v>
      </c>
      <c r="O398" s="321">
        <v>8.4753207640851785E-2</v>
      </c>
      <c r="P398" s="440">
        <v>647.77424676565067</v>
      </c>
      <c r="Q398" s="321">
        <v>0.42978846369215878</v>
      </c>
      <c r="R398" s="440">
        <v>0</v>
      </c>
      <c r="S398" s="321">
        <v>0</v>
      </c>
      <c r="T398" s="440">
        <v>1507.193192671702</v>
      </c>
      <c r="U398" s="415">
        <v>0.20397810686891144</v>
      </c>
      <c r="V398" s="326"/>
    </row>
    <row r="399" spans="1:22" ht="25.5">
      <c r="A399" s="436" t="s">
        <v>304</v>
      </c>
      <c r="B399" s="440">
        <v>1186.1349583606161</v>
      </c>
      <c r="C399" s="321">
        <v>0.57345197214886956</v>
      </c>
      <c r="D399" s="440">
        <v>273.26895113191557</v>
      </c>
      <c r="E399" s="321">
        <v>0.13211533632752703</v>
      </c>
      <c r="F399" s="440">
        <v>47.463063063063061</v>
      </c>
      <c r="G399" s="321">
        <v>2.2946619122800323E-2</v>
      </c>
      <c r="H399" s="440">
        <v>0</v>
      </c>
      <c r="I399" s="321">
        <v>0</v>
      </c>
      <c r="J399" s="440">
        <v>0</v>
      </c>
      <c r="K399" s="321">
        <v>0</v>
      </c>
      <c r="L399" s="440">
        <v>125.27095371233301</v>
      </c>
      <c r="M399" s="321">
        <v>6.0563829565055974E-2</v>
      </c>
      <c r="N399" s="440">
        <v>81.876154822268219</v>
      </c>
      <c r="O399" s="321">
        <v>3.958406429542332E-2</v>
      </c>
      <c r="P399" s="440">
        <v>354.39794985263484</v>
      </c>
      <c r="Q399" s="321">
        <v>0.17133817854032285</v>
      </c>
      <c r="R399" s="440">
        <v>0</v>
      </c>
      <c r="S399" s="321">
        <v>0</v>
      </c>
      <c r="T399" s="440">
        <v>2068.4120309428326</v>
      </c>
      <c r="U399" s="415">
        <v>0.27993144631227129</v>
      </c>
      <c r="V399" s="326"/>
    </row>
    <row r="400" spans="1:22" ht="25.5">
      <c r="A400" s="436" t="s">
        <v>303</v>
      </c>
      <c r="B400" s="440">
        <v>656.81227638477264</v>
      </c>
      <c r="C400" s="321">
        <v>0.50600150011980327</v>
      </c>
      <c r="D400" s="440">
        <v>64.579042816702056</v>
      </c>
      <c r="E400" s="321">
        <v>4.9751038030856481E-2</v>
      </c>
      <c r="F400" s="440">
        <v>53.085987261146499</v>
      </c>
      <c r="G400" s="321">
        <v>4.0896904877193378E-2</v>
      </c>
      <c r="H400" s="440">
        <v>0</v>
      </c>
      <c r="I400" s="321">
        <v>0</v>
      </c>
      <c r="J400" s="440">
        <v>6.3125</v>
      </c>
      <c r="K400" s="321">
        <v>4.8630858227672281E-3</v>
      </c>
      <c r="L400" s="440">
        <v>147.51839488158384</v>
      </c>
      <c r="M400" s="321">
        <v>0.11364667164293196</v>
      </c>
      <c r="N400" s="440">
        <v>141.45680163196087</v>
      </c>
      <c r="O400" s="321">
        <v>0.10897688182976398</v>
      </c>
      <c r="P400" s="440">
        <v>228.27912580460352</v>
      </c>
      <c r="Q400" s="321">
        <v>0.17586391767668338</v>
      </c>
      <c r="R400" s="440">
        <v>0</v>
      </c>
      <c r="S400" s="321">
        <v>0</v>
      </c>
      <c r="T400" s="440">
        <v>1298.0441287807698</v>
      </c>
      <c r="U400" s="415">
        <v>0.1756726246564729</v>
      </c>
      <c r="V400" s="326"/>
    </row>
    <row r="401" spans="1:22" ht="15.75" thickBot="1">
      <c r="A401" s="439" t="s">
        <v>302</v>
      </c>
      <c r="B401" s="440">
        <v>0</v>
      </c>
      <c r="C401" s="321">
        <v>0</v>
      </c>
      <c r="D401" s="440">
        <v>135.1875</v>
      </c>
      <c r="E401" s="321">
        <v>0.33145756536100729</v>
      </c>
      <c r="F401" s="440">
        <v>0</v>
      </c>
      <c r="G401" s="321">
        <v>0</v>
      </c>
      <c r="H401" s="440">
        <v>67.59375</v>
      </c>
      <c r="I401" s="321">
        <v>0.16572878268050364</v>
      </c>
      <c r="J401" s="440">
        <v>0</v>
      </c>
      <c r="K401" s="321">
        <v>0</v>
      </c>
      <c r="L401" s="440">
        <v>0</v>
      </c>
      <c r="M401" s="321">
        <v>0</v>
      </c>
      <c r="N401" s="440">
        <v>0</v>
      </c>
      <c r="O401" s="321">
        <v>0</v>
      </c>
      <c r="P401" s="440">
        <v>205.07638888888889</v>
      </c>
      <c r="Q401" s="321">
        <v>0.50281365195848904</v>
      </c>
      <c r="R401" s="440">
        <v>0</v>
      </c>
      <c r="S401" s="321">
        <v>0</v>
      </c>
      <c r="T401" s="440">
        <v>407.85763888888891</v>
      </c>
      <c r="U401" s="415">
        <v>5.5197986201826657E-2</v>
      </c>
      <c r="V401" s="326"/>
    </row>
    <row r="402" spans="1:22" ht="15.75" customHeight="1">
      <c r="A402" s="438" t="s">
        <v>3</v>
      </c>
      <c r="B402" s="444">
        <v>3215.2113154664271</v>
      </c>
      <c r="C402" s="445">
        <v>0.39453233315005803</v>
      </c>
      <c r="D402" s="444">
        <v>734.35050237102746</v>
      </c>
      <c r="E402" s="445">
        <v>9.0110723253761821E-2</v>
      </c>
      <c r="F402" s="444">
        <v>82.344279224626845</v>
      </c>
      <c r="G402" s="445">
        <v>1.0104306503206918E-2</v>
      </c>
      <c r="H402" s="444">
        <v>45.093676814988292</v>
      </c>
      <c r="I402" s="445">
        <v>5.5333574619343805E-3</v>
      </c>
      <c r="J402" s="444">
        <v>31.660618961412723</v>
      </c>
      <c r="K402" s="445">
        <v>3.8850130340528032E-3</v>
      </c>
      <c r="L402" s="444">
        <v>356.01243367618878</v>
      </c>
      <c r="M402" s="445">
        <v>4.3685593980413356E-2</v>
      </c>
      <c r="N402" s="444">
        <v>921.51256788918545</v>
      </c>
      <c r="O402" s="445">
        <v>0.11307701664507219</v>
      </c>
      <c r="P402" s="444">
        <v>2675.164385211242</v>
      </c>
      <c r="Q402" s="445">
        <v>0.32826422368578306</v>
      </c>
      <c r="R402" s="444">
        <v>88.074349442379187</v>
      </c>
      <c r="S402" s="445">
        <v>1.0807432285717275E-2</v>
      </c>
      <c r="T402" s="444">
        <v>8149.4241290574791</v>
      </c>
      <c r="U402" s="417">
        <v>1</v>
      </c>
      <c r="V402" s="326"/>
    </row>
    <row r="403" spans="1:22">
      <c r="A403" s="436" t="s">
        <v>309</v>
      </c>
      <c r="B403" s="440">
        <v>0</v>
      </c>
      <c r="C403" s="321">
        <v>0</v>
      </c>
      <c r="D403" s="440">
        <v>11.705882352941176</v>
      </c>
      <c r="E403" s="321">
        <v>1</v>
      </c>
      <c r="F403" s="440">
        <v>0</v>
      </c>
      <c r="G403" s="321">
        <v>0</v>
      </c>
      <c r="H403" s="440">
        <v>0</v>
      </c>
      <c r="I403" s="321">
        <v>0</v>
      </c>
      <c r="J403" s="440">
        <v>0</v>
      </c>
      <c r="K403" s="321">
        <v>0</v>
      </c>
      <c r="L403" s="440">
        <v>0</v>
      </c>
      <c r="M403" s="321">
        <v>0</v>
      </c>
      <c r="N403" s="440">
        <v>0</v>
      </c>
      <c r="O403" s="321">
        <v>0</v>
      </c>
      <c r="P403" s="440">
        <v>0</v>
      </c>
      <c r="Q403" s="321">
        <v>0</v>
      </c>
      <c r="R403" s="440">
        <v>0</v>
      </c>
      <c r="S403" s="321">
        <v>0</v>
      </c>
      <c r="T403" s="440">
        <v>11.705882352941176</v>
      </c>
      <c r="U403" s="415">
        <v>1.4364060782163534E-3</v>
      </c>
      <c r="V403" s="326"/>
    </row>
    <row r="404" spans="1:22">
      <c r="A404" s="436" t="s">
        <v>308</v>
      </c>
      <c r="B404" s="440">
        <v>235.76720030493613</v>
      </c>
      <c r="C404" s="321">
        <v>0.25580189530751257</v>
      </c>
      <c r="D404" s="440">
        <v>172.57223175147701</v>
      </c>
      <c r="E404" s="321">
        <v>0.18723683320826578</v>
      </c>
      <c r="F404" s="440">
        <v>0</v>
      </c>
      <c r="G404" s="321">
        <v>0</v>
      </c>
      <c r="H404" s="440">
        <v>0</v>
      </c>
      <c r="I404" s="321">
        <v>0</v>
      </c>
      <c r="J404" s="440">
        <v>0</v>
      </c>
      <c r="K404" s="321">
        <v>0</v>
      </c>
      <c r="L404" s="440">
        <v>21.528301886792452</v>
      </c>
      <c r="M404" s="321">
        <v>2.3357703778435678E-2</v>
      </c>
      <c r="N404" s="440">
        <v>271.8111301696207</v>
      </c>
      <c r="O404" s="321">
        <v>0.29490871577190403</v>
      </c>
      <c r="P404" s="440">
        <v>219.99999999999997</v>
      </c>
      <c r="Q404" s="321">
        <v>0.23869485193388254</v>
      </c>
      <c r="R404" s="440">
        <v>0</v>
      </c>
      <c r="S404" s="321">
        <v>0</v>
      </c>
      <c r="T404" s="440">
        <v>921.67886411282575</v>
      </c>
      <c r="U404" s="415">
        <v>0.11309742253155038</v>
      </c>
      <c r="V404" s="326"/>
    </row>
    <row r="405" spans="1:22">
      <c r="A405" s="436" t="s">
        <v>307</v>
      </c>
      <c r="B405" s="440">
        <v>336.25405092592592</v>
      </c>
      <c r="C405" s="321">
        <v>0.56038125989750009</v>
      </c>
      <c r="D405" s="440">
        <v>0</v>
      </c>
      <c r="E405" s="321">
        <v>0</v>
      </c>
      <c r="F405" s="440">
        <v>0</v>
      </c>
      <c r="G405" s="321">
        <v>0</v>
      </c>
      <c r="H405" s="440">
        <v>0</v>
      </c>
      <c r="I405" s="321">
        <v>0</v>
      </c>
      <c r="J405" s="440">
        <v>0</v>
      </c>
      <c r="K405" s="321">
        <v>0</v>
      </c>
      <c r="L405" s="440">
        <v>0</v>
      </c>
      <c r="M405" s="321">
        <v>0</v>
      </c>
      <c r="N405" s="440">
        <v>0</v>
      </c>
      <c r="O405" s="321">
        <v>0</v>
      </c>
      <c r="P405" s="440">
        <v>263.79108796296293</v>
      </c>
      <c r="Q405" s="321">
        <v>0.43961874010250002</v>
      </c>
      <c r="R405" s="440">
        <v>0</v>
      </c>
      <c r="S405" s="321">
        <v>0</v>
      </c>
      <c r="T405" s="440">
        <v>600.0451388888888</v>
      </c>
      <c r="U405" s="415">
        <v>7.363037306518086E-2</v>
      </c>
      <c r="V405" s="326"/>
    </row>
    <row r="406" spans="1:22">
      <c r="A406" s="436" t="s">
        <v>306</v>
      </c>
      <c r="B406" s="440">
        <v>196.57499999999999</v>
      </c>
      <c r="C406" s="321">
        <v>0.28325690760677008</v>
      </c>
      <c r="D406" s="440">
        <v>36.094999999999999</v>
      </c>
      <c r="E406" s="321">
        <v>5.2011487117214115E-2</v>
      </c>
      <c r="F406" s="440">
        <v>0</v>
      </c>
      <c r="G406" s="321">
        <v>0</v>
      </c>
      <c r="H406" s="440">
        <v>0</v>
      </c>
      <c r="I406" s="321">
        <v>0</v>
      </c>
      <c r="J406" s="440">
        <v>0</v>
      </c>
      <c r="K406" s="321">
        <v>0</v>
      </c>
      <c r="L406" s="440">
        <v>72.19</v>
      </c>
      <c r="M406" s="321">
        <v>0.10402297423442823</v>
      </c>
      <c r="N406" s="440">
        <v>271.44587378640779</v>
      </c>
      <c r="O406" s="321">
        <v>0.3911429164001296</v>
      </c>
      <c r="P406" s="440">
        <v>117.67543689320388</v>
      </c>
      <c r="Q406" s="321">
        <v>0.1695657146414577</v>
      </c>
      <c r="R406" s="440">
        <v>0</v>
      </c>
      <c r="S406" s="321">
        <v>0</v>
      </c>
      <c r="T406" s="440">
        <v>693.98131067961185</v>
      </c>
      <c r="U406" s="415">
        <v>8.5157098181350172E-2</v>
      </c>
      <c r="V406" s="326"/>
    </row>
    <row r="407" spans="1:22">
      <c r="A407" s="436" t="s">
        <v>305</v>
      </c>
      <c r="B407" s="440">
        <v>515.80881195908728</v>
      </c>
      <c r="C407" s="321">
        <v>0.33888062878638436</v>
      </c>
      <c r="D407" s="440">
        <v>137.86280487804879</v>
      </c>
      <c r="E407" s="321">
        <v>9.0574323121555042E-2</v>
      </c>
      <c r="F407" s="440">
        <v>0</v>
      </c>
      <c r="G407" s="321">
        <v>0</v>
      </c>
      <c r="H407" s="440">
        <v>0</v>
      </c>
      <c r="I407" s="321">
        <v>0</v>
      </c>
      <c r="J407" s="440">
        <v>0</v>
      </c>
      <c r="K407" s="321">
        <v>0</v>
      </c>
      <c r="L407" s="440">
        <v>204.44079464988198</v>
      </c>
      <c r="M407" s="321">
        <v>0.13431531884343864</v>
      </c>
      <c r="N407" s="440">
        <v>183.8170731707317</v>
      </c>
      <c r="O407" s="321">
        <v>0.12076576416207337</v>
      </c>
      <c r="P407" s="440">
        <v>480.16640440597945</v>
      </c>
      <c r="Q407" s="321">
        <v>0.31546396508654861</v>
      </c>
      <c r="R407" s="440">
        <v>0</v>
      </c>
      <c r="S407" s="321">
        <v>0</v>
      </c>
      <c r="T407" s="440">
        <v>1522.0958890637291</v>
      </c>
      <c r="U407" s="415">
        <v>0.18677342901280156</v>
      </c>
      <c r="V407" s="326"/>
    </row>
    <row r="408" spans="1:22" ht="25.5">
      <c r="A408" s="436" t="s">
        <v>304</v>
      </c>
      <c r="B408" s="440">
        <v>985.28672724618821</v>
      </c>
      <c r="C408" s="321">
        <v>0.45194049185520863</v>
      </c>
      <c r="D408" s="440">
        <v>132.2677957580436</v>
      </c>
      <c r="E408" s="321">
        <v>6.0669824345008463E-2</v>
      </c>
      <c r="F408" s="440">
        <v>45.093676814988292</v>
      </c>
      <c r="G408" s="321">
        <v>2.0683987630976657E-2</v>
      </c>
      <c r="H408" s="440">
        <v>45.093676814988292</v>
      </c>
      <c r="I408" s="321">
        <v>2.0683987630976657E-2</v>
      </c>
      <c r="J408" s="440">
        <v>22.115768463073852</v>
      </c>
      <c r="K408" s="321">
        <v>1.0144266638903084E-2</v>
      </c>
      <c r="L408" s="440">
        <v>11.057884231536926</v>
      </c>
      <c r="M408" s="321">
        <v>5.072133319451542E-3</v>
      </c>
      <c r="N408" s="440">
        <v>194.4384907624252</v>
      </c>
      <c r="O408" s="321">
        <v>8.9186857714361703E-2</v>
      </c>
      <c r="P408" s="440">
        <v>744.77089680124527</v>
      </c>
      <c r="Q408" s="321">
        <v>0.34161845086511261</v>
      </c>
      <c r="R408" s="440">
        <v>0</v>
      </c>
      <c r="S408" s="321">
        <v>0</v>
      </c>
      <c r="T408" s="440">
        <v>2180.124916892491</v>
      </c>
      <c r="U408" s="415">
        <v>0.2675188924232163</v>
      </c>
      <c r="V408" s="326"/>
    </row>
    <row r="409" spans="1:22" ht="25.5">
      <c r="A409" s="436" t="s">
        <v>303</v>
      </c>
      <c r="B409" s="440">
        <v>869.09847239870805</v>
      </c>
      <c r="C409" s="321">
        <v>0.45102476538046277</v>
      </c>
      <c r="D409" s="440">
        <v>184.44053763051696</v>
      </c>
      <c r="E409" s="321">
        <v>9.5716714334859981E-2</v>
      </c>
      <c r="F409" s="440">
        <v>37.250602409638553</v>
      </c>
      <c r="G409" s="321">
        <v>1.9331462136525906E-2</v>
      </c>
      <c r="H409" s="440">
        <v>0</v>
      </c>
      <c r="I409" s="321">
        <v>0</v>
      </c>
      <c r="J409" s="440">
        <v>9.5448504983388709</v>
      </c>
      <c r="K409" s="321">
        <v>4.953367303388764E-3</v>
      </c>
      <c r="L409" s="440">
        <v>46.79545290797742</v>
      </c>
      <c r="M409" s="321">
        <v>2.4284829439914665E-2</v>
      </c>
      <c r="N409" s="440">
        <v>0</v>
      </c>
      <c r="O409" s="321">
        <v>0</v>
      </c>
      <c r="P409" s="440">
        <v>691.73753283205974</v>
      </c>
      <c r="Q409" s="321">
        <v>0.35898205825784824</v>
      </c>
      <c r="R409" s="440">
        <v>88.074349442379187</v>
      </c>
      <c r="S409" s="321">
        <v>4.5706803146999778E-2</v>
      </c>
      <c r="T409" s="440">
        <v>1926.9417981196186</v>
      </c>
      <c r="U409" s="415">
        <v>0.23645128387034617</v>
      </c>
      <c r="V409" s="326"/>
    </row>
    <row r="410" spans="1:22" ht="15.75" thickBot="1">
      <c r="A410" s="433" t="s">
        <v>302</v>
      </c>
      <c r="B410" s="414">
        <v>76.421052631578945</v>
      </c>
      <c r="C410" s="413">
        <v>0.26095600748091857</v>
      </c>
      <c r="D410" s="414">
        <v>59.40625</v>
      </c>
      <c r="E410" s="413">
        <v>0.202855329592874</v>
      </c>
      <c r="F410" s="414">
        <v>0</v>
      </c>
      <c r="G410" s="413">
        <v>0</v>
      </c>
      <c r="H410" s="414">
        <v>0</v>
      </c>
      <c r="I410" s="413">
        <v>0</v>
      </c>
      <c r="J410" s="414">
        <v>0</v>
      </c>
      <c r="K410" s="413">
        <v>0</v>
      </c>
      <c r="L410" s="414">
        <v>0</v>
      </c>
      <c r="M410" s="413">
        <v>0</v>
      </c>
      <c r="N410" s="414">
        <v>0</v>
      </c>
      <c r="O410" s="413">
        <v>0</v>
      </c>
      <c r="P410" s="414">
        <v>157.02302631578948</v>
      </c>
      <c r="Q410" s="413">
        <v>0.53618866292620737</v>
      </c>
      <c r="R410" s="414">
        <v>0</v>
      </c>
      <c r="S410" s="413">
        <v>0</v>
      </c>
      <c r="T410" s="414">
        <v>292.85032894736844</v>
      </c>
      <c r="U410" s="413">
        <v>3.5935094837337672E-2</v>
      </c>
      <c r="V410" s="326"/>
    </row>
    <row r="413" spans="1:22" ht="15.75" thickBot="1"/>
    <row r="414" spans="1:22" ht="15" customHeight="1">
      <c r="A414" s="830" t="s">
        <v>310</v>
      </c>
      <c r="B414" s="755" t="s">
        <v>321</v>
      </c>
      <c r="C414" s="756"/>
      <c r="D414" s="756"/>
      <c r="E414" s="756"/>
      <c r="F414" s="756"/>
      <c r="G414" s="756"/>
      <c r="H414" s="756"/>
      <c r="I414" s="756"/>
      <c r="J414" s="756"/>
      <c r="K414" s="756"/>
      <c r="L414" s="756"/>
      <c r="M414" s="757"/>
      <c r="N414" s="326"/>
    </row>
    <row r="415" spans="1:22" ht="46.5" customHeight="1">
      <c r="A415" s="831"/>
      <c r="B415" s="848" t="s">
        <v>156</v>
      </c>
      <c r="C415" s="810"/>
      <c r="D415" s="781" t="s">
        <v>155</v>
      </c>
      <c r="E415" s="810"/>
      <c r="F415" s="781" t="s">
        <v>154</v>
      </c>
      <c r="G415" s="810"/>
      <c r="H415" s="781" t="s">
        <v>153</v>
      </c>
      <c r="I415" s="810"/>
      <c r="J415" s="781" t="s">
        <v>152</v>
      </c>
      <c r="K415" s="810"/>
      <c r="L415" s="836" t="s">
        <v>9</v>
      </c>
      <c r="M415" s="813"/>
      <c r="N415" s="326"/>
    </row>
    <row r="416" spans="1:22" ht="15.75" customHeight="1" thickBot="1">
      <c r="A416" s="832"/>
      <c r="B416" s="428" t="s">
        <v>7</v>
      </c>
      <c r="C416" s="428" t="s">
        <v>8</v>
      </c>
      <c r="D416" s="428" t="s">
        <v>7</v>
      </c>
      <c r="E416" s="428" t="s">
        <v>8</v>
      </c>
      <c r="F416" s="428" t="s">
        <v>7</v>
      </c>
      <c r="G416" s="428" t="s">
        <v>8</v>
      </c>
      <c r="H416" s="428" t="s">
        <v>7</v>
      </c>
      <c r="I416" s="428" t="s">
        <v>8</v>
      </c>
      <c r="J416" s="428" t="s">
        <v>7</v>
      </c>
      <c r="K416" s="428" t="s">
        <v>8</v>
      </c>
      <c r="L416" s="428" t="s">
        <v>7</v>
      </c>
      <c r="M416" s="430" t="s">
        <v>6</v>
      </c>
      <c r="N416" s="326"/>
    </row>
    <row r="417" spans="1:14" ht="15.75" customHeight="1">
      <c r="A417" s="438" t="s">
        <v>5</v>
      </c>
      <c r="B417" s="442">
        <v>1421.0686689999995</v>
      </c>
      <c r="C417" s="443">
        <v>0.58926615694234519</v>
      </c>
      <c r="D417" s="442">
        <v>214.28549999999998</v>
      </c>
      <c r="E417" s="443">
        <v>8.8856503438588544E-2</v>
      </c>
      <c r="F417" s="442">
        <v>482.83477900000003</v>
      </c>
      <c r="G417" s="443">
        <v>0.20021424781650482</v>
      </c>
      <c r="H417" s="442">
        <v>83.362990000000011</v>
      </c>
      <c r="I417" s="443">
        <v>3.4567639003040447E-2</v>
      </c>
      <c r="J417" s="442">
        <v>210.038567</v>
      </c>
      <c r="K417" s="443">
        <v>8.7095452799520773E-2</v>
      </c>
      <c r="L417" s="442">
        <v>2411.5905050000001</v>
      </c>
      <c r="M417" s="441">
        <v>1</v>
      </c>
      <c r="N417" s="326"/>
    </row>
    <row r="418" spans="1:14">
      <c r="A418" s="436" t="s">
        <v>309</v>
      </c>
      <c r="B418" s="440">
        <v>0</v>
      </c>
      <c r="C418" s="321">
        <v>0</v>
      </c>
      <c r="D418" s="440">
        <v>0</v>
      </c>
      <c r="E418" s="321">
        <v>0</v>
      </c>
      <c r="F418" s="440">
        <v>0</v>
      </c>
      <c r="G418" s="321">
        <v>0</v>
      </c>
      <c r="H418" s="440">
        <v>0</v>
      </c>
      <c r="I418" s="321">
        <v>0</v>
      </c>
      <c r="J418" s="440">
        <v>0</v>
      </c>
      <c r="K418" s="321">
        <v>0</v>
      </c>
      <c r="L418" s="440">
        <v>0</v>
      </c>
      <c r="M418" s="415">
        <v>0</v>
      </c>
      <c r="N418" s="326"/>
    </row>
    <row r="419" spans="1:14">
      <c r="A419" s="436" t="s">
        <v>308</v>
      </c>
      <c r="B419" s="440">
        <v>214.06783900000002</v>
      </c>
      <c r="C419" s="321">
        <v>0.68769773055369854</v>
      </c>
      <c r="D419" s="440">
        <v>6.9052629999999997</v>
      </c>
      <c r="E419" s="321">
        <v>2.2183312150763679E-2</v>
      </c>
      <c r="F419" s="440">
        <v>6.9052629999999997</v>
      </c>
      <c r="G419" s="321">
        <v>2.2183312150763679E-2</v>
      </c>
      <c r="H419" s="440">
        <v>0</v>
      </c>
      <c r="I419" s="321">
        <v>0</v>
      </c>
      <c r="J419" s="440">
        <v>83.403509999999997</v>
      </c>
      <c r="K419" s="321">
        <v>0.26793564514477436</v>
      </c>
      <c r="L419" s="440">
        <v>311.28187499999996</v>
      </c>
      <c r="M419" s="415">
        <v>0.12907741772685408</v>
      </c>
      <c r="N419" s="326"/>
    </row>
    <row r="420" spans="1:14">
      <c r="A420" s="436" t="s">
        <v>307</v>
      </c>
      <c r="B420" s="440">
        <v>151.41833700000001</v>
      </c>
      <c r="C420" s="321">
        <v>1</v>
      </c>
      <c r="D420" s="440">
        <v>0</v>
      </c>
      <c r="E420" s="321">
        <v>0</v>
      </c>
      <c r="F420" s="440">
        <v>0</v>
      </c>
      <c r="G420" s="321">
        <v>0</v>
      </c>
      <c r="H420" s="440">
        <v>0</v>
      </c>
      <c r="I420" s="321">
        <v>0</v>
      </c>
      <c r="J420" s="440">
        <v>0</v>
      </c>
      <c r="K420" s="321">
        <v>0</v>
      </c>
      <c r="L420" s="440">
        <v>151.41833700000001</v>
      </c>
      <c r="M420" s="415">
        <v>6.2787748038508714E-2</v>
      </c>
      <c r="N420" s="326"/>
    </row>
    <row r="421" spans="1:14">
      <c r="A421" s="436" t="s">
        <v>306</v>
      </c>
      <c r="B421" s="440">
        <v>0</v>
      </c>
      <c r="C421" s="321">
        <v>0</v>
      </c>
      <c r="D421" s="440">
        <v>0</v>
      </c>
      <c r="E421" s="321">
        <v>0</v>
      </c>
      <c r="F421" s="440">
        <v>0</v>
      </c>
      <c r="G421" s="321">
        <v>0</v>
      </c>
      <c r="H421" s="440">
        <v>0</v>
      </c>
      <c r="I421" s="321">
        <v>0</v>
      </c>
      <c r="J421" s="440">
        <v>72.371899999999997</v>
      </c>
      <c r="K421" s="321">
        <v>1</v>
      </c>
      <c r="L421" s="440">
        <v>72.371899999999997</v>
      </c>
      <c r="M421" s="415">
        <v>3.0010028588995458E-2</v>
      </c>
      <c r="N421" s="326"/>
    </row>
    <row r="422" spans="1:14">
      <c r="A422" s="436" t="s">
        <v>305</v>
      </c>
      <c r="B422" s="440">
        <v>60.051774999999999</v>
      </c>
      <c r="C422" s="321">
        <v>0.19364531736349178</v>
      </c>
      <c r="D422" s="440">
        <v>54.263157</v>
      </c>
      <c r="E422" s="321">
        <v>0.17497911191484317</v>
      </c>
      <c r="F422" s="440">
        <v>141.534109</v>
      </c>
      <c r="G422" s="321">
        <v>0.45639645880682195</v>
      </c>
      <c r="H422" s="440">
        <v>0</v>
      </c>
      <c r="I422" s="321">
        <v>0</v>
      </c>
      <c r="J422" s="440">
        <v>54.263157</v>
      </c>
      <c r="K422" s="321">
        <v>0.17497911191484317</v>
      </c>
      <c r="L422" s="440">
        <v>310.11219799999998</v>
      </c>
      <c r="M422" s="415">
        <v>0.12859239466942582</v>
      </c>
      <c r="N422" s="326"/>
    </row>
    <row r="423" spans="1:14" ht="25.5">
      <c r="A423" s="436" t="s">
        <v>304</v>
      </c>
      <c r="B423" s="440">
        <v>349.77856200000002</v>
      </c>
      <c r="C423" s="321">
        <v>0.73559279397398758</v>
      </c>
      <c r="D423" s="440">
        <v>87.261309999999995</v>
      </c>
      <c r="E423" s="321">
        <v>0.18351265000835085</v>
      </c>
      <c r="F423" s="440">
        <v>20.958601999999999</v>
      </c>
      <c r="G423" s="321">
        <v>4.4076448009894909E-2</v>
      </c>
      <c r="H423" s="440">
        <v>17.50722</v>
      </c>
      <c r="I423" s="321">
        <v>3.6818108007766567E-2</v>
      </c>
      <c r="J423" s="440">
        <v>0</v>
      </c>
      <c r="K423" s="321">
        <v>0</v>
      </c>
      <c r="L423" s="440">
        <v>475.50569400000006</v>
      </c>
      <c r="M423" s="415">
        <v>0.19717513940037676</v>
      </c>
      <c r="N423" s="326"/>
    </row>
    <row r="424" spans="1:14" ht="25.5">
      <c r="A424" s="436" t="s">
        <v>303</v>
      </c>
      <c r="B424" s="440">
        <v>645.75215600000001</v>
      </c>
      <c r="C424" s="321">
        <v>0.59194413735079943</v>
      </c>
      <c r="D424" s="440">
        <v>65.855770000000007</v>
      </c>
      <c r="E424" s="321">
        <v>6.0368264511412119E-2</v>
      </c>
      <c r="F424" s="440">
        <v>313.43680499999999</v>
      </c>
      <c r="G424" s="321">
        <v>0.28731933362637624</v>
      </c>
      <c r="H424" s="440">
        <v>65.855770000000007</v>
      </c>
      <c r="I424" s="321">
        <v>6.0368264511412119E-2</v>
      </c>
      <c r="J424" s="440">
        <v>0</v>
      </c>
      <c r="K424" s="321">
        <v>0</v>
      </c>
      <c r="L424" s="440">
        <v>1090.9005010000001</v>
      </c>
      <c r="M424" s="415">
        <v>0.4523572715758391</v>
      </c>
      <c r="N424" s="326"/>
    </row>
    <row r="425" spans="1:14" ht="15.75" thickBot="1">
      <c r="A425" s="439" t="s">
        <v>302</v>
      </c>
      <c r="B425" s="440">
        <v>0</v>
      </c>
      <c r="C425" s="321">
        <v>0</v>
      </c>
      <c r="D425" s="440">
        <v>0</v>
      </c>
      <c r="E425" s="321">
        <v>0</v>
      </c>
      <c r="F425" s="440">
        <v>0</v>
      </c>
      <c r="G425" s="321">
        <v>0</v>
      </c>
      <c r="H425" s="440">
        <v>0</v>
      </c>
      <c r="I425" s="321">
        <v>0</v>
      </c>
      <c r="J425" s="440">
        <v>0</v>
      </c>
      <c r="K425" s="321">
        <v>0</v>
      </c>
      <c r="L425" s="440">
        <v>0</v>
      </c>
      <c r="M425" s="415">
        <v>0</v>
      </c>
      <c r="N425" s="326"/>
    </row>
    <row r="426" spans="1:14" ht="15" customHeight="1">
      <c r="A426" s="438" t="s">
        <v>4</v>
      </c>
      <c r="B426" s="442">
        <v>2210.203893041225</v>
      </c>
      <c r="C426" s="443">
        <v>0.70545090639573971</v>
      </c>
      <c r="D426" s="442">
        <v>132.52370067385991</v>
      </c>
      <c r="E426" s="443">
        <v>4.2298796528971817E-2</v>
      </c>
      <c r="F426" s="442">
        <v>613.08058519302449</v>
      </c>
      <c r="G426" s="443">
        <v>0.19568251412449331</v>
      </c>
      <c r="H426" s="442">
        <v>52.842762311183364</v>
      </c>
      <c r="I426" s="443">
        <v>1.6866305722403153E-2</v>
      </c>
      <c r="J426" s="442">
        <v>124.38620283018868</v>
      </c>
      <c r="K426" s="443">
        <v>3.9701477228392623E-2</v>
      </c>
      <c r="L426" s="442">
        <v>3133.0371440494796</v>
      </c>
      <c r="M426" s="441">
        <v>1</v>
      </c>
      <c r="N426" s="326"/>
    </row>
    <row r="427" spans="1:14">
      <c r="A427" s="436" t="s">
        <v>309</v>
      </c>
      <c r="B427" s="440">
        <v>120.89191729323309</v>
      </c>
      <c r="C427" s="321">
        <v>0.43156774909366169</v>
      </c>
      <c r="D427" s="440">
        <v>0</v>
      </c>
      <c r="E427" s="321">
        <v>0</v>
      </c>
      <c r="F427" s="440">
        <v>159.23076923076923</v>
      </c>
      <c r="G427" s="321">
        <v>0.5684322509063382</v>
      </c>
      <c r="H427" s="440">
        <v>0</v>
      </c>
      <c r="I427" s="321">
        <v>0</v>
      </c>
      <c r="J427" s="440">
        <v>0</v>
      </c>
      <c r="K427" s="321">
        <v>0</v>
      </c>
      <c r="L427" s="440">
        <v>280.12268652400235</v>
      </c>
      <c r="M427" s="415">
        <v>1</v>
      </c>
      <c r="N427" s="326"/>
    </row>
    <row r="428" spans="1:14">
      <c r="A428" s="436" t="s">
        <v>308</v>
      </c>
      <c r="B428" s="440">
        <v>194.9956551214101</v>
      </c>
      <c r="C428" s="321">
        <v>0.58896565192397798</v>
      </c>
      <c r="D428" s="440">
        <v>0</v>
      </c>
      <c r="E428" s="321">
        <v>0</v>
      </c>
      <c r="F428" s="440">
        <v>130.70618575834726</v>
      </c>
      <c r="G428" s="321">
        <v>0.39478548308028005</v>
      </c>
      <c r="H428" s="440">
        <v>5.3796992481203008</v>
      </c>
      <c r="I428" s="321">
        <v>1.6248864995742244E-2</v>
      </c>
      <c r="J428" s="440">
        <v>0</v>
      </c>
      <c r="K428" s="321">
        <v>0</v>
      </c>
      <c r="L428" s="440">
        <v>331.08154012787759</v>
      </c>
      <c r="M428" s="415">
        <v>1</v>
      </c>
      <c r="N428" s="326"/>
    </row>
    <row r="429" spans="1:14">
      <c r="A429" s="436" t="s">
        <v>307</v>
      </c>
      <c r="B429" s="440">
        <v>120.45614035087719</v>
      </c>
      <c r="C429" s="321">
        <v>0.80163757843277561</v>
      </c>
      <c r="D429" s="440">
        <v>0</v>
      </c>
      <c r="E429" s="321">
        <v>0</v>
      </c>
      <c r="F429" s="440">
        <v>29.806451612903224</v>
      </c>
      <c r="G429" s="321">
        <v>0.19836242156722433</v>
      </c>
      <c r="H429" s="440">
        <v>0</v>
      </c>
      <c r="I429" s="321">
        <v>0</v>
      </c>
      <c r="J429" s="440">
        <v>0</v>
      </c>
      <c r="K429" s="321">
        <v>0</v>
      </c>
      <c r="L429" s="440">
        <v>150.26259196378041</v>
      </c>
      <c r="M429" s="415">
        <v>1</v>
      </c>
      <c r="N429" s="326"/>
    </row>
    <row r="430" spans="1:14">
      <c r="A430" s="436" t="s">
        <v>306</v>
      </c>
      <c r="B430" s="440">
        <v>73.604878048780478</v>
      </c>
      <c r="C430" s="321">
        <v>1</v>
      </c>
      <c r="D430" s="440">
        <v>0</v>
      </c>
      <c r="E430" s="321">
        <v>0</v>
      </c>
      <c r="F430" s="440">
        <v>0</v>
      </c>
      <c r="G430" s="321">
        <v>0</v>
      </c>
      <c r="H430" s="440">
        <v>0</v>
      </c>
      <c r="I430" s="321">
        <v>0</v>
      </c>
      <c r="J430" s="440">
        <v>0</v>
      </c>
      <c r="K430" s="321">
        <v>0</v>
      </c>
      <c r="L430" s="440">
        <v>73.604878048780478</v>
      </c>
      <c r="M430" s="415">
        <v>1</v>
      </c>
      <c r="N430" s="326"/>
    </row>
    <row r="431" spans="1:14">
      <c r="A431" s="436" t="s">
        <v>305</v>
      </c>
      <c r="B431" s="440">
        <v>264.55587392550143</v>
      </c>
      <c r="C431" s="321">
        <v>0.63989982876269846</v>
      </c>
      <c r="D431" s="440">
        <v>0</v>
      </c>
      <c r="E431" s="321">
        <v>0</v>
      </c>
      <c r="F431" s="440">
        <v>148.87738864786587</v>
      </c>
      <c r="G431" s="321">
        <v>0.3601001712373017</v>
      </c>
      <c r="H431" s="440">
        <v>0</v>
      </c>
      <c r="I431" s="321">
        <v>0</v>
      </c>
      <c r="J431" s="440">
        <v>0</v>
      </c>
      <c r="K431" s="321">
        <v>0</v>
      </c>
      <c r="L431" s="440">
        <v>413.43326257336724</v>
      </c>
      <c r="M431" s="415">
        <v>1</v>
      </c>
      <c r="N431" s="326"/>
    </row>
    <row r="432" spans="1:14" ht="25.5">
      <c r="A432" s="436" t="s">
        <v>304</v>
      </c>
      <c r="B432" s="440">
        <v>616.97767506914261</v>
      </c>
      <c r="C432" s="321">
        <v>0.78709317057682437</v>
      </c>
      <c r="D432" s="440">
        <v>47.463063063063061</v>
      </c>
      <c r="E432" s="321">
        <v>6.0549764280218889E-2</v>
      </c>
      <c r="F432" s="440">
        <v>15.172413793103448</v>
      </c>
      <c r="G432" s="321">
        <v>1.935581101273887E-2</v>
      </c>
      <c r="H432" s="440">
        <v>47.463063063063061</v>
      </c>
      <c r="I432" s="321">
        <v>6.0549764280218889E-2</v>
      </c>
      <c r="J432" s="440">
        <v>56.79245283018868</v>
      </c>
      <c r="K432" s="321">
        <v>7.2451489849998968E-2</v>
      </c>
      <c r="L432" s="440">
        <v>783.86866781856088</v>
      </c>
      <c r="M432" s="415">
        <v>1</v>
      </c>
      <c r="N432" s="326"/>
    </row>
    <row r="433" spans="1:14" ht="25.5">
      <c r="A433" s="436" t="s">
        <v>303</v>
      </c>
      <c r="B433" s="440">
        <v>818.72175323227918</v>
      </c>
      <c r="C433" s="321">
        <v>0.85001869518394657</v>
      </c>
      <c r="D433" s="440">
        <v>85.060637610796846</v>
      </c>
      <c r="E433" s="321">
        <v>8.831221585110488E-2</v>
      </c>
      <c r="F433" s="440">
        <v>59.398487261146499</v>
      </c>
      <c r="G433" s="321">
        <v>6.1669088964948472E-2</v>
      </c>
      <c r="H433" s="440">
        <v>0</v>
      </c>
      <c r="I433" s="321">
        <v>0</v>
      </c>
      <c r="J433" s="440">
        <v>0</v>
      </c>
      <c r="K433" s="321">
        <v>0</v>
      </c>
      <c r="L433" s="440">
        <v>963.18087810422264</v>
      </c>
      <c r="M433" s="415">
        <v>1</v>
      </c>
      <c r="N433" s="326"/>
    </row>
    <row r="434" spans="1:14" ht="15.75" thickBot="1">
      <c r="A434" s="439" t="s">
        <v>302</v>
      </c>
      <c r="B434" s="440">
        <v>0</v>
      </c>
      <c r="C434" s="321">
        <v>0</v>
      </c>
      <c r="D434" s="440">
        <v>0</v>
      </c>
      <c r="E434" s="321">
        <v>0</v>
      </c>
      <c r="F434" s="440">
        <v>69.888888888888886</v>
      </c>
      <c r="G434" s="321">
        <v>0.508347013511807</v>
      </c>
      <c r="H434" s="440">
        <v>0</v>
      </c>
      <c r="I434" s="321">
        <v>0</v>
      </c>
      <c r="J434" s="440">
        <v>67.59375</v>
      </c>
      <c r="K434" s="321">
        <v>0.49165298648819294</v>
      </c>
      <c r="L434" s="440">
        <v>137.48263888888889</v>
      </c>
      <c r="M434" s="415">
        <v>1</v>
      </c>
      <c r="N434" s="326"/>
    </row>
    <row r="435" spans="1:14" ht="15.75" customHeight="1">
      <c r="A435" s="438" t="s">
        <v>3</v>
      </c>
      <c r="B435" s="442">
        <v>1525.0984507233297</v>
      </c>
      <c r="C435" s="443">
        <v>0.69579224004314455</v>
      </c>
      <c r="D435" s="442">
        <v>88.33941520467836</v>
      </c>
      <c r="E435" s="443">
        <v>4.0302892944525839E-2</v>
      </c>
      <c r="F435" s="442">
        <v>388.52566843274235</v>
      </c>
      <c r="G435" s="443">
        <v>0.17725619288699895</v>
      </c>
      <c r="H435" s="442">
        <v>98.11800482451676</v>
      </c>
      <c r="I435" s="443">
        <v>4.4764156919204351E-2</v>
      </c>
      <c r="J435" s="442">
        <v>91.806157965194103</v>
      </c>
      <c r="K435" s="443">
        <v>4.1884517206125842E-2</v>
      </c>
      <c r="L435" s="442">
        <v>2191.8876971504624</v>
      </c>
      <c r="M435" s="441">
        <v>1</v>
      </c>
      <c r="N435" s="326"/>
    </row>
    <row r="436" spans="1:14">
      <c r="A436" s="436" t="s">
        <v>309</v>
      </c>
      <c r="B436" s="440">
        <v>0</v>
      </c>
      <c r="C436" s="321">
        <v>0</v>
      </c>
      <c r="D436" s="440">
        <v>0</v>
      </c>
      <c r="E436" s="321">
        <v>0</v>
      </c>
      <c r="F436" s="440">
        <v>0</v>
      </c>
      <c r="G436" s="321">
        <v>0</v>
      </c>
      <c r="H436" s="440">
        <v>0</v>
      </c>
      <c r="I436" s="321">
        <v>0</v>
      </c>
      <c r="J436" s="440">
        <v>54.555555555555557</v>
      </c>
      <c r="K436" s="321">
        <v>1</v>
      </c>
      <c r="L436" s="440">
        <v>54.555555555555557</v>
      </c>
      <c r="M436" s="415">
        <v>1</v>
      </c>
      <c r="N436" s="326"/>
    </row>
    <row r="437" spans="1:14">
      <c r="A437" s="436" t="s">
        <v>308</v>
      </c>
      <c r="B437" s="440">
        <v>99.238898418143691</v>
      </c>
      <c r="C437" s="321">
        <v>0.3927770507013249</v>
      </c>
      <c r="D437" s="440">
        <v>0</v>
      </c>
      <c r="E437" s="321">
        <v>0</v>
      </c>
      <c r="F437" s="440">
        <v>109.18334286258815</v>
      </c>
      <c r="G437" s="321">
        <v>0.43213610871196834</v>
      </c>
      <c r="H437" s="440">
        <v>44.237373737373737</v>
      </c>
      <c r="I437" s="321">
        <v>0.17508684058670668</v>
      </c>
      <c r="J437" s="440">
        <v>0</v>
      </c>
      <c r="K437" s="321">
        <v>0</v>
      </c>
      <c r="L437" s="440">
        <v>252.6596150181056</v>
      </c>
      <c r="M437" s="415">
        <v>1</v>
      </c>
      <c r="N437" s="326"/>
    </row>
    <row r="438" spans="1:14">
      <c r="A438" s="436" t="s">
        <v>307</v>
      </c>
      <c r="B438" s="440">
        <v>0</v>
      </c>
      <c r="C438" s="321">
        <v>0</v>
      </c>
      <c r="D438" s="440">
        <v>0</v>
      </c>
      <c r="E438" s="321">
        <v>0</v>
      </c>
      <c r="F438" s="440">
        <v>0</v>
      </c>
      <c r="G438" s="321">
        <v>0</v>
      </c>
      <c r="H438" s="440">
        <v>0</v>
      </c>
      <c r="I438" s="321">
        <v>0</v>
      </c>
      <c r="J438" s="440">
        <v>0</v>
      </c>
      <c r="K438" s="321">
        <v>0</v>
      </c>
      <c r="L438" s="440">
        <v>0</v>
      </c>
      <c r="M438" s="415">
        <v>0</v>
      </c>
      <c r="N438" s="326"/>
    </row>
    <row r="439" spans="1:14">
      <c r="A439" s="436" t="s">
        <v>306</v>
      </c>
      <c r="B439" s="440">
        <v>108.285</v>
      </c>
      <c r="C439" s="321">
        <v>0.75</v>
      </c>
      <c r="D439" s="440">
        <v>0</v>
      </c>
      <c r="E439" s="321">
        <v>0</v>
      </c>
      <c r="F439" s="440">
        <v>36.094999999999999</v>
      </c>
      <c r="G439" s="321">
        <v>0.25</v>
      </c>
      <c r="H439" s="440">
        <v>0</v>
      </c>
      <c r="I439" s="321">
        <v>0</v>
      </c>
      <c r="J439" s="440">
        <v>0</v>
      </c>
      <c r="K439" s="321">
        <v>0</v>
      </c>
      <c r="L439" s="440">
        <v>144.38</v>
      </c>
      <c r="M439" s="415">
        <v>1</v>
      </c>
      <c r="N439" s="326"/>
    </row>
    <row r="440" spans="1:14">
      <c r="A440" s="436" t="s">
        <v>305</v>
      </c>
      <c r="B440" s="440">
        <v>240.9531596452328</v>
      </c>
      <c r="C440" s="321">
        <v>0.83982893498795363</v>
      </c>
      <c r="D440" s="440">
        <v>0</v>
      </c>
      <c r="E440" s="321">
        <v>0</v>
      </c>
      <c r="F440" s="440">
        <v>45.954268292682926</v>
      </c>
      <c r="G440" s="321">
        <v>0.16017106501204645</v>
      </c>
      <c r="H440" s="440">
        <v>0</v>
      </c>
      <c r="I440" s="321">
        <v>0</v>
      </c>
      <c r="J440" s="440">
        <v>0</v>
      </c>
      <c r="K440" s="321">
        <v>0</v>
      </c>
      <c r="L440" s="440">
        <v>286.90742793791571</v>
      </c>
      <c r="M440" s="415">
        <v>1</v>
      </c>
      <c r="N440" s="326"/>
    </row>
    <row r="441" spans="1:14" ht="25.5">
      <c r="A441" s="436" t="s">
        <v>304</v>
      </c>
      <c r="B441" s="440">
        <v>254.94860183188408</v>
      </c>
      <c r="C441" s="321">
        <v>0.61083000504771023</v>
      </c>
      <c r="D441" s="440">
        <v>50.128888888888888</v>
      </c>
      <c r="E441" s="321">
        <v>0.12010353943116511</v>
      </c>
      <c r="F441" s="440">
        <v>67.209445278062148</v>
      </c>
      <c r="G441" s="321">
        <v>0.16102675403383335</v>
      </c>
      <c r="H441" s="440">
        <v>45.093676814988292</v>
      </c>
      <c r="I441" s="321">
        <v>0.10803970148729157</v>
      </c>
      <c r="J441" s="440">
        <v>0</v>
      </c>
      <c r="K441" s="321">
        <v>0</v>
      </c>
      <c r="L441" s="440">
        <v>417.38061281382329</v>
      </c>
      <c r="M441" s="415">
        <v>1</v>
      </c>
      <c r="N441" s="326"/>
    </row>
    <row r="442" spans="1:14" ht="25.5">
      <c r="A442" s="436" t="s">
        <v>303</v>
      </c>
      <c r="B442" s="440">
        <v>762.26654082806874</v>
      </c>
      <c r="C442" s="321">
        <v>0.81231513702017166</v>
      </c>
      <c r="D442" s="440">
        <v>0</v>
      </c>
      <c r="E442" s="321">
        <v>0</v>
      </c>
      <c r="F442" s="440">
        <v>130.08361199940924</v>
      </c>
      <c r="G442" s="321">
        <v>0.13862459054097831</v>
      </c>
      <c r="H442" s="440">
        <v>8.7869542721547216</v>
      </c>
      <c r="I442" s="321">
        <v>9.3638846535509818E-3</v>
      </c>
      <c r="J442" s="440">
        <v>37.250602409638553</v>
      </c>
      <c r="K442" s="321">
        <v>3.9696387785299013E-2</v>
      </c>
      <c r="L442" s="440">
        <v>938.3877095092713</v>
      </c>
      <c r="M442" s="415">
        <v>1</v>
      </c>
      <c r="N442" s="326"/>
    </row>
    <row r="443" spans="1:14" ht="15.75" thickBot="1">
      <c r="A443" s="433" t="s">
        <v>302</v>
      </c>
      <c r="B443" s="414">
        <v>59.40625</v>
      </c>
      <c r="C443" s="413">
        <v>0.608565988778622</v>
      </c>
      <c r="D443" s="414">
        <v>38.210526315789473</v>
      </c>
      <c r="E443" s="413">
        <v>0.39143401122137789</v>
      </c>
      <c r="F443" s="414">
        <v>0</v>
      </c>
      <c r="G443" s="413">
        <v>0</v>
      </c>
      <c r="H443" s="414">
        <v>0</v>
      </c>
      <c r="I443" s="413">
        <v>0</v>
      </c>
      <c r="J443" s="414">
        <v>0</v>
      </c>
      <c r="K443" s="413">
        <v>0</v>
      </c>
      <c r="L443" s="414">
        <v>97.61677631578948</v>
      </c>
      <c r="M443" s="420">
        <v>1</v>
      </c>
      <c r="N443" s="326"/>
    </row>
    <row r="445" spans="1:14" ht="15.75" thickBot="1"/>
    <row r="446" spans="1:14" ht="30" customHeight="1">
      <c r="A446" s="678" t="s">
        <v>310</v>
      </c>
      <c r="B446" s="840" t="s">
        <v>322</v>
      </c>
      <c r="C446" s="841"/>
      <c r="D446" s="841"/>
      <c r="E446" s="841"/>
      <c r="F446" s="841"/>
      <c r="G446" s="842"/>
      <c r="H446" s="326"/>
    </row>
    <row r="447" spans="1:14" ht="15" customHeight="1">
      <c r="A447" s="680"/>
      <c r="B447" s="843" t="s">
        <v>27</v>
      </c>
      <c r="C447" s="844"/>
      <c r="D447" s="845" t="s">
        <v>26</v>
      </c>
      <c r="E447" s="844"/>
      <c r="F447" s="845" t="s">
        <v>9</v>
      </c>
      <c r="G447" s="846"/>
      <c r="H447" s="326"/>
    </row>
    <row r="448" spans="1:14" ht="15.75" customHeight="1" thickBot="1">
      <c r="A448" s="832"/>
      <c r="B448" s="428" t="s">
        <v>7</v>
      </c>
      <c r="C448" s="428" t="s">
        <v>8</v>
      </c>
      <c r="D448" s="428" t="s">
        <v>7</v>
      </c>
      <c r="E448" s="428" t="s">
        <v>8</v>
      </c>
      <c r="F448" s="428" t="s">
        <v>7</v>
      </c>
      <c r="G448" s="430" t="s">
        <v>6</v>
      </c>
      <c r="H448" s="326"/>
    </row>
    <row r="449" spans="1:8" ht="15.75" customHeight="1">
      <c r="A449" s="438" t="s">
        <v>5</v>
      </c>
      <c r="B449" s="437">
        <v>207201.09565840708</v>
      </c>
      <c r="C449" s="417">
        <v>0.80922439445755801</v>
      </c>
      <c r="D449" s="437">
        <v>48847.902712799827</v>
      </c>
      <c r="E449" s="417">
        <v>0.19077560554242795</v>
      </c>
      <c r="F449" s="437">
        <v>256048.9983712105</v>
      </c>
      <c r="G449" s="417">
        <v>1</v>
      </c>
      <c r="H449" s="326"/>
    </row>
    <row r="450" spans="1:8">
      <c r="A450" s="436" t="s">
        <v>309</v>
      </c>
      <c r="B450" s="435">
        <v>3710.4122133999999</v>
      </c>
      <c r="C450" s="434">
        <v>0.65370191993728266</v>
      </c>
      <c r="D450" s="435">
        <v>1965.587963799999</v>
      </c>
      <c r="E450" s="434">
        <v>0.34629808006271623</v>
      </c>
      <c r="F450" s="435">
        <v>5676.0001772000051</v>
      </c>
      <c r="G450" s="434">
        <v>2.2167632809760682E-2</v>
      </c>
      <c r="H450" s="326"/>
    </row>
    <row r="451" spans="1:8">
      <c r="A451" s="436" t="s">
        <v>308</v>
      </c>
      <c r="B451" s="435">
        <v>9019.720512000009</v>
      </c>
      <c r="C451" s="434">
        <v>0.85779557766362913</v>
      </c>
      <c r="D451" s="435">
        <v>1495.2795030000007</v>
      </c>
      <c r="E451" s="434">
        <v>0.14220442233637012</v>
      </c>
      <c r="F451" s="435">
        <v>10515.000015000018</v>
      </c>
      <c r="G451" s="434">
        <v>4.1066358712154596E-2</v>
      </c>
      <c r="H451" s="326"/>
    </row>
    <row r="452" spans="1:8">
      <c r="A452" s="436" t="s">
        <v>307</v>
      </c>
      <c r="B452" s="435">
        <v>15154.610368999991</v>
      </c>
      <c r="C452" s="434">
        <v>0.78610904348180566</v>
      </c>
      <c r="D452" s="435">
        <v>4123.3899219999976</v>
      </c>
      <c r="E452" s="434">
        <v>0.21389095651819312</v>
      </c>
      <c r="F452" s="435">
        <v>19278.000291000011</v>
      </c>
      <c r="G452" s="434">
        <v>7.5290278085960199E-2</v>
      </c>
      <c r="H452" s="326"/>
    </row>
    <row r="453" spans="1:8">
      <c r="A453" s="436" t="s">
        <v>306</v>
      </c>
      <c r="B453" s="435">
        <v>14245.573396999978</v>
      </c>
      <c r="C453" s="434">
        <v>0.70866449252478791</v>
      </c>
      <c r="D453" s="435">
        <v>5856.4262759999974</v>
      </c>
      <c r="E453" s="434">
        <v>0.29133550747521225</v>
      </c>
      <c r="F453" s="435">
        <v>20101.999672999973</v>
      </c>
      <c r="G453" s="434">
        <v>7.8508409721864347E-2</v>
      </c>
      <c r="H453" s="326"/>
    </row>
    <row r="454" spans="1:8">
      <c r="A454" s="436" t="s">
        <v>305</v>
      </c>
      <c r="B454" s="435">
        <v>25231.383046000064</v>
      </c>
      <c r="C454" s="434">
        <v>0.79524027244377493</v>
      </c>
      <c r="D454" s="435">
        <v>6496.6165540000002</v>
      </c>
      <c r="E454" s="434">
        <v>0.20475972755622388</v>
      </c>
      <c r="F454" s="435">
        <v>31727.999600000101</v>
      </c>
      <c r="G454" s="434">
        <v>0.12391378135368453</v>
      </c>
      <c r="H454" s="326"/>
    </row>
    <row r="455" spans="1:8" ht="25.5">
      <c r="A455" s="436" t="s">
        <v>304</v>
      </c>
      <c r="B455" s="435">
        <v>80003.341229998827</v>
      </c>
      <c r="C455" s="434">
        <v>0.83919881834943877</v>
      </c>
      <c r="D455" s="435">
        <v>15329.659103999964</v>
      </c>
      <c r="E455" s="434">
        <v>0.16080118165055637</v>
      </c>
      <c r="F455" s="435">
        <v>95333.000333999255</v>
      </c>
      <c r="G455" s="434">
        <v>0.37232326992269249</v>
      </c>
      <c r="H455" s="326"/>
    </row>
    <row r="456" spans="1:8" ht="25.5">
      <c r="A456" s="436" t="s">
        <v>303</v>
      </c>
      <c r="B456" s="435">
        <v>56586.271563001123</v>
      </c>
      <c r="C456" s="434">
        <v>0.82070941874086956</v>
      </c>
      <c r="D456" s="435">
        <v>12361.726682000004</v>
      </c>
      <c r="E456" s="434">
        <v>0.17929058125913483</v>
      </c>
      <c r="F456" s="435">
        <v>68947.998245000825</v>
      </c>
      <c r="G456" s="434">
        <v>0.2692765786376658</v>
      </c>
      <c r="H456" s="326"/>
    </row>
    <row r="457" spans="1:8" ht="15.75" thickBot="1">
      <c r="A457" s="439" t="s">
        <v>302</v>
      </c>
      <c r="B457" s="435">
        <v>3249.7833279999991</v>
      </c>
      <c r="C457" s="434">
        <v>0.72718355377520505</v>
      </c>
      <c r="D457" s="435">
        <v>1219.2167079999997</v>
      </c>
      <c r="E457" s="434">
        <v>0.27281644622479478</v>
      </c>
      <c r="F457" s="435">
        <v>4469.0000359999995</v>
      </c>
      <c r="G457" s="434">
        <v>1.7453690756177091E-2</v>
      </c>
      <c r="H457" s="326"/>
    </row>
    <row r="458" spans="1:8" ht="15" customHeight="1">
      <c r="A458" s="438" t="s">
        <v>4</v>
      </c>
      <c r="B458" s="437">
        <v>174313.2111282949</v>
      </c>
      <c r="C458" s="417">
        <v>0.77601529265665936</v>
      </c>
      <c r="D458" s="437">
        <v>50312.788871705023</v>
      </c>
      <c r="E458" s="417">
        <v>0.22398470734333947</v>
      </c>
      <c r="F458" s="437">
        <v>224626.0000000002</v>
      </c>
      <c r="G458" s="417">
        <v>1</v>
      </c>
      <c r="H458" s="326"/>
    </row>
    <row r="459" spans="1:8">
      <c r="A459" s="436" t="s">
        <v>309</v>
      </c>
      <c r="B459" s="435">
        <v>5292.0130855986044</v>
      </c>
      <c r="C459" s="434">
        <v>0.72404064654516542</v>
      </c>
      <c r="D459" s="435">
        <v>2016.9869144013876</v>
      </c>
      <c r="E459" s="434">
        <v>0.2759593534548353</v>
      </c>
      <c r="F459" s="435">
        <v>7308.9999999999864</v>
      </c>
      <c r="G459" s="434">
        <v>3.2538530713274422E-2</v>
      </c>
      <c r="H459" s="326"/>
    </row>
    <row r="460" spans="1:8">
      <c r="A460" s="436" t="s">
        <v>308</v>
      </c>
      <c r="B460" s="435">
        <v>8063.0346977988638</v>
      </c>
      <c r="C460" s="434">
        <v>0.84209239663695934</v>
      </c>
      <c r="D460" s="435">
        <v>1511.9653022011285</v>
      </c>
      <c r="E460" s="434">
        <v>0.15790760336304258</v>
      </c>
      <c r="F460" s="435">
        <v>9574.9999999999727</v>
      </c>
      <c r="G460" s="434">
        <v>4.2626410121713268E-2</v>
      </c>
      <c r="H460" s="326"/>
    </row>
    <row r="461" spans="1:8">
      <c r="A461" s="436" t="s">
        <v>307</v>
      </c>
      <c r="B461" s="435">
        <v>13438.520605031663</v>
      </c>
      <c r="C461" s="434">
        <v>0.67871316187028485</v>
      </c>
      <c r="D461" s="435">
        <v>6361.479394968359</v>
      </c>
      <c r="E461" s="434">
        <v>0.32128683812971459</v>
      </c>
      <c r="F461" s="435">
        <v>19800.000000000033</v>
      </c>
      <c r="G461" s="434">
        <v>8.8146519102864376E-2</v>
      </c>
      <c r="H461" s="326"/>
    </row>
    <row r="462" spans="1:8">
      <c r="A462" s="436" t="s">
        <v>306</v>
      </c>
      <c r="B462" s="435">
        <v>13636.257833782072</v>
      </c>
      <c r="C462" s="434">
        <v>0.68661922627301764</v>
      </c>
      <c r="D462" s="435">
        <v>6223.7421662179349</v>
      </c>
      <c r="E462" s="434">
        <v>0.31338077372698697</v>
      </c>
      <c r="F462" s="435">
        <v>19859.999999999916</v>
      </c>
      <c r="G462" s="434">
        <v>8.8413629766811927E-2</v>
      </c>
      <c r="H462" s="326"/>
    </row>
    <row r="463" spans="1:8">
      <c r="A463" s="436" t="s">
        <v>305</v>
      </c>
      <c r="B463" s="435">
        <v>21451.75102445345</v>
      </c>
      <c r="C463" s="434">
        <v>0.75462591988086314</v>
      </c>
      <c r="D463" s="435">
        <v>6975.2489755466158</v>
      </c>
      <c r="E463" s="434">
        <v>0.24537408011913203</v>
      </c>
      <c r="F463" s="435">
        <v>28427.0000000002</v>
      </c>
      <c r="G463" s="434">
        <v>0.12655258073419895</v>
      </c>
      <c r="H463" s="326"/>
    </row>
    <row r="464" spans="1:8" ht="25.5">
      <c r="A464" s="436" t="s">
        <v>304</v>
      </c>
      <c r="B464" s="435">
        <v>64713.346693410975</v>
      </c>
      <c r="C464" s="434">
        <v>0.84016029462397468</v>
      </c>
      <c r="D464" s="435">
        <v>12311.653306588778</v>
      </c>
      <c r="E464" s="434">
        <v>0.15983970537603254</v>
      </c>
      <c r="F464" s="435">
        <v>77024.9999999992</v>
      </c>
      <c r="G464" s="434">
        <v>0.34290331484333569</v>
      </c>
      <c r="H464" s="326"/>
    </row>
    <row r="465" spans="1:20" ht="25.5">
      <c r="A465" s="436" t="s">
        <v>303</v>
      </c>
      <c r="B465" s="435">
        <v>45195.196315203335</v>
      </c>
      <c r="C465" s="434">
        <v>0.76983028403630471</v>
      </c>
      <c r="D465" s="435">
        <v>13512.803684796618</v>
      </c>
      <c r="E465" s="434">
        <v>0.23016971596369543</v>
      </c>
      <c r="F465" s="435">
        <v>58707.999999999942</v>
      </c>
      <c r="G465" s="434">
        <v>0.26135888098439131</v>
      </c>
      <c r="H465" s="326"/>
    </row>
    <row r="466" spans="1:20" ht="15.75" thickBot="1">
      <c r="A466" s="439" t="s">
        <v>302</v>
      </c>
      <c r="B466" s="435">
        <v>2523.0908730158726</v>
      </c>
      <c r="C466" s="434">
        <v>0.64331740770420032</v>
      </c>
      <c r="D466" s="435">
        <v>1398.9091269841269</v>
      </c>
      <c r="E466" s="434">
        <v>0.35668259229579996</v>
      </c>
      <c r="F466" s="435">
        <v>3921.9999999999991</v>
      </c>
      <c r="G466" s="434">
        <v>1.7460133733405728E-2</v>
      </c>
      <c r="H466" s="326"/>
    </row>
    <row r="467" spans="1:20" ht="15.75" customHeight="1">
      <c r="A467" s="438" t="s">
        <v>3</v>
      </c>
      <c r="B467" s="437">
        <v>117158.62160112623</v>
      </c>
      <c r="C467" s="417">
        <v>0.78608316906841846</v>
      </c>
      <c r="D467" s="437">
        <v>31882.378398872344</v>
      </c>
      <c r="E467" s="417">
        <v>0.21391683093157135</v>
      </c>
      <c r="F467" s="437">
        <v>149041.00000000009</v>
      </c>
      <c r="G467" s="417">
        <v>1</v>
      </c>
      <c r="H467" s="326"/>
    </row>
    <row r="468" spans="1:20">
      <c r="A468" s="436" t="s">
        <v>309</v>
      </c>
      <c r="B468" s="435">
        <v>1949.2701128936446</v>
      </c>
      <c r="C468" s="434">
        <v>0.67355567135233041</v>
      </c>
      <c r="D468" s="435">
        <v>944.72988710635786</v>
      </c>
      <c r="E468" s="434">
        <v>0.32644432864767026</v>
      </c>
      <c r="F468" s="435">
        <v>2894.0000000000005</v>
      </c>
      <c r="G468" s="434">
        <v>1.9417475728155331E-2</v>
      </c>
      <c r="H468" s="326"/>
    </row>
    <row r="469" spans="1:20">
      <c r="A469" s="436" t="s">
        <v>308</v>
      </c>
      <c r="B469" s="435">
        <v>6579.6190454695752</v>
      </c>
      <c r="C469" s="434">
        <v>0.88068786581041292</v>
      </c>
      <c r="D469" s="435">
        <v>891.38095453040773</v>
      </c>
      <c r="E469" s="434">
        <v>0.1193121341895878</v>
      </c>
      <c r="F469" s="435">
        <v>7470.9999999999773</v>
      </c>
      <c r="G469" s="434">
        <v>5.0127146221509336E-2</v>
      </c>
      <c r="H469" s="326"/>
    </row>
    <row r="470" spans="1:20">
      <c r="A470" s="436" t="s">
        <v>307</v>
      </c>
      <c r="B470" s="435">
        <v>10977.842303240743</v>
      </c>
      <c r="C470" s="434">
        <v>0.67940600960767017</v>
      </c>
      <c r="D470" s="435">
        <v>5180.1576967592582</v>
      </c>
      <c r="E470" s="434">
        <v>0.32059399039232916</v>
      </c>
      <c r="F470" s="435">
        <v>16158.000000000011</v>
      </c>
      <c r="G470" s="434">
        <v>0.10841312122167727</v>
      </c>
      <c r="H470" s="326"/>
    </row>
    <row r="471" spans="1:20">
      <c r="A471" s="436" t="s">
        <v>306</v>
      </c>
      <c r="B471" s="435">
        <v>9598.3037971952454</v>
      </c>
      <c r="C471" s="434">
        <v>0.72418166570056253</v>
      </c>
      <c r="D471" s="435">
        <v>3655.6962028047392</v>
      </c>
      <c r="E471" s="434">
        <v>0.27581833429943736</v>
      </c>
      <c r="F471" s="435">
        <v>13253.999999999985</v>
      </c>
      <c r="G471" s="434">
        <v>8.8928549862118317E-2</v>
      </c>
      <c r="H471" s="326"/>
    </row>
    <row r="472" spans="1:20">
      <c r="A472" s="436" t="s">
        <v>305</v>
      </c>
      <c r="B472" s="435">
        <v>18016.426118893447</v>
      </c>
      <c r="C472" s="434">
        <v>0.77563398135411743</v>
      </c>
      <c r="D472" s="435">
        <v>5211.5738811064821</v>
      </c>
      <c r="E472" s="434">
        <v>0.22436601864587913</v>
      </c>
      <c r="F472" s="435">
        <v>23228.000000000007</v>
      </c>
      <c r="G472" s="434">
        <v>0.15584973262390883</v>
      </c>
      <c r="H472" s="326"/>
    </row>
    <row r="473" spans="1:20" ht="25.5">
      <c r="A473" s="436" t="s">
        <v>304</v>
      </c>
      <c r="B473" s="435">
        <v>37615.536505025528</v>
      </c>
      <c r="C473" s="434">
        <v>0.84523597296868969</v>
      </c>
      <c r="D473" s="435">
        <v>6887.4634949744304</v>
      </c>
      <c r="E473" s="434">
        <v>0.1547640270313112</v>
      </c>
      <c r="F473" s="435">
        <v>44502.99999999992</v>
      </c>
      <c r="G473" s="434">
        <v>0.29859568843472528</v>
      </c>
      <c r="H473" s="326"/>
    </row>
    <row r="474" spans="1:20" ht="25.5">
      <c r="A474" s="436" t="s">
        <v>303</v>
      </c>
      <c r="B474" s="435">
        <v>30479.267294261168</v>
      </c>
      <c r="C474" s="434">
        <v>0.7896183236855161</v>
      </c>
      <c r="D474" s="435">
        <v>8120.7327057391367</v>
      </c>
      <c r="E474" s="434">
        <v>0.21038167631448371</v>
      </c>
      <c r="F474" s="435">
        <v>38600.000000000313</v>
      </c>
      <c r="G474" s="434">
        <v>0.25898913721727773</v>
      </c>
      <c r="H474" s="326"/>
    </row>
    <row r="475" spans="1:20" ht="15.75" thickBot="1">
      <c r="A475" s="433" t="s">
        <v>302</v>
      </c>
      <c r="B475" s="432">
        <v>1942.356424148606</v>
      </c>
      <c r="C475" s="431">
        <v>0.66224221757538559</v>
      </c>
      <c r="D475" s="432">
        <v>990.64357585139317</v>
      </c>
      <c r="E475" s="431">
        <v>0.33775778242461407</v>
      </c>
      <c r="F475" s="432">
        <v>2933.0000000000005</v>
      </c>
      <c r="G475" s="431">
        <v>1.9679148690628746E-2</v>
      </c>
      <c r="H475" s="326"/>
    </row>
    <row r="479" spans="1:20" ht="15.75" thickBot="1"/>
    <row r="480" spans="1:20" ht="21" customHeight="1">
      <c r="A480" s="830" t="s">
        <v>310</v>
      </c>
      <c r="B480" s="847" t="s">
        <v>323</v>
      </c>
      <c r="C480" s="799"/>
      <c r="D480" s="799"/>
      <c r="E480" s="799"/>
      <c r="F480" s="799"/>
      <c r="G480" s="799"/>
      <c r="H480" s="799"/>
      <c r="I480" s="799"/>
      <c r="J480" s="799"/>
      <c r="K480" s="799"/>
      <c r="L480" s="799"/>
      <c r="M480" s="799"/>
      <c r="N480" s="799"/>
      <c r="O480" s="799"/>
      <c r="P480" s="799"/>
      <c r="Q480" s="799"/>
      <c r="R480" s="799"/>
      <c r="S480" s="800"/>
      <c r="T480" s="326"/>
    </row>
    <row r="481" spans="1:20" ht="38.25" customHeight="1">
      <c r="A481" s="831"/>
      <c r="B481" s="848" t="s">
        <v>188</v>
      </c>
      <c r="C481" s="810"/>
      <c r="D481" s="781" t="s">
        <v>187</v>
      </c>
      <c r="E481" s="810"/>
      <c r="F481" s="781" t="s">
        <v>186</v>
      </c>
      <c r="G481" s="810"/>
      <c r="H481" s="781" t="s">
        <v>185</v>
      </c>
      <c r="I481" s="810"/>
      <c r="J481" s="781" t="s">
        <v>184</v>
      </c>
      <c r="K481" s="810"/>
      <c r="L481" s="781" t="s">
        <v>183</v>
      </c>
      <c r="M481" s="810"/>
      <c r="N481" s="781" t="s">
        <v>182</v>
      </c>
      <c r="O481" s="810"/>
      <c r="P481" s="781" t="s">
        <v>14</v>
      </c>
      <c r="Q481" s="810"/>
      <c r="R481" s="836" t="s">
        <v>9</v>
      </c>
      <c r="S481" s="813"/>
      <c r="T481" s="326"/>
    </row>
    <row r="482" spans="1:20" ht="15.75" customHeight="1" thickBot="1">
      <c r="A482" s="832"/>
      <c r="B482" s="428" t="s">
        <v>7</v>
      </c>
      <c r="C482" s="428" t="s">
        <v>8</v>
      </c>
      <c r="D482" s="428" t="s">
        <v>7</v>
      </c>
      <c r="E482" s="428" t="s">
        <v>8</v>
      </c>
      <c r="F482" s="428" t="s">
        <v>7</v>
      </c>
      <c r="G482" s="428" t="s">
        <v>8</v>
      </c>
      <c r="H482" s="428" t="s">
        <v>7</v>
      </c>
      <c r="I482" s="428" t="s">
        <v>8</v>
      </c>
      <c r="J482" s="428" t="s">
        <v>7</v>
      </c>
      <c r="K482" s="428" t="s">
        <v>8</v>
      </c>
      <c r="L482" s="428" t="s">
        <v>7</v>
      </c>
      <c r="M482" s="428" t="s">
        <v>8</v>
      </c>
      <c r="N482" s="428" t="s">
        <v>7</v>
      </c>
      <c r="O482" s="428" t="s">
        <v>8</v>
      </c>
      <c r="P482" s="428" t="s">
        <v>7</v>
      </c>
      <c r="Q482" s="428" t="s">
        <v>8</v>
      </c>
      <c r="R482" s="428" t="s">
        <v>7</v>
      </c>
      <c r="S482" s="430" t="s">
        <v>6</v>
      </c>
      <c r="T482" s="326"/>
    </row>
    <row r="483" spans="1:20" ht="15.75" customHeight="1">
      <c r="A483" s="426" t="s">
        <v>5</v>
      </c>
      <c r="B483" s="418">
        <v>22606.616535300018</v>
      </c>
      <c r="C483" s="417">
        <v>0.46279605223207071</v>
      </c>
      <c r="D483" s="418">
        <v>1993.0939950000002</v>
      </c>
      <c r="E483" s="417">
        <v>4.0802038251639028E-2</v>
      </c>
      <c r="F483" s="418">
        <v>1980.9865889999999</v>
      </c>
      <c r="G483" s="417">
        <v>4.055417897155518E-2</v>
      </c>
      <c r="H483" s="418">
        <v>3506.3701154999999</v>
      </c>
      <c r="I483" s="417">
        <v>7.178138509068907E-2</v>
      </c>
      <c r="J483" s="418">
        <v>302.27346899999998</v>
      </c>
      <c r="K483" s="417">
        <v>6.1880541888811522E-3</v>
      </c>
      <c r="L483" s="418">
        <v>339.79566299999999</v>
      </c>
      <c r="M483" s="417">
        <v>6.9561975873932832E-3</v>
      </c>
      <c r="N483" s="418">
        <v>13000.451480000002</v>
      </c>
      <c r="O483" s="417">
        <v>0.26614144636742892</v>
      </c>
      <c r="P483" s="418">
        <v>5118.3148660000024</v>
      </c>
      <c r="Q483" s="417">
        <v>0.10478064731034661</v>
      </c>
      <c r="R483" s="418">
        <v>48847.902712799827</v>
      </c>
      <c r="S483" s="417">
        <v>1</v>
      </c>
      <c r="T483" s="326"/>
    </row>
    <row r="484" spans="1:20">
      <c r="A484" s="425" t="s">
        <v>309</v>
      </c>
      <c r="B484" s="416">
        <v>1022.6204858000002</v>
      </c>
      <c r="C484" s="415">
        <v>0.52026187819292791</v>
      </c>
      <c r="D484" s="416">
        <v>11.090909</v>
      </c>
      <c r="E484" s="415">
        <v>5.6425401479150046E-3</v>
      </c>
      <c r="F484" s="416">
        <v>99.444187999999997</v>
      </c>
      <c r="G484" s="415">
        <v>5.0592591037110439E-2</v>
      </c>
      <c r="H484" s="416">
        <v>156.71187</v>
      </c>
      <c r="I484" s="415">
        <v>7.9727731796360168E-2</v>
      </c>
      <c r="J484" s="416">
        <v>0</v>
      </c>
      <c r="K484" s="415">
        <v>0</v>
      </c>
      <c r="L484" s="416">
        <v>0</v>
      </c>
      <c r="M484" s="415">
        <v>0</v>
      </c>
      <c r="N484" s="416">
        <v>664.6296020000002</v>
      </c>
      <c r="O484" s="415">
        <v>0.33813271867777223</v>
      </c>
      <c r="P484" s="416">
        <v>11.090909</v>
      </c>
      <c r="Q484" s="415">
        <v>5.6425401479150046E-3</v>
      </c>
      <c r="R484" s="416">
        <v>1965.587963799999</v>
      </c>
      <c r="S484" s="415">
        <v>4.0238942813095376E-2</v>
      </c>
      <c r="T484" s="326"/>
    </row>
    <row r="485" spans="1:20">
      <c r="A485" s="425" t="s">
        <v>308</v>
      </c>
      <c r="B485" s="416">
        <v>587.6299469999999</v>
      </c>
      <c r="C485" s="415">
        <v>0.39299003686001815</v>
      </c>
      <c r="D485" s="416">
        <v>203.089234</v>
      </c>
      <c r="E485" s="415">
        <v>0.13582024871774084</v>
      </c>
      <c r="F485" s="416">
        <v>47.865262999999999</v>
      </c>
      <c r="G485" s="415">
        <v>3.2010913614456189E-2</v>
      </c>
      <c r="H485" s="416">
        <v>123.351578</v>
      </c>
      <c r="I485" s="415">
        <v>8.2493993766729209E-2</v>
      </c>
      <c r="J485" s="416">
        <v>0</v>
      </c>
      <c r="K485" s="415">
        <v>0</v>
      </c>
      <c r="L485" s="416">
        <v>90.308773000000002</v>
      </c>
      <c r="M485" s="415">
        <v>6.0395914488770977E-2</v>
      </c>
      <c r="N485" s="416">
        <v>313.98675500000002</v>
      </c>
      <c r="O485" s="415">
        <v>0.20998532673660267</v>
      </c>
      <c r="P485" s="416">
        <v>129.04795300000001</v>
      </c>
      <c r="Q485" s="415">
        <v>8.6303565815681452E-2</v>
      </c>
      <c r="R485" s="416">
        <v>1495.2795030000007</v>
      </c>
      <c r="S485" s="415">
        <v>3.0610925340878271E-2</v>
      </c>
      <c r="T485" s="326"/>
    </row>
    <row r="486" spans="1:20">
      <c r="A486" s="425" t="s">
        <v>307</v>
      </c>
      <c r="B486" s="416">
        <v>2206.1933450000006</v>
      </c>
      <c r="C486" s="415">
        <v>0.53504358955456599</v>
      </c>
      <c r="D486" s="416">
        <v>0</v>
      </c>
      <c r="E486" s="415">
        <v>0</v>
      </c>
      <c r="F486" s="416">
        <v>0</v>
      </c>
      <c r="G486" s="415">
        <v>0</v>
      </c>
      <c r="H486" s="416">
        <v>179.45205999999999</v>
      </c>
      <c r="I486" s="415">
        <v>4.3520516709455184E-2</v>
      </c>
      <c r="J486" s="416">
        <v>0</v>
      </c>
      <c r="K486" s="415">
        <v>0</v>
      </c>
      <c r="L486" s="416">
        <v>89.726029999999994</v>
      </c>
      <c r="M486" s="415">
        <v>2.1760258354727592E-2</v>
      </c>
      <c r="N486" s="416">
        <v>1334.6267230000003</v>
      </c>
      <c r="O486" s="415">
        <v>0.32367220860661577</v>
      </c>
      <c r="P486" s="416">
        <v>313.39176399999997</v>
      </c>
      <c r="Q486" s="415">
        <v>7.6003426774636271E-2</v>
      </c>
      <c r="R486" s="416">
        <v>4123.3899219999976</v>
      </c>
      <c r="S486" s="415">
        <v>8.4412834390114516E-2</v>
      </c>
      <c r="T486" s="326"/>
    </row>
    <row r="487" spans="1:20">
      <c r="A487" s="425" t="s">
        <v>306</v>
      </c>
      <c r="B487" s="416">
        <v>3368.360432500001</v>
      </c>
      <c r="C487" s="415">
        <v>0.57515629391660805</v>
      </c>
      <c r="D487" s="416">
        <v>204.42800999999997</v>
      </c>
      <c r="E487" s="415">
        <v>3.4906613754835232E-2</v>
      </c>
      <c r="F487" s="416">
        <v>0</v>
      </c>
      <c r="G487" s="415">
        <v>0</v>
      </c>
      <c r="H487" s="416">
        <v>150.71700950000002</v>
      </c>
      <c r="I487" s="415">
        <v>2.5735320893161037E-2</v>
      </c>
      <c r="J487" s="416">
        <v>0</v>
      </c>
      <c r="K487" s="415">
        <v>0</v>
      </c>
      <c r="L487" s="416">
        <v>0</v>
      </c>
      <c r="M487" s="415">
        <v>0</v>
      </c>
      <c r="N487" s="416">
        <v>1741.1023350000005</v>
      </c>
      <c r="O487" s="415">
        <v>0.29729774660276137</v>
      </c>
      <c r="P487" s="416">
        <v>391.818489</v>
      </c>
      <c r="Q487" s="415">
        <v>6.6904024832635009E-2</v>
      </c>
      <c r="R487" s="416">
        <v>5856.4262759999974</v>
      </c>
      <c r="S487" s="415">
        <v>0.11989104855601943</v>
      </c>
      <c r="T487" s="326"/>
    </row>
    <row r="488" spans="1:20">
      <c r="A488" s="425" t="s">
        <v>305</v>
      </c>
      <c r="B488" s="416">
        <v>3583.4943019999996</v>
      </c>
      <c r="C488" s="415">
        <v>0.5515939369691788</v>
      </c>
      <c r="D488" s="416">
        <v>107.721203</v>
      </c>
      <c r="E488" s="415">
        <v>1.6581123744124241E-2</v>
      </c>
      <c r="F488" s="416">
        <v>279.95365099999998</v>
      </c>
      <c r="G488" s="415">
        <v>4.3092223263143194E-2</v>
      </c>
      <c r="H488" s="416">
        <v>475.92611399999998</v>
      </c>
      <c r="I488" s="415">
        <v>7.3257534909763111E-2</v>
      </c>
      <c r="J488" s="416">
        <v>108.526314</v>
      </c>
      <c r="K488" s="415">
        <v>1.6705051483018464E-2</v>
      </c>
      <c r="L488" s="416">
        <v>27.219176999999998</v>
      </c>
      <c r="M488" s="415">
        <v>4.1897465817404616E-3</v>
      </c>
      <c r="N488" s="416">
        <v>1336.0922910000004</v>
      </c>
      <c r="O488" s="415">
        <v>0.20565971223549609</v>
      </c>
      <c r="P488" s="416">
        <v>577.68350199999998</v>
      </c>
      <c r="Q488" s="415">
        <v>8.8920670813535593E-2</v>
      </c>
      <c r="R488" s="416">
        <v>6496.6165540000002</v>
      </c>
      <c r="S488" s="415">
        <v>0.1329968369818601</v>
      </c>
      <c r="T488" s="326"/>
    </row>
    <row r="489" spans="1:20" ht="25.5">
      <c r="A489" s="425" t="s">
        <v>304</v>
      </c>
      <c r="B489" s="416">
        <v>4658.4925840000051</v>
      </c>
      <c r="C489" s="415">
        <v>0.303887552384284</v>
      </c>
      <c r="D489" s="416">
        <v>692.76329699999997</v>
      </c>
      <c r="E489" s="415">
        <v>4.5191043864715646E-2</v>
      </c>
      <c r="F489" s="416">
        <v>1183.5827439999996</v>
      </c>
      <c r="G489" s="415">
        <v>7.7208679982398803E-2</v>
      </c>
      <c r="H489" s="416">
        <v>1517.0595620000001</v>
      </c>
      <c r="I489" s="415">
        <v>9.8962380814075268E-2</v>
      </c>
      <c r="J489" s="416">
        <v>80.793729999999996</v>
      </c>
      <c r="K489" s="415">
        <v>5.27041922145017E-3</v>
      </c>
      <c r="L489" s="416">
        <v>86.902062999999998</v>
      </c>
      <c r="M489" s="415">
        <v>5.6688842465730145E-3</v>
      </c>
      <c r="N489" s="416">
        <v>4491.3031500000034</v>
      </c>
      <c r="O489" s="415">
        <v>0.29298128024439163</v>
      </c>
      <c r="P489" s="416">
        <v>2618.7619739999996</v>
      </c>
      <c r="Q489" s="415">
        <v>0.17082975924211433</v>
      </c>
      <c r="R489" s="416">
        <v>15329.659103999964</v>
      </c>
      <c r="S489" s="415">
        <v>0.31382430468162281</v>
      </c>
      <c r="T489" s="326"/>
    </row>
    <row r="490" spans="1:20" ht="25.5">
      <c r="A490" s="425" t="s">
        <v>303</v>
      </c>
      <c r="B490" s="416">
        <v>6579.5587489999971</v>
      </c>
      <c r="C490" s="415">
        <v>0.53225240439756194</v>
      </c>
      <c r="D490" s="416">
        <v>703.45967799999994</v>
      </c>
      <c r="E490" s="415">
        <v>5.6906263671426462E-2</v>
      </c>
      <c r="F490" s="416">
        <v>370.14074300000004</v>
      </c>
      <c r="G490" s="415">
        <v>2.9942479114909132E-2</v>
      </c>
      <c r="H490" s="416">
        <v>834.88525199999992</v>
      </c>
      <c r="I490" s="415">
        <v>6.7537915493284778E-2</v>
      </c>
      <c r="J490" s="416">
        <v>112.95342500000001</v>
      </c>
      <c r="K490" s="415">
        <v>9.1373501377014169E-3</v>
      </c>
      <c r="L490" s="416">
        <v>45.639620000000001</v>
      </c>
      <c r="M490" s="415">
        <v>3.6920101191410554E-3</v>
      </c>
      <c r="N490" s="416">
        <v>2638.5689400000001</v>
      </c>
      <c r="O490" s="415">
        <v>0.21344663313435319</v>
      </c>
      <c r="P490" s="416">
        <v>1076.5202749999996</v>
      </c>
      <c r="Q490" s="415">
        <v>8.7084943931621486E-2</v>
      </c>
      <c r="R490" s="416">
        <v>12361.726682000004</v>
      </c>
      <c r="S490" s="415">
        <v>0.25306565882020576</v>
      </c>
      <c r="T490" s="326"/>
    </row>
    <row r="491" spans="1:20" ht="15.75" thickBot="1">
      <c r="A491" s="427" t="s">
        <v>302</v>
      </c>
      <c r="B491" s="416">
        <v>600.26668999999993</v>
      </c>
      <c r="C491" s="415">
        <v>0.49233797901660653</v>
      </c>
      <c r="D491" s="416">
        <v>70.541663999999997</v>
      </c>
      <c r="E491" s="415">
        <v>5.7858183485457959E-2</v>
      </c>
      <c r="F491" s="416">
        <v>0</v>
      </c>
      <c r="G491" s="415">
        <v>0</v>
      </c>
      <c r="H491" s="416">
        <v>68.266670000000005</v>
      </c>
      <c r="I491" s="415">
        <v>5.5992236287496826E-2</v>
      </c>
      <c r="J491" s="416">
        <v>0</v>
      </c>
      <c r="K491" s="415">
        <v>0</v>
      </c>
      <c r="L491" s="416">
        <v>0</v>
      </c>
      <c r="M491" s="415">
        <v>0</v>
      </c>
      <c r="N491" s="416">
        <v>480.14168399999994</v>
      </c>
      <c r="O491" s="415">
        <v>0.39381160121043884</v>
      </c>
      <c r="P491" s="416">
        <v>0</v>
      </c>
      <c r="Q491" s="415">
        <v>0</v>
      </c>
      <c r="R491" s="416">
        <v>1219.2167079999997</v>
      </c>
      <c r="S491" s="415">
        <v>2.4959448416206474E-2</v>
      </c>
      <c r="T491" s="326"/>
    </row>
    <row r="492" spans="1:20" ht="15" customHeight="1">
      <c r="A492" s="426" t="s">
        <v>4</v>
      </c>
      <c r="B492" s="418">
        <v>23395.295779568936</v>
      </c>
      <c r="C492" s="417">
        <v>0.46499699786520909</v>
      </c>
      <c r="D492" s="418">
        <v>2805.0240828616647</v>
      </c>
      <c r="E492" s="417">
        <v>5.5751711359398687E-2</v>
      </c>
      <c r="F492" s="418">
        <v>1430.5980939888825</v>
      </c>
      <c r="G492" s="417">
        <v>2.8434084575133231E-2</v>
      </c>
      <c r="H492" s="418">
        <v>2673.1278195673458</v>
      </c>
      <c r="I492" s="417">
        <v>5.3130185774111667E-2</v>
      </c>
      <c r="J492" s="418">
        <v>274.96778873375183</v>
      </c>
      <c r="K492" s="417">
        <v>5.4651669068654755E-3</v>
      </c>
      <c r="L492" s="418">
        <v>485.19336310914275</v>
      </c>
      <c r="M492" s="417">
        <v>9.6435394258577167E-3</v>
      </c>
      <c r="N492" s="418">
        <v>13321.314108498582</v>
      </c>
      <c r="O492" s="417">
        <v>0.26476994035189017</v>
      </c>
      <c r="P492" s="418">
        <v>5927.2678353766423</v>
      </c>
      <c r="Q492" s="417">
        <v>0.11780837374153248</v>
      </c>
      <c r="R492" s="418">
        <v>50312.788871705023</v>
      </c>
      <c r="S492" s="417">
        <v>1</v>
      </c>
      <c r="T492" s="326"/>
    </row>
    <row r="493" spans="1:20">
      <c r="A493" s="425" t="s">
        <v>309</v>
      </c>
      <c r="B493" s="416">
        <v>523.28058126084454</v>
      </c>
      <c r="C493" s="415">
        <v>0.25943677548158345</v>
      </c>
      <c r="D493" s="416">
        <v>224.19642857142858</v>
      </c>
      <c r="E493" s="415">
        <v>0.11115413142775239</v>
      </c>
      <c r="F493" s="416">
        <v>282.99718045112786</v>
      </c>
      <c r="G493" s="415">
        <v>0.14030689957902742</v>
      </c>
      <c r="H493" s="416">
        <v>64.839285714285722</v>
      </c>
      <c r="I493" s="415">
        <v>3.214660702621816E-2</v>
      </c>
      <c r="J493" s="416">
        <v>0</v>
      </c>
      <c r="K493" s="415">
        <v>0</v>
      </c>
      <c r="L493" s="416">
        <v>39.839285714285715</v>
      </c>
      <c r="M493" s="415">
        <v>1.9751881100383558E-2</v>
      </c>
      <c r="N493" s="416">
        <v>760.94223539618258</v>
      </c>
      <c r="O493" s="415">
        <v>0.37726681812510376</v>
      </c>
      <c r="P493" s="416">
        <v>120.89191729323309</v>
      </c>
      <c r="Q493" s="415">
        <v>5.9936887259931508E-2</v>
      </c>
      <c r="R493" s="416">
        <v>2016.9869144013876</v>
      </c>
      <c r="S493" s="415">
        <v>4.0088950734665063E-2</v>
      </c>
      <c r="T493" s="326"/>
    </row>
    <row r="494" spans="1:20">
      <c r="A494" s="425" t="s">
        <v>308</v>
      </c>
      <c r="B494" s="416">
        <v>451.55297302045381</v>
      </c>
      <c r="C494" s="415">
        <v>0.29865299975011345</v>
      </c>
      <c r="D494" s="416">
        <v>98.505053617650702</v>
      </c>
      <c r="E494" s="415">
        <v>6.515034007344378E-2</v>
      </c>
      <c r="F494" s="416">
        <v>26.149814190649035</v>
      </c>
      <c r="G494" s="415">
        <v>1.7295247551369054E-2</v>
      </c>
      <c r="H494" s="416">
        <v>48.639551709462339</v>
      </c>
      <c r="I494" s="415">
        <v>3.2169753921371461E-2</v>
      </c>
      <c r="J494" s="416">
        <v>0</v>
      </c>
      <c r="K494" s="415">
        <v>0</v>
      </c>
      <c r="L494" s="416">
        <v>32.500453965101428</v>
      </c>
      <c r="M494" s="415">
        <v>2.1495502520981841E-2</v>
      </c>
      <c r="N494" s="416">
        <v>664.18508998612981</v>
      </c>
      <c r="O494" s="415">
        <v>0.43928593402190186</v>
      </c>
      <c r="P494" s="416">
        <v>190.43236571168103</v>
      </c>
      <c r="Q494" s="415">
        <v>0.12595022216081839</v>
      </c>
      <c r="R494" s="416">
        <v>1511.9653022011285</v>
      </c>
      <c r="S494" s="415">
        <v>3.0051311726260313E-2</v>
      </c>
      <c r="T494" s="326"/>
    </row>
    <row r="495" spans="1:20">
      <c r="A495" s="425" t="s">
        <v>307</v>
      </c>
      <c r="B495" s="416">
        <v>3206.7271698307368</v>
      </c>
      <c r="C495" s="415">
        <v>0.50408513031844637</v>
      </c>
      <c r="D495" s="416">
        <v>120.45614035087719</v>
      </c>
      <c r="E495" s="415">
        <v>1.893524019682474E-2</v>
      </c>
      <c r="F495" s="416">
        <v>237.27432216905902</v>
      </c>
      <c r="G495" s="415">
        <v>3.7298607358019931E-2</v>
      </c>
      <c r="H495" s="416">
        <v>361.36842105263156</v>
      </c>
      <c r="I495" s="415">
        <v>5.6805720590474215E-2</v>
      </c>
      <c r="J495" s="416">
        <v>0</v>
      </c>
      <c r="K495" s="415">
        <v>0</v>
      </c>
      <c r="L495" s="416">
        <v>120.45614035087719</v>
      </c>
      <c r="M495" s="415">
        <v>1.893524019682474E-2</v>
      </c>
      <c r="N495" s="416">
        <v>1712.5544579924881</v>
      </c>
      <c r="O495" s="415">
        <v>0.26920694883442375</v>
      </c>
      <c r="P495" s="416">
        <v>602.64274322169058</v>
      </c>
      <c r="Q495" s="415">
        <v>9.4733112504986436E-2</v>
      </c>
      <c r="R495" s="416">
        <v>6361.479394968359</v>
      </c>
      <c r="S495" s="415">
        <v>0.1264386160582312</v>
      </c>
      <c r="T495" s="326"/>
    </row>
    <row r="496" spans="1:20">
      <c r="A496" s="425" t="s">
        <v>306</v>
      </c>
      <c r="B496" s="416">
        <v>3335.9356489547044</v>
      </c>
      <c r="C496" s="415">
        <v>0.53600158230556927</v>
      </c>
      <c r="D496" s="416">
        <v>217.19610389610389</v>
      </c>
      <c r="E496" s="415">
        <v>3.4897991930808142E-2</v>
      </c>
      <c r="F496" s="416">
        <v>121.91249999999999</v>
      </c>
      <c r="G496" s="415">
        <v>1.9588295392719363E-2</v>
      </c>
      <c r="H496" s="416">
        <v>472.53839285714287</v>
      </c>
      <c r="I496" s="415">
        <v>7.5925123540954237E-2</v>
      </c>
      <c r="J496" s="416">
        <v>120.46964285714284</v>
      </c>
      <c r="K496" s="415">
        <v>1.935646426856244E-2</v>
      </c>
      <c r="L496" s="416">
        <v>0</v>
      </c>
      <c r="M496" s="415">
        <v>0</v>
      </c>
      <c r="N496" s="416">
        <v>1545.9096828476399</v>
      </c>
      <c r="O496" s="415">
        <v>0.24838909478588886</v>
      </c>
      <c r="P496" s="416">
        <v>409.78019480519475</v>
      </c>
      <c r="Q496" s="415">
        <v>6.5841447775496678E-2</v>
      </c>
      <c r="R496" s="416">
        <v>6223.7421662179349</v>
      </c>
      <c r="S496" s="415">
        <v>0.12370099741614705</v>
      </c>
      <c r="T496" s="326"/>
    </row>
    <row r="497" spans="1:20">
      <c r="A497" s="425" t="s">
        <v>305</v>
      </c>
      <c r="B497" s="416">
        <v>3268.8263493469476</v>
      </c>
      <c r="C497" s="415">
        <v>0.468632210951407</v>
      </c>
      <c r="D497" s="416">
        <v>324.90199214984312</v>
      </c>
      <c r="E497" s="415">
        <v>4.6579268107685312E-2</v>
      </c>
      <c r="F497" s="416">
        <v>180.6506323984834</v>
      </c>
      <c r="G497" s="415">
        <v>2.5898807774718421E-2</v>
      </c>
      <c r="H497" s="416">
        <v>367.16490116060311</v>
      </c>
      <c r="I497" s="415">
        <v>5.263825025426138E-2</v>
      </c>
      <c r="J497" s="416">
        <v>52.911174785100286</v>
      </c>
      <c r="K497" s="415">
        <v>7.5855607406406442E-3</v>
      </c>
      <c r="L497" s="416">
        <v>132.25135975135976</v>
      </c>
      <c r="M497" s="415">
        <v>1.8960091634721309E-2</v>
      </c>
      <c r="N497" s="416">
        <v>1701.7759344257711</v>
      </c>
      <c r="O497" s="415">
        <v>0.24397350408447768</v>
      </c>
      <c r="P497" s="416">
        <v>946.76663152851279</v>
      </c>
      <c r="Q497" s="415">
        <v>0.13573230645208895</v>
      </c>
      <c r="R497" s="416">
        <v>6975.2489755466158</v>
      </c>
      <c r="S497" s="415">
        <v>0.13863769295979866</v>
      </c>
      <c r="T497" s="326"/>
    </row>
    <row r="498" spans="1:20" ht="25.5">
      <c r="A498" s="425" t="s">
        <v>304</v>
      </c>
      <c r="B498" s="416">
        <v>4768.7710799526312</v>
      </c>
      <c r="C498" s="415">
        <v>0.38733799281048198</v>
      </c>
      <c r="D498" s="416">
        <v>956.5496857247532</v>
      </c>
      <c r="E498" s="415">
        <v>7.7694657403391987E-2</v>
      </c>
      <c r="F498" s="416">
        <v>352.11643674007047</v>
      </c>
      <c r="G498" s="415">
        <v>2.8600256031546124E-2</v>
      </c>
      <c r="H498" s="416">
        <v>517.73618251615665</v>
      </c>
      <c r="I498" s="415">
        <v>4.2052531014586149E-2</v>
      </c>
      <c r="J498" s="416">
        <v>53.876622385096958</v>
      </c>
      <c r="K498" s="415">
        <v>4.3760672139999289E-3</v>
      </c>
      <c r="L498" s="416">
        <v>91.124959306354654</v>
      </c>
      <c r="M498" s="415">
        <v>7.4015209035806486E-3</v>
      </c>
      <c r="N498" s="416">
        <v>3666.5256519558375</v>
      </c>
      <c r="O498" s="415">
        <v>0.29780936488795029</v>
      </c>
      <c r="P498" s="416">
        <v>1904.9526880079029</v>
      </c>
      <c r="Q498" s="415">
        <v>0.15472760973446489</v>
      </c>
      <c r="R498" s="416">
        <v>12311.653306588778</v>
      </c>
      <c r="S498" s="415">
        <v>0.24470226323535452</v>
      </c>
      <c r="T498" s="326"/>
    </row>
    <row r="499" spans="1:20" ht="25.5">
      <c r="A499" s="425" t="s">
        <v>303</v>
      </c>
      <c r="B499" s="416">
        <v>7217.5630883137364</v>
      </c>
      <c r="C499" s="415">
        <v>0.53412772483583726</v>
      </c>
      <c r="D499" s="416">
        <v>785.01867855100841</v>
      </c>
      <c r="E499" s="415">
        <v>5.8094433757980235E-2</v>
      </c>
      <c r="F499" s="416">
        <v>159.60831915060436</v>
      </c>
      <c r="G499" s="415">
        <v>1.181163605079094E-2</v>
      </c>
      <c r="H499" s="416">
        <v>707.04733455706446</v>
      </c>
      <c r="I499" s="415">
        <v>5.2324251210174096E-2</v>
      </c>
      <c r="J499" s="416">
        <v>40.996062992125985</v>
      </c>
      <c r="K499" s="415">
        <v>3.0338680223890944E-3</v>
      </c>
      <c r="L499" s="416">
        <v>69.021164021164026</v>
      </c>
      <c r="M499" s="415">
        <v>5.1078344384459899E-3</v>
      </c>
      <c r="N499" s="416">
        <v>2849.3414924024823</v>
      </c>
      <c r="O499" s="415">
        <v>0.21086234647279775</v>
      </c>
      <c r="P499" s="416">
        <v>1684.2075448084345</v>
      </c>
      <c r="Q499" s="415">
        <v>0.1246379052115848</v>
      </c>
      <c r="R499" s="416">
        <v>13512.803684796618</v>
      </c>
      <c r="S499" s="415">
        <v>0.2685759225006103</v>
      </c>
      <c r="T499" s="326"/>
    </row>
    <row r="500" spans="1:20" ht="15.75" thickBot="1">
      <c r="A500" s="427" t="s">
        <v>302</v>
      </c>
      <c r="B500" s="416">
        <v>622.63888888888891</v>
      </c>
      <c r="C500" s="415">
        <v>0.44508887452269358</v>
      </c>
      <c r="D500" s="416">
        <v>78.2</v>
      </c>
      <c r="E500" s="415">
        <v>5.5900700404027975E-2</v>
      </c>
      <c r="F500" s="416">
        <v>69.888888888888886</v>
      </c>
      <c r="G500" s="415">
        <v>4.9959563163020165E-2</v>
      </c>
      <c r="H500" s="416">
        <v>133.79374999999999</v>
      </c>
      <c r="I500" s="415">
        <v>9.56414876557726E-2</v>
      </c>
      <c r="J500" s="416">
        <v>6.7142857142857144</v>
      </c>
      <c r="K500" s="415">
        <v>4.7996582371014149E-3</v>
      </c>
      <c r="L500" s="416">
        <v>0</v>
      </c>
      <c r="M500" s="415">
        <v>0</v>
      </c>
      <c r="N500" s="416">
        <v>420.07956349206347</v>
      </c>
      <c r="O500" s="415">
        <v>0.30029081617167119</v>
      </c>
      <c r="P500" s="416">
        <v>67.59375</v>
      </c>
      <c r="Q500" s="415">
        <v>4.8318899845713116E-2</v>
      </c>
      <c r="R500" s="416">
        <v>1398.9091269841269</v>
      </c>
      <c r="S500" s="415">
        <v>2.7804245368931384E-2</v>
      </c>
      <c r="T500" s="326"/>
    </row>
    <row r="501" spans="1:20" ht="15.75" customHeight="1">
      <c r="A501" s="426" t="s">
        <v>3</v>
      </c>
      <c r="B501" s="418">
        <v>14802.548633791024</v>
      </c>
      <c r="C501" s="417">
        <v>0.46428621003740989</v>
      </c>
      <c r="D501" s="418">
        <v>1763.4389520231464</v>
      </c>
      <c r="E501" s="417">
        <v>5.5310771673342848E-2</v>
      </c>
      <c r="F501" s="418">
        <v>1106.2492103089598</v>
      </c>
      <c r="G501" s="417">
        <v>3.4697825754056263E-2</v>
      </c>
      <c r="H501" s="418">
        <v>1703.0108338945004</v>
      </c>
      <c r="I501" s="417">
        <v>5.3415426308180775E-2</v>
      </c>
      <c r="J501" s="418">
        <v>155.05357712679518</v>
      </c>
      <c r="K501" s="417">
        <v>4.8633001963328841E-3</v>
      </c>
      <c r="L501" s="418">
        <v>236.75329044780682</v>
      </c>
      <c r="M501" s="417">
        <v>7.425835283862656E-3</v>
      </c>
      <c r="N501" s="418">
        <v>8626.362716389187</v>
      </c>
      <c r="O501" s="417">
        <v>0.27056835623951742</v>
      </c>
      <c r="P501" s="418">
        <v>3488.9611848907898</v>
      </c>
      <c r="Q501" s="417">
        <v>0.10943227450729308</v>
      </c>
      <c r="R501" s="418">
        <v>31882.378398872344</v>
      </c>
      <c r="S501" s="417">
        <v>1</v>
      </c>
      <c r="T501" s="326"/>
    </row>
    <row r="502" spans="1:20">
      <c r="A502" s="425" t="s">
        <v>309</v>
      </c>
      <c r="B502" s="416">
        <v>449.20451574569222</v>
      </c>
      <c r="C502" s="415">
        <v>0.47548460345800481</v>
      </c>
      <c r="D502" s="416">
        <v>47.524064171122994</v>
      </c>
      <c r="E502" s="415">
        <v>5.0304393689381319E-2</v>
      </c>
      <c r="F502" s="416">
        <v>105.7281045751634</v>
      </c>
      <c r="G502" s="415">
        <v>0.11191358082149941</v>
      </c>
      <c r="H502" s="416">
        <v>11.705882352941176</v>
      </c>
      <c r="I502" s="415">
        <v>1.2390718778671735E-2</v>
      </c>
      <c r="J502" s="416">
        <v>0</v>
      </c>
      <c r="K502" s="415">
        <v>0</v>
      </c>
      <c r="L502" s="416">
        <v>11.705882352941176</v>
      </c>
      <c r="M502" s="415">
        <v>1.2390718778671735E-2</v>
      </c>
      <c r="N502" s="416">
        <v>279.39477124183009</v>
      </c>
      <c r="O502" s="415">
        <v>0.29574037516437307</v>
      </c>
      <c r="P502" s="416">
        <v>39.466666666666669</v>
      </c>
      <c r="Q502" s="415">
        <v>4.1775609309397777E-2</v>
      </c>
      <c r="R502" s="416">
        <v>944.72988710635786</v>
      </c>
      <c r="S502" s="415">
        <v>2.9631725565987647E-2</v>
      </c>
      <c r="T502" s="326"/>
    </row>
    <row r="503" spans="1:20">
      <c r="A503" s="425" t="s">
        <v>308</v>
      </c>
      <c r="B503" s="416">
        <v>236.13131313131314</v>
      </c>
      <c r="C503" s="415">
        <v>0.26490504641274337</v>
      </c>
      <c r="D503" s="416">
        <v>169.37878787878788</v>
      </c>
      <c r="E503" s="415">
        <v>0.19001840573093581</v>
      </c>
      <c r="F503" s="416">
        <v>15.141414141414142</v>
      </c>
      <c r="G503" s="415">
        <v>1.6986468091401905E-2</v>
      </c>
      <c r="H503" s="416">
        <v>114.18334286258815</v>
      </c>
      <c r="I503" s="415">
        <v>0.12809713095422995</v>
      </c>
      <c r="J503" s="416">
        <v>5.8947368421052628</v>
      </c>
      <c r="K503" s="415">
        <v>6.6130388047282154E-3</v>
      </c>
      <c r="L503" s="416">
        <v>0</v>
      </c>
      <c r="M503" s="415">
        <v>0</v>
      </c>
      <c r="N503" s="416">
        <v>195.22406788841744</v>
      </c>
      <c r="O503" s="415">
        <v>0.21901305709550895</v>
      </c>
      <c r="P503" s="416">
        <v>155.42729178578236</v>
      </c>
      <c r="Q503" s="415">
        <v>0.17436685291045251</v>
      </c>
      <c r="R503" s="416">
        <v>891.38095453040773</v>
      </c>
      <c r="S503" s="415">
        <v>2.7958420898797662E-2</v>
      </c>
      <c r="T503" s="326"/>
    </row>
    <row r="504" spans="1:20">
      <c r="A504" s="425" t="s">
        <v>307</v>
      </c>
      <c r="B504" s="416">
        <v>2710.3738425925935</v>
      </c>
      <c r="C504" s="415">
        <v>0.52322226489132206</v>
      </c>
      <c r="D504" s="416">
        <v>263.79108796296293</v>
      </c>
      <c r="E504" s="415">
        <v>5.0923370176161324E-2</v>
      </c>
      <c r="F504" s="416">
        <v>72.462962962962962</v>
      </c>
      <c r="G504" s="415">
        <v>1.3988563129708635E-2</v>
      </c>
      <c r="H504" s="416">
        <v>286.9921875</v>
      </c>
      <c r="I504" s="415">
        <v>5.540221056967904E-2</v>
      </c>
      <c r="J504" s="416">
        <v>0</v>
      </c>
      <c r="K504" s="415">
        <v>0</v>
      </c>
      <c r="L504" s="416">
        <v>0</v>
      </c>
      <c r="M504" s="415">
        <v>0</v>
      </c>
      <c r="N504" s="416">
        <v>1414.6195023148148</v>
      </c>
      <c r="O504" s="415">
        <v>0.273084254404033</v>
      </c>
      <c r="P504" s="416">
        <v>431.91811342592587</v>
      </c>
      <c r="Q504" s="415">
        <v>8.337933682909629E-2</v>
      </c>
      <c r="R504" s="416">
        <v>5180.1576967592582</v>
      </c>
      <c r="S504" s="415">
        <v>0.16247714119541584</v>
      </c>
      <c r="T504" s="326"/>
    </row>
    <row r="505" spans="1:20">
      <c r="A505" s="425" t="s">
        <v>306</v>
      </c>
      <c r="B505" s="416">
        <v>1916.1692790363177</v>
      </c>
      <c r="C505" s="415">
        <v>0.52415987892160887</v>
      </c>
      <c r="D505" s="416">
        <v>0</v>
      </c>
      <c r="E505" s="415">
        <v>0</v>
      </c>
      <c r="F505" s="416">
        <v>153.77043689320388</v>
      </c>
      <c r="G505" s="415">
        <v>4.206324277581585E-2</v>
      </c>
      <c r="H505" s="416">
        <v>181.48464401294498</v>
      </c>
      <c r="I505" s="415">
        <v>4.9644345138336592E-2</v>
      </c>
      <c r="J505" s="416">
        <v>0</v>
      </c>
      <c r="K505" s="415">
        <v>0</v>
      </c>
      <c r="L505" s="416">
        <v>45.485436893203882</v>
      </c>
      <c r="M505" s="415">
        <v>1.2442345963624207E-2</v>
      </c>
      <c r="N505" s="416">
        <v>977.82245055735359</v>
      </c>
      <c r="O505" s="415">
        <v>0.26747913292333875</v>
      </c>
      <c r="P505" s="416">
        <v>380.9639554117224</v>
      </c>
      <c r="Q505" s="415">
        <v>0.10421105427727763</v>
      </c>
      <c r="R505" s="416">
        <v>3655.6962028047392</v>
      </c>
      <c r="S505" s="415">
        <v>0.11466196646527596</v>
      </c>
      <c r="T505" s="326"/>
    </row>
    <row r="506" spans="1:20">
      <c r="A506" s="425" t="s">
        <v>305</v>
      </c>
      <c r="B506" s="416">
        <v>2553.4452513284841</v>
      </c>
      <c r="C506" s="415">
        <v>0.48995664449572301</v>
      </c>
      <c r="D506" s="416">
        <v>204.14428036789425</v>
      </c>
      <c r="E506" s="415">
        <v>3.9171330009918591E-2</v>
      </c>
      <c r="F506" s="416">
        <v>194.12893391030684</v>
      </c>
      <c r="G506" s="415">
        <v>3.7249579174936466E-2</v>
      </c>
      <c r="H506" s="416">
        <v>490.47826514555459</v>
      </c>
      <c r="I506" s="415">
        <v>9.411327102618372E-2</v>
      </c>
      <c r="J506" s="416">
        <v>91.908536585365852</v>
      </c>
      <c r="K506" s="415">
        <v>1.7635466498625657E-2</v>
      </c>
      <c r="L506" s="416">
        <v>0</v>
      </c>
      <c r="M506" s="415">
        <v>0</v>
      </c>
      <c r="N506" s="416">
        <v>1165.4966697019215</v>
      </c>
      <c r="O506" s="415">
        <v>0.22363621744425352</v>
      </c>
      <c r="P506" s="416">
        <v>511.97194406694791</v>
      </c>
      <c r="Q506" s="415">
        <v>9.8237491350357656E-2</v>
      </c>
      <c r="R506" s="416">
        <v>5211.5738811064821</v>
      </c>
      <c r="S506" s="415">
        <v>0.16346251888443841</v>
      </c>
      <c r="T506" s="326"/>
    </row>
    <row r="507" spans="1:20" ht="25.5">
      <c r="A507" s="425" t="s">
        <v>304</v>
      </c>
      <c r="B507" s="416">
        <v>2301.0871691523016</v>
      </c>
      <c r="C507" s="415">
        <v>0.33409791149257401</v>
      </c>
      <c r="D507" s="416">
        <v>502.20139522658872</v>
      </c>
      <c r="E507" s="415">
        <v>7.2915289582736756E-2</v>
      </c>
      <c r="F507" s="416">
        <v>347.34002780401636</v>
      </c>
      <c r="G507" s="415">
        <v>5.0430761347404554E-2</v>
      </c>
      <c r="H507" s="416">
        <v>230.49626073285589</v>
      </c>
      <c r="I507" s="415">
        <v>3.346605915240667E-2</v>
      </c>
      <c r="J507" s="416">
        <v>38.143598517251213</v>
      </c>
      <c r="K507" s="415">
        <v>5.5381198818815402E-3</v>
      </c>
      <c r="L507" s="416">
        <v>156.28755682918779</v>
      </c>
      <c r="M507" s="415">
        <v>2.2691598575183155E-2</v>
      </c>
      <c r="N507" s="416">
        <v>2264.8113187580884</v>
      </c>
      <c r="O507" s="415">
        <v>0.32883097244880516</v>
      </c>
      <c r="P507" s="416">
        <v>1047.0961679541595</v>
      </c>
      <c r="Q507" s="415">
        <v>0.1520292875190109</v>
      </c>
      <c r="R507" s="416">
        <v>6887.4634949744304</v>
      </c>
      <c r="S507" s="415">
        <v>0.21602728029907692</v>
      </c>
      <c r="T507" s="326"/>
    </row>
    <row r="508" spans="1:20" ht="25.5">
      <c r="A508" s="425" t="s">
        <v>303</v>
      </c>
      <c r="B508" s="416">
        <v>4021.6766397393412</v>
      </c>
      <c r="C508" s="415">
        <v>0.49523568691001446</v>
      </c>
      <c r="D508" s="416">
        <v>489.69896876872883</v>
      </c>
      <c r="E508" s="415">
        <v>6.0302313413498468E-2</v>
      </c>
      <c r="F508" s="416">
        <v>217.67733002189209</v>
      </c>
      <c r="G508" s="415">
        <v>2.6805134205199709E-2</v>
      </c>
      <c r="H508" s="416">
        <v>335.81266614829622</v>
      </c>
      <c r="I508" s="415">
        <v>4.1352508242386614E-2</v>
      </c>
      <c r="J508" s="416">
        <v>19.10670518207283</v>
      </c>
      <c r="K508" s="415">
        <v>2.35283020318716E-3</v>
      </c>
      <c r="L508" s="416">
        <v>23.27441437247392</v>
      </c>
      <c r="M508" s="415">
        <v>2.8660485717040378E-3</v>
      </c>
      <c r="N508" s="416">
        <v>2150.7751859267792</v>
      </c>
      <c r="O508" s="415">
        <v>0.26484989272048931</v>
      </c>
      <c r="P508" s="416">
        <v>862.71079557958501</v>
      </c>
      <c r="Q508" s="415">
        <v>0.10623558573352433</v>
      </c>
      <c r="R508" s="416">
        <v>8120.7327057391367</v>
      </c>
      <c r="S508" s="415">
        <v>0.25470912502645537</v>
      </c>
      <c r="T508" s="326"/>
    </row>
    <row r="509" spans="1:20" ht="15.75" thickBot="1">
      <c r="A509" s="424" t="s">
        <v>302</v>
      </c>
      <c r="B509" s="422">
        <v>614.46062306501551</v>
      </c>
      <c r="C509" s="420">
        <v>0.62026407685218865</v>
      </c>
      <c r="D509" s="422">
        <v>86.700367647058826</v>
      </c>
      <c r="E509" s="420">
        <v>8.7519234728338641E-2</v>
      </c>
      <c r="F509" s="422">
        <v>0</v>
      </c>
      <c r="G509" s="420">
        <v>0</v>
      </c>
      <c r="H509" s="422">
        <v>51.857585139318886</v>
      </c>
      <c r="I509" s="420">
        <v>5.2347369329832576E-2</v>
      </c>
      <c r="J509" s="422">
        <v>0</v>
      </c>
      <c r="K509" s="420">
        <v>0</v>
      </c>
      <c r="L509" s="422">
        <v>0</v>
      </c>
      <c r="M509" s="420">
        <v>0</v>
      </c>
      <c r="N509" s="422">
        <v>178.21875</v>
      </c>
      <c r="O509" s="420">
        <v>0.17990198931723014</v>
      </c>
      <c r="P509" s="422">
        <v>59.40625</v>
      </c>
      <c r="Q509" s="420">
        <v>5.9967329772410045E-2</v>
      </c>
      <c r="R509" s="422">
        <v>990.64357585139317</v>
      </c>
      <c r="S509" s="420">
        <v>3.1071821664547819E-2</v>
      </c>
      <c r="T509" s="326"/>
    </row>
    <row r="513" spans="1:18" ht="15.75" thickBot="1"/>
    <row r="514" spans="1:18" ht="15" customHeight="1">
      <c r="A514" s="830" t="s">
        <v>310</v>
      </c>
      <c r="B514" s="833" t="s">
        <v>324</v>
      </c>
      <c r="C514" s="799"/>
      <c r="D514" s="799"/>
      <c r="E514" s="799"/>
      <c r="F514" s="799"/>
      <c r="G514" s="799"/>
      <c r="H514" s="799"/>
      <c r="I514" s="799"/>
      <c r="J514" s="799"/>
      <c r="K514" s="799"/>
      <c r="L514" s="799"/>
      <c r="M514" s="799"/>
      <c r="N514" s="799"/>
      <c r="O514" s="799"/>
      <c r="P514" s="799"/>
      <c r="Q514" s="800"/>
      <c r="R514" s="326"/>
    </row>
    <row r="515" spans="1:18" ht="35.25" customHeight="1">
      <c r="A515" s="831"/>
      <c r="B515" s="834" t="s">
        <v>181</v>
      </c>
      <c r="C515" s="810"/>
      <c r="D515" s="835" t="s">
        <v>180</v>
      </c>
      <c r="E515" s="810"/>
      <c r="F515" s="835" t="s">
        <v>179</v>
      </c>
      <c r="G515" s="810"/>
      <c r="H515" s="835" t="s">
        <v>178</v>
      </c>
      <c r="I515" s="810"/>
      <c r="J515" s="835" t="s">
        <v>177</v>
      </c>
      <c r="K515" s="810"/>
      <c r="L515" s="835" t="s">
        <v>176</v>
      </c>
      <c r="M515" s="810"/>
      <c r="N515" s="835" t="s">
        <v>14</v>
      </c>
      <c r="O515" s="810"/>
      <c r="P515" s="829" t="s">
        <v>9</v>
      </c>
      <c r="Q515" s="813"/>
      <c r="R515" s="326"/>
    </row>
    <row r="516" spans="1:18" ht="15.75" customHeight="1" thickBot="1">
      <c r="A516" s="832"/>
      <c r="B516" s="428" t="s">
        <v>7</v>
      </c>
      <c r="C516" s="428" t="s">
        <v>8</v>
      </c>
      <c r="D516" s="428" t="s">
        <v>7</v>
      </c>
      <c r="E516" s="428" t="s">
        <v>8</v>
      </c>
      <c r="F516" s="428" t="s">
        <v>7</v>
      </c>
      <c r="G516" s="428" t="s">
        <v>8</v>
      </c>
      <c r="H516" s="428" t="s">
        <v>7</v>
      </c>
      <c r="I516" s="428" t="s">
        <v>8</v>
      </c>
      <c r="J516" s="428" t="s">
        <v>7</v>
      </c>
      <c r="K516" s="428" t="s">
        <v>8</v>
      </c>
      <c r="L516" s="428" t="s">
        <v>7</v>
      </c>
      <c r="M516" s="428" t="s">
        <v>8</v>
      </c>
      <c r="N516" s="428" t="s">
        <v>7</v>
      </c>
      <c r="O516" s="428" t="s">
        <v>8</v>
      </c>
      <c r="P516" s="428" t="s">
        <v>7</v>
      </c>
      <c r="Q516" s="430" t="s">
        <v>6</v>
      </c>
      <c r="R516" s="326"/>
    </row>
    <row r="517" spans="1:18" ht="15.75" customHeight="1">
      <c r="A517" s="426" t="s">
        <v>5</v>
      </c>
      <c r="B517" s="418">
        <v>9324.3719668000012</v>
      </c>
      <c r="C517" s="417">
        <v>0.35079486158508821</v>
      </c>
      <c r="D517" s="418">
        <v>592.38001099999997</v>
      </c>
      <c r="E517" s="417">
        <v>2.2286097627209255E-2</v>
      </c>
      <c r="F517" s="418">
        <v>1196.7136995000001</v>
      </c>
      <c r="G517" s="417">
        <v>4.5021907970618141E-2</v>
      </c>
      <c r="H517" s="418">
        <v>8276.9007560000009</v>
      </c>
      <c r="I517" s="417">
        <v>0.31138764791801549</v>
      </c>
      <c r="J517" s="418">
        <v>5254.0442089999988</v>
      </c>
      <c r="K517" s="417">
        <v>0.19766389818215427</v>
      </c>
      <c r="L517" s="418">
        <v>432.71053000000006</v>
      </c>
      <c r="M517" s="417">
        <v>1.6279126467522654E-2</v>
      </c>
      <c r="N517" s="418">
        <v>1503.5759470000003</v>
      </c>
      <c r="O517" s="417">
        <v>5.6566460249391534E-2</v>
      </c>
      <c r="P517" s="418">
        <v>26580.697119300014</v>
      </c>
      <c r="Q517" s="417">
        <v>1</v>
      </c>
      <c r="R517" s="326"/>
    </row>
    <row r="518" spans="1:18">
      <c r="A518" s="425" t="s">
        <v>309</v>
      </c>
      <c r="B518" s="416">
        <v>404.55126580000007</v>
      </c>
      <c r="C518" s="415">
        <v>0.35701299269105102</v>
      </c>
      <c r="D518" s="416">
        <v>9.6666670000000003</v>
      </c>
      <c r="E518" s="415">
        <v>8.5307500106153993E-3</v>
      </c>
      <c r="F518" s="416">
        <v>0</v>
      </c>
      <c r="G518" s="415">
        <v>0</v>
      </c>
      <c r="H518" s="416">
        <v>351.72990800000002</v>
      </c>
      <c r="I518" s="415">
        <v>0.31039860133847103</v>
      </c>
      <c r="J518" s="416">
        <v>272.79394600000001</v>
      </c>
      <c r="K518" s="415">
        <v>0.24073829767129837</v>
      </c>
      <c r="L518" s="416">
        <v>0</v>
      </c>
      <c r="M518" s="415">
        <v>0</v>
      </c>
      <c r="N518" s="416">
        <v>94.413796000000005</v>
      </c>
      <c r="O518" s="415">
        <v>8.331935828856421E-2</v>
      </c>
      <c r="P518" s="416">
        <v>1133.1555828</v>
      </c>
      <c r="Q518" s="415">
        <v>4.2630769904722532E-2</v>
      </c>
      <c r="R518" s="326"/>
    </row>
    <row r="519" spans="1:18">
      <c r="A519" s="425" t="s">
        <v>308</v>
      </c>
      <c r="B519" s="416">
        <v>217.50420400000002</v>
      </c>
      <c r="C519" s="415">
        <v>0.25937066392803254</v>
      </c>
      <c r="D519" s="416">
        <v>6.9052629999999997</v>
      </c>
      <c r="E519" s="415">
        <v>8.2344277304528691E-3</v>
      </c>
      <c r="F519" s="416">
        <v>124.36350999999999</v>
      </c>
      <c r="G519" s="415">
        <v>0.14830171354812302</v>
      </c>
      <c r="H519" s="416">
        <v>221.57754599999998</v>
      </c>
      <c r="I519" s="415">
        <v>0.26422806621964962</v>
      </c>
      <c r="J519" s="416">
        <v>61.071345000000001</v>
      </c>
      <c r="K519" s="415">
        <v>7.2826708671929544E-2</v>
      </c>
      <c r="L519" s="416">
        <v>0</v>
      </c>
      <c r="M519" s="415">
        <v>0</v>
      </c>
      <c r="N519" s="416">
        <v>207.162576</v>
      </c>
      <c r="O519" s="415">
        <v>0.24703841990181258</v>
      </c>
      <c r="P519" s="416">
        <v>838.58444399999985</v>
      </c>
      <c r="Q519" s="415">
        <v>3.1548624937722605E-2</v>
      </c>
      <c r="R519" s="326"/>
    </row>
    <row r="520" spans="1:18">
      <c r="A520" s="425" t="s">
        <v>307</v>
      </c>
      <c r="B520" s="416">
        <v>510.9125019999999</v>
      </c>
      <c r="C520" s="415">
        <v>0.23158101857115326</v>
      </c>
      <c r="D520" s="416">
        <v>181.20205999999999</v>
      </c>
      <c r="E520" s="415">
        <v>8.2133354454480029E-2</v>
      </c>
      <c r="F520" s="416">
        <v>179.45205999999999</v>
      </c>
      <c r="G520" s="415">
        <v>8.134013295194667E-2</v>
      </c>
      <c r="H520" s="416">
        <v>483.46882399999998</v>
      </c>
      <c r="I520" s="415">
        <v>0.2191416382864666</v>
      </c>
      <c r="J520" s="416">
        <v>430.56147199999998</v>
      </c>
      <c r="K520" s="415">
        <v>0.19516035300160869</v>
      </c>
      <c r="L520" s="416">
        <v>61.692307</v>
      </c>
      <c r="M520" s="415">
        <v>2.796323683045104E-2</v>
      </c>
      <c r="N520" s="416">
        <v>358.90411999999998</v>
      </c>
      <c r="O520" s="415">
        <v>0.16268026590389334</v>
      </c>
      <c r="P520" s="416">
        <v>2206.1933450000006</v>
      </c>
      <c r="Q520" s="415">
        <v>8.299983010596447E-2</v>
      </c>
      <c r="R520" s="326"/>
    </row>
    <row r="521" spans="1:18">
      <c r="A521" s="425" t="s">
        <v>306</v>
      </c>
      <c r="B521" s="416">
        <v>1642.3537990000002</v>
      </c>
      <c r="C521" s="415">
        <v>0.4596840326349661</v>
      </c>
      <c r="D521" s="416">
        <v>102.3719</v>
      </c>
      <c r="E521" s="415">
        <v>2.8653221887486546E-2</v>
      </c>
      <c r="F521" s="416">
        <v>111.5215575</v>
      </c>
      <c r="G521" s="415">
        <v>3.1214150878176427E-2</v>
      </c>
      <c r="H521" s="416">
        <v>637.95008800000005</v>
      </c>
      <c r="I521" s="415">
        <v>0.17855803618576552</v>
      </c>
      <c r="J521" s="416">
        <v>730.11954800000001</v>
      </c>
      <c r="K521" s="415">
        <v>0.20435566218108078</v>
      </c>
      <c r="L521" s="416">
        <v>203.72774999999999</v>
      </c>
      <c r="M521" s="415">
        <v>5.7022058058787489E-2</v>
      </c>
      <c r="N521" s="416">
        <v>144.74379999999999</v>
      </c>
      <c r="O521" s="415">
        <v>4.0512838173736881E-2</v>
      </c>
      <c r="P521" s="416">
        <v>3572.7884425000011</v>
      </c>
      <c r="Q521" s="415">
        <v>0.1344128946831056</v>
      </c>
      <c r="R521" s="326"/>
    </row>
    <row r="522" spans="1:18">
      <c r="A522" s="425" t="s">
        <v>305</v>
      </c>
      <c r="B522" s="416">
        <v>1014.4028569999998</v>
      </c>
      <c r="C522" s="415">
        <v>0.25544186539305402</v>
      </c>
      <c r="D522" s="416">
        <v>117.16418</v>
      </c>
      <c r="E522" s="415">
        <v>2.9503699136809072E-2</v>
      </c>
      <c r="F522" s="416">
        <v>60.051774999999999</v>
      </c>
      <c r="G522" s="415">
        <v>1.5121938311106285E-2</v>
      </c>
      <c r="H522" s="416">
        <v>1744.5220390000006</v>
      </c>
      <c r="I522" s="415">
        <v>0.43929683437539291</v>
      </c>
      <c r="J522" s="416">
        <v>974.9765299999998</v>
      </c>
      <c r="K522" s="415">
        <v>0.24551372447253161</v>
      </c>
      <c r="L522" s="416">
        <v>0</v>
      </c>
      <c r="M522" s="415">
        <v>0</v>
      </c>
      <c r="N522" s="416">
        <v>60.051774999999999</v>
      </c>
      <c r="O522" s="415">
        <v>1.5121938311106285E-2</v>
      </c>
      <c r="P522" s="416">
        <v>3971.1691559999995</v>
      </c>
      <c r="Q522" s="415">
        <v>0.14940048931660893</v>
      </c>
      <c r="R522" s="326"/>
    </row>
    <row r="523" spans="1:18" ht="25.5">
      <c r="A523" s="425" t="s">
        <v>304</v>
      </c>
      <c r="B523" s="416">
        <v>2520.7058380000008</v>
      </c>
      <c r="C523" s="415">
        <v>0.38573344846751995</v>
      </c>
      <c r="D523" s="416">
        <v>87.261309999999995</v>
      </c>
      <c r="E523" s="415">
        <v>1.3353246347380131E-2</v>
      </c>
      <c r="F523" s="416">
        <v>405.97550600000005</v>
      </c>
      <c r="G523" s="415">
        <v>6.2124794397658036E-2</v>
      </c>
      <c r="H523" s="416">
        <v>1981.0869939999991</v>
      </c>
      <c r="I523" s="415">
        <v>0.30315775303479597</v>
      </c>
      <c r="J523" s="416">
        <v>1177.9089339999994</v>
      </c>
      <c r="K523" s="415">
        <v>0.18025065370302046</v>
      </c>
      <c r="L523" s="416">
        <v>99.976668000000004</v>
      </c>
      <c r="M523" s="415">
        <v>1.5299026301510213E-2</v>
      </c>
      <c r="N523" s="416">
        <v>261.92337499999996</v>
      </c>
      <c r="O523" s="415">
        <v>4.0081077748113404E-2</v>
      </c>
      <c r="P523" s="416">
        <v>6534.8386250000112</v>
      </c>
      <c r="Q523" s="415">
        <v>0.24584903080871875</v>
      </c>
      <c r="R523" s="326"/>
    </row>
    <row r="524" spans="1:18" ht="25.5">
      <c r="A524" s="425" t="s">
        <v>303</v>
      </c>
      <c r="B524" s="416">
        <v>2755.0081610000002</v>
      </c>
      <c r="C524" s="415">
        <v>0.35998312589649195</v>
      </c>
      <c r="D524" s="416">
        <v>19.541961000000001</v>
      </c>
      <c r="E524" s="415">
        <v>2.5534502243992935E-3</v>
      </c>
      <c r="F524" s="416">
        <v>315.34929099999999</v>
      </c>
      <c r="G524" s="415">
        <v>4.1205113338835753E-2</v>
      </c>
      <c r="H524" s="416">
        <v>2581.2236829999997</v>
      </c>
      <c r="I524" s="415">
        <v>0.33727557805386682</v>
      </c>
      <c r="J524" s="416">
        <v>1538.3457639999999</v>
      </c>
      <c r="K524" s="415">
        <v>0.20100794062016103</v>
      </c>
      <c r="L524" s="416">
        <v>67.313805000000002</v>
      </c>
      <c r="M524" s="415">
        <v>8.7955579525729431E-3</v>
      </c>
      <c r="N524" s="416">
        <v>376.37650500000007</v>
      </c>
      <c r="O524" s="415">
        <v>4.9179233913672842E-2</v>
      </c>
      <c r="P524" s="416">
        <v>7653.1591699999954</v>
      </c>
      <c r="Q524" s="415">
        <v>0.28792168751823682</v>
      </c>
      <c r="R524" s="326"/>
    </row>
    <row r="525" spans="1:18" ht="15.75" thickBot="1">
      <c r="A525" s="427" t="s">
        <v>302</v>
      </c>
      <c r="B525" s="416">
        <v>258.93334000000004</v>
      </c>
      <c r="C525" s="415">
        <v>0.38600196085214544</v>
      </c>
      <c r="D525" s="416">
        <v>68.266670000000005</v>
      </c>
      <c r="E525" s="415">
        <v>0.1017677695767039</v>
      </c>
      <c r="F525" s="416">
        <v>0</v>
      </c>
      <c r="G525" s="415">
        <v>0</v>
      </c>
      <c r="H525" s="416">
        <v>275.34167400000001</v>
      </c>
      <c r="I525" s="415">
        <v>0.41046249999444712</v>
      </c>
      <c r="J525" s="416">
        <v>68.266670000000005</v>
      </c>
      <c r="K525" s="415">
        <v>0.1017677695767039</v>
      </c>
      <c r="L525" s="416">
        <v>0</v>
      </c>
      <c r="M525" s="415">
        <v>0</v>
      </c>
      <c r="N525" s="416">
        <v>0</v>
      </c>
      <c r="O525" s="415">
        <v>0</v>
      </c>
      <c r="P525" s="416">
        <v>670.80835399999989</v>
      </c>
      <c r="Q525" s="415">
        <v>2.523667272492006E-2</v>
      </c>
      <c r="R525" s="326"/>
    </row>
    <row r="526" spans="1:18" ht="15" customHeight="1">
      <c r="A526" s="426" t="s">
        <v>4</v>
      </c>
      <c r="B526" s="418">
        <v>10883.0892105974</v>
      </c>
      <c r="C526" s="417">
        <v>0.39387360303275498</v>
      </c>
      <c r="D526" s="418">
        <v>955.6017303452237</v>
      </c>
      <c r="E526" s="417">
        <v>3.4584508985638245E-2</v>
      </c>
      <c r="F526" s="418">
        <v>1112.3366717725394</v>
      </c>
      <c r="G526" s="417">
        <v>4.0256956845478579E-2</v>
      </c>
      <c r="H526" s="418">
        <v>7597.3884798065292</v>
      </c>
      <c r="I526" s="417">
        <v>0.27495968435755219</v>
      </c>
      <c r="J526" s="418">
        <v>6368.6380382631241</v>
      </c>
      <c r="K526" s="417">
        <v>0.23048955696325302</v>
      </c>
      <c r="L526" s="418">
        <v>344.7842686851817</v>
      </c>
      <c r="M526" s="417">
        <v>1.2478205365054755E-2</v>
      </c>
      <c r="N526" s="418">
        <v>369.07955694947702</v>
      </c>
      <c r="O526" s="417">
        <v>1.3357484450267007E-2</v>
      </c>
      <c r="P526" s="418">
        <v>27630.917956419507</v>
      </c>
      <c r="Q526" s="417">
        <v>1</v>
      </c>
      <c r="R526" s="326"/>
    </row>
    <row r="527" spans="1:18">
      <c r="A527" s="425" t="s">
        <v>309</v>
      </c>
      <c r="B527" s="416">
        <v>200.57048872180451</v>
      </c>
      <c r="C527" s="415">
        <v>0.1946390221249924</v>
      </c>
      <c r="D527" s="416">
        <v>39.839285714285715</v>
      </c>
      <c r="E527" s="415">
        <v>3.8661119404969392E-2</v>
      </c>
      <c r="F527" s="416">
        <v>0</v>
      </c>
      <c r="G527" s="415">
        <v>0</v>
      </c>
      <c r="H527" s="416">
        <v>200.50730190861771</v>
      </c>
      <c r="I527" s="415">
        <v>0.19457770393402499</v>
      </c>
      <c r="J527" s="416">
        <v>549.7178282244073</v>
      </c>
      <c r="K527" s="415">
        <v>0.53346103513104381</v>
      </c>
      <c r="L527" s="416">
        <v>0</v>
      </c>
      <c r="M527" s="415">
        <v>0</v>
      </c>
      <c r="N527" s="416">
        <v>39.839285714285715</v>
      </c>
      <c r="O527" s="415">
        <v>3.8661119404969392E-2</v>
      </c>
      <c r="P527" s="416">
        <v>1030.474190283401</v>
      </c>
      <c r="Q527" s="415">
        <v>3.7294243785483433E-2</v>
      </c>
      <c r="R527" s="326"/>
    </row>
    <row r="528" spans="1:18">
      <c r="A528" s="425" t="s">
        <v>308</v>
      </c>
      <c r="B528" s="416">
        <v>247.29528350270812</v>
      </c>
      <c r="C528" s="415">
        <v>0.42917722734738545</v>
      </c>
      <c r="D528" s="416">
        <v>0</v>
      </c>
      <c r="E528" s="415">
        <v>0</v>
      </c>
      <c r="F528" s="416">
        <v>0</v>
      </c>
      <c r="G528" s="415">
        <v>0</v>
      </c>
      <c r="H528" s="416">
        <v>76.986256625169489</v>
      </c>
      <c r="I528" s="415">
        <v>0.13360848494258767</v>
      </c>
      <c r="J528" s="416">
        <v>246.54660145275568</v>
      </c>
      <c r="K528" s="415">
        <v>0.42787790096391309</v>
      </c>
      <c r="L528" s="416">
        <v>0</v>
      </c>
      <c r="M528" s="415">
        <v>0</v>
      </c>
      <c r="N528" s="416">
        <v>5.3796992481203008</v>
      </c>
      <c r="O528" s="415">
        <v>9.3363867461135827E-3</v>
      </c>
      <c r="P528" s="416">
        <v>576.20784082875366</v>
      </c>
      <c r="Q528" s="415">
        <v>2.0853734998510353E-2</v>
      </c>
      <c r="R528" s="326"/>
    </row>
    <row r="529" spans="1:18">
      <c r="A529" s="425" t="s">
        <v>307</v>
      </c>
      <c r="B529" s="416">
        <v>1023.2620260328238</v>
      </c>
      <c r="C529" s="415">
        <v>0.28707369579758679</v>
      </c>
      <c r="D529" s="416">
        <v>120.45614035087719</v>
      </c>
      <c r="E529" s="415">
        <v>3.3793679929767964E-2</v>
      </c>
      <c r="F529" s="416">
        <v>116.81818181818181</v>
      </c>
      <c r="G529" s="415">
        <v>3.2773059429280701E-2</v>
      </c>
      <c r="H529" s="416">
        <v>986.17965735452981</v>
      </c>
      <c r="I529" s="415">
        <v>0.27667032661689073</v>
      </c>
      <c r="J529" s="416">
        <v>1197.2854864433809</v>
      </c>
      <c r="K529" s="415">
        <v>0.33589555829670509</v>
      </c>
      <c r="L529" s="416">
        <v>0</v>
      </c>
      <c r="M529" s="415">
        <v>0</v>
      </c>
      <c r="N529" s="416">
        <v>120.45614035087719</v>
      </c>
      <c r="O529" s="415">
        <v>3.3793679929767964E-2</v>
      </c>
      <c r="P529" s="416">
        <v>3564.4576323506735</v>
      </c>
      <c r="Q529" s="415">
        <v>0.12900250501893085</v>
      </c>
      <c r="R529" s="326"/>
    </row>
    <row r="530" spans="1:18">
      <c r="A530" s="425" t="s">
        <v>306</v>
      </c>
      <c r="B530" s="416">
        <v>1625.374520905923</v>
      </c>
      <c r="C530" s="415">
        <v>0.44227345552236164</v>
      </c>
      <c r="D530" s="416">
        <v>131.26875000000001</v>
      </c>
      <c r="E530" s="415">
        <v>3.5718957641985426E-2</v>
      </c>
      <c r="F530" s="416">
        <v>344.42882285397525</v>
      </c>
      <c r="G530" s="415">
        <v>9.3721000117697795E-2</v>
      </c>
      <c r="H530" s="416">
        <v>602.73733766233761</v>
      </c>
      <c r="I530" s="415">
        <v>0.16400818498846145</v>
      </c>
      <c r="J530" s="416">
        <v>775.1660714285714</v>
      </c>
      <c r="K530" s="415">
        <v>0.21092700334894168</v>
      </c>
      <c r="L530" s="416">
        <v>64.8</v>
      </c>
      <c r="M530" s="415">
        <v>1.7632440738566148E-2</v>
      </c>
      <c r="N530" s="416">
        <v>131.26875000000001</v>
      </c>
      <c r="O530" s="415">
        <v>3.5718957641985426E-2</v>
      </c>
      <c r="P530" s="416">
        <v>3675.0442528508088</v>
      </c>
      <c r="Q530" s="415">
        <v>0.13300478321593306</v>
      </c>
      <c r="R530" s="326"/>
    </row>
    <row r="531" spans="1:18">
      <c r="A531" s="425" t="s">
        <v>305</v>
      </c>
      <c r="B531" s="416">
        <v>1254.6982910819486</v>
      </c>
      <c r="C531" s="415">
        <v>0.3324250955613664</v>
      </c>
      <c r="D531" s="416">
        <v>57.42307692307692</v>
      </c>
      <c r="E531" s="415">
        <v>1.5213913949879428E-2</v>
      </c>
      <c r="F531" s="416">
        <v>127.73945761338311</v>
      </c>
      <c r="G531" s="415">
        <v>3.3843834574341133E-2</v>
      </c>
      <c r="H531" s="416">
        <v>1379.4537350583194</v>
      </c>
      <c r="I531" s="415">
        <v>0.36547833288576237</v>
      </c>
      <c r="J531" s="416">
        <v>943.064413218548</v>
      </c>
      <c r="K531" s="415">
        <v>0.24985949204917191</v>
      </c>
      <c r="L531" s="416">
        <v>0</v>
      </c>
      <c r="M531" s="415">
        <v>0</v>
      </c>
      <c r="N531" s="416">
        <v>12</v>
      </c>
      <c r="O531" s="415">
        <v>3.1793309794791572E-3</v>
      </c>
      <c r="P531" s="416">
        <v>3774.3789738952746</v>
      </c>
      <c r="Q531" s="415">
        <v>0.13659984007221052</v>
      </c>
      <c r="R531" s="326"/>
    </row>
    <row r="532" spans="1:18" ht="25.5">
      <c r="A532" s="425" t="s">
        <v>304</v>
      </c>
      <c r="B532" s="416">
        <v>2459.9423351980381</v>
      </c>
      <c r="C532" s="415">
        <v>0.40476639301505885</v>
      </c>
      <c r="D532" s="416">
        <v>248.53769528807572</v>
      </c>
      <c r="E532" s="415">
        <v>4.0895148236038376E-2</v>
      </c>
      <c r="F532" s="416">
        <v>188.54875179293782</v>
      </c>
      <c r="G532" s="415">
        <v>3.1024385034852876E-2</v>
      </c>
      <c r="H532" s="416">
        <v>1759.7697219989843</v>
      </c>
      <c r="I532" s="415">
        <v>0.28955786187292809</v>
      </c>
      <c r="J532" s="416">
        <v>1221.9093610634466</v>
      </c>
      <c r="K532" s="415">
        <v>0.20105668234258406</v>
      </c>
      <c r="L532" s="416">
        <v>185.9022184319092</v>
      </c>
      <c r="M532" s="415">
        <v>3.0588916386986645E-2</v>
      </c>
      <c r="N532" s="416">
        <v>12.827118644067797</v>
      </c>
      <c r="O532" s="415">
        <v>2.1106131115539144E-3</v>
      </c>
      <c r="P532" s="416">
        <v>6077.4372024174427</v>
      </c>
      <c r="Q532" s="415">
        <v>0.2199506079386504</v>
      </c>
      <c r="R532" s="326"/>
    </row>
    <row r="533" spans="1:18" ht="25.5">
      <c r="A533" s="425" t="s">
        <v>303</v>
      </c>
      <c r="B533" s="416">
        <v>3729.3712651541682</v>
      </c>
      <c r="C533" s="415">
        <v>0.4569081613945587</v>
      </c>
      <c r="D533" s="416">
        <v>358.07678206890807</v>
      </c>
      <c r="E533" s="415">
        <v>4.3870184141192363E-2</v>
      </c>
      <c r="F533" s="416">
        <v>334.80145769406136</v>
      </c>
      <c r="G533" s="415">
        <v>4.1018581307937424E-2</v>
      </c>
      <c r="H533" s="416">
        <v>2307.0843303096885</v>
      </c>
      <c r="I533" s="415">
        <v>0.28265506022244208</v>
      </c>
      <c r="J533" s="416">
        <v>1291.4656375431307</v>
      </c>
      <c r="K533" s="415">
        <v>0.15822538117016627</v>
      </c>
      <c r="L533" s="416">
        <v>94.082050253272484</v>
      </c>
      <c r="M533" s="415">
        <v>1.1526569371922315E-2</v>
      </c>
      <c r="N533" s="416">
        <v>47.308562992125985</v>
      </c>
      <c r="O533" s="415">
        <v>5.7960623917815753E-3</v>
      </c>
      <c r="P533" s="416">
        <v>8162.1900860153492</v>
      </c>
      <c r="Q533" s="415">
        <v>0.29540061241863386</v>
      </c>
      <c r="R533" s="326"/>
    </row>
    <row r="534" spans="1:18" ht="15.75" thickBot="1">
      <c r="A534" s="427" t="s">
        <v>302</v>
      </c>
      <c r="B534" s="416">
        <v>342.57499999999999</v>
      </c>
      <c r="C534" s="415">
        <v>0.44448248769200832</v>
      </c>
      <c r="D534" s="416">
        <v>0</v>
      </c>
      <c r="E534" s="415">
        <v>0</v>
      </c>
      <c r="F534" s="416">
        <v>0</v>
      </c>
      <c r="G534" s="415">
        <v>0</v>
      </c>
      <c r="H534" s="416">
        <v>284.67013888888891</v>
      </c>
      <c r="I534" s="415">
        <v>0.36935237978534002</v>
      </c>
      <c r="J534" s="416">
        <v>143.48263888888889</v>
      </c>
      <c r="K534" s="415">
        <v>0.18616513252265177</v>
      </c>
      <c r="L534" s="416">
        <v>0</v>
      </c>
      <c r="M534" s="415">
        <v>0</v>
      </c>
      <c r="N534" s="416">
        <v>0</v>
      </c>
      <c r="O534" s="415">
        <v>0</v>
      </c>
      <c r="P534" s="416">
        <v>770.72777777777776</v>
      </c>
      <c r="Q534" s="415">
        <v>2.7893672551646591E-2</v>
      </c>
      <c r="R534" s="326"/>
    </row>
    <row r="535" spans="1:18" ht="15.75" customHeight="1">
      <c r="A535" s="426" t="s">
        <v>3</v>
      </c>
      <c r="B535" s="418">
        <v>7612.4464838415888</v>
      </c>
      <c r="C535" s="417">
        <v>0.4307573835538227</v>
      </c>
      <c r="D535" s="418">
        <v>432.11131234766486</v>
      </c>
      <c r="E535" s="417">
        <v>2.4451421590415755E-2</v>
      </c>
      <c r="F535" s="418">
        <v>682.05049597248387</v>
      </c>
      <c r="G535" s="417">
        <v>3.8594463385761647E-2</v>
      </c>
      <c r="H535" s="418">
        <v>3886.3549426507607</v>
      </c>
      <c r="I535" s="417">
        <v>0.2199130187924675</v>
      </c>
      <c r="J535" s="418">
        <v>4658.6717211248288</v>
      </c>
      <c r="K535" s="417">
        <v>0.26361528395470751</v>
      </c>
      <c r="L535" s="418">
        <v>212.39611651940257</v>
      </c>
      <c r="M535" s="417">
        <v>1.2018632331024291E-2</v>
      </c>
      <c r="N535" s="418">
        <v>188.20572366641852</v>
      </c>
      <c r="O535" s="417">
        <v>1.0649796391801768E-2</v>
      </c>
      <c r="P535" s="418">
        <v>17672.236796123128</v>
      </c>
      <c r="Q535" s="417">
        <v>1</v>
      </c>
      <c r="R535" s="326"/>
    </row>
    <row r="536" spans="1:18">
      <c r="A536" s="425" t="s">
        <v>309</v>
      </c>
      <c r="B536" s="416">
        <v>252.27439096850861</v>
      </c>
      <c r="C536" s="415">
        <v>0.41874278676356441</v>
      </c>
      <c r="D536" s="416">
        <v>0</v>
      </c>
      <c r="E536" s="415">
        <v>0</v>
      </c>
      <c r="F536" s="416">
        <v>39.466666666666669</v>
      </c>
      <c r="G536" s="415">
        <v>6.550955061598647E-2</v>
      </c>
      <c r="H536" s="416">
        <v>51.172549019607843</v>
      </c>
      <c r="I536" s="415">
        <v>8.4939797892290086E-2</v>
      </c>
      <c r="J536" s="416">
        <v>204.98752228163997</v>
      </c>
      <c r="K536" s="415">
        <v>0.34025271452419126</v>
      </c>
      <c r="L536" s="416">
        <v>54.555555555555557</v>
      </c>
      <c r="M536" s="415">
        <v>9.0555150203967788E-2</v>
      </c>
      <c r="N536" s="416">
        <v>0</v>
      </c>
      <c r="O536" s="415">
        <v>0</v>
      </c>
      <c r="P536" s="416">
        <v>602.45668449197865</v>
      </c>
      <c r="Q536" s="415">
        <v>3.4090573335014585E-2</v>
      </c>
      <c r="R536" s="326"/>
    </row>
    <row r="537" spans="1:18">
      <c r="A537" s="425" t="s">
        <v>308</v>
      </c>
      <c r="B537" s="416">
        <v>218.61616161616161</v>
      </c>
      <c r="C537" s="415">
        <v>0.51970848491397426</v>
      </c>
      <c r="D537" s="416">
        <v>0</v>
      </c>
      <c r="E537" s="415">
        <v>0</v>
      </c>
      <c r="F537" s="416">
        <v>0</v>
      </c>
      <c r="G537" s="415">
        <v>0</v>
      </c>
      <c r="H537" s="416">
        <v>98.419191919191917</v>
      </c>
      <c r="I537" s="415">
        <v>0.23396847122669262</v>
      </c>
      <c r="J537" s="416">
        <v>103.61616161616161</v>
      </c>
      <c r="K537" s="415">
        <v>0.24632304385933318</v>
      </c>
      <c r="L537" s="416">
        <v>0</v>
      </c>
      <c r="M537" s="415">
        <v>0</v>
      </c>
      <c r="N537" s="416">
        <v>0</v>
      </c>
      <c r="O537" s="415">
        <v>0</v>
      </c>
      <c r="P537" s="416">
        <v>420.65151515151513</v>
      </c>
      <c r="Q537" s="415">
        <v>2.3802958278818228E-2</v>
      </c>
      <c r="R537" s="326"/>
    </row>
    <row r="538" spans="1:18">
      <c r="A538" s="425" t="s">
        <v>307</v>
      </c>
      <c r="B538" s="416">
        <v>1318.9554398148148</v>
      </c>
      <c r="C538" s="415">
        <v>0.43292304997955194</v>
      </c>
      <c r="D538" s="416">
        <v>95.6640625</v>
      </c>
      <c r="E538" s="415">
        <v>3.1399982486708791E-2</v>
      </c>
      <c r="F538" s="416">
        <v>0</v>
      </c>
      <c r="G538" s="415">
        <v>0</v>
      </c>
      <c r="H538" s="416">
        <v>649.30700231481467</v>
      </c>
      <c r="I538" s="415">
        <v>0.21312317257259031</v>
      </c>
      <c r="J538" s="416">
        <v>982.7013888888888</v>
      </c>
      <c r="K538" s="415">
        <v>0.32255379496114872</v>
      </c>
      <c r="L538" s="416">
        <v>0</v>
      </c>
      <c r="M538" s="415">
        <v>0</v>
      </c>
      <c r="N538" s="416">
        <v>0</v>
      </c>
      <c r="O538" s="415">
        <v>0</v>
      </c>
      <c r="P538" s="416">
        <v>3046.6278935185192</v>
      </c>
      <c r="Q538" s="415">
        <v>0.17239628059911905</v>
      </c>
      <c r="R538" s="326"/>
    </row>
    <row r="539" spans="1:18">
      <c r="A539" s="425" t="s">
        <v>306</v>
      </c>
      <c r="B539" s="416">
        <v>1054.6531912980945</v>
      </c>
      <c r="C539" s="415">
        <v>0.50950913361478967</v>
      </c>
      <c r="D539" s="416">
        <v>108.285</v>
      </c>
      <c r="E539" s="415">
        <v>5.2313117704190636E-2</v>
      </c>
      <c r="F539" s="416">
        <v>117.67543689320388</v>
      </c>
      <c r="G539" s="415">
        <v>5.6849692765260487E-2</v>
      </c>
      <c r="H539" s="416">
        <v>160.5725925925926</v>
      </c>
      <c r="I539" s="415">
        <v>7.7573559923935415E-2</v>
      </c>
      <c r="J539" s="416">
        <v>567.16805825242727</v>
      </c>
      <c r="K539" s="415">
        <v>0.27400221073478764</v>
      </c>
      <c r="L539" s="416">
        <v>0</v>
      </c>
      <c r="M539" s="415">
        <v>0</v>
      </c>
      <c r="N539" s="416">
        <v>61.585436893203884</v>
      </c>
      <c r="O539" s="415">
        <v>2.975228525703633E-2</v>
      </c>
      <c r="P539" s="416">
        <v>2069.9397159295218</v>
      </c>
      <c r="Q539" s="415">
        <v>0.11712946922393082</v>
      </c>
      <c r="R539" s="326"/>
    </row>
    <row r="540" spans="1:18">
      <c r="A540" s="425" t="s">
        <v>305</v>
      </c>
      <c r="B540" s="416">
        <v>984.49688390126119</v>
      </c>
      <c r="C540" s="415">
        <v>0.33353346376782961</v>
      </c>
      <c r="D540" s="416">
        <v>56.266129032258064</v>
      </c>
      <c r="E540" s="415">
        <v>1.9062159785179011E-2</v>
      </c>
      <c r="F540" s="416">
        <v>158.48652635719907</v>
      </c>
      <c r="G540" s="415">
        <v>5.3692968419542103E-2</v>
      </c>
      <c r="H540" s="416">
        <v>956.49594091981987</v>
      </c>
      <c r="I540" s="415">
        <v>0.3240471447615601</v>
      </c>
      <c r="J540" s="416">
        <v>772.67886774908811</v>
      </c>
      <c r="K540" s="415">
        <v>0.26177254936482375</v>
      </c>
      <c r="L540" s="416">
        <v>23.294117647058822</v>
      </c>
      <c r="M540" s="415">
        <v>7.8917139010650974E-3</v>
      </c>
      <c r="N540" s="416">
        <v>0</v>
      </c>
      <c r="O540" s="415">
        <v>0</v>
      </c>
      <c r="P540" s="416">
        <v>2951.7184656066861</v>
      </c>
      <c r="Q540" s="415">
        <v>0.1670257421094665</v>
      </c>
      <c r="R540" s="326"/>
    </row>
    <row r="541" spans="1:18" ht="25.5">
      <c r="A541" s="425" t="s">
        <v>304</v>
      </c>
      <c r="B541" s="416">
        <v>1481.4211741817896</v>
      </c>
      <c r="C541" s="415">
        <v>0.47019860667086433</v>
      </c>
      <c r="D541" s="416">
        <v>93.740538524350953</v>
      </c>
      <c r="E541" s="415">
        <v>2.9752963823451817E-2</v>
      </c>
      <c r="F541" s="416">
        <v>5.4680511182108624</v>
      </c>
      <c r="G541" s="415">
        <v>1.735542910953631E-3</v>
      </c>
      <c r="H541" s="416">
        <v>623.52955054843073</v>
      </c>
      <c r="I541" s="415">
        <v>0.19790639623327341</v>
      </c>
      <c r="J541" s="416">
        <v>859.29515886706861</v>
      </c>
      <c r="K541" s="415">
        <v>0.27273768828197797</v>
      </c>
      <c r="L541" s="416">
        <v>72.677496396273014</v>
      </c>
      <c r="M541" s="415">
        <v>2.306761786412868E-2</v>
      </c>
      <c r="N541" s="416">
        <v>14.496622546782291</v>
      </c>
      <c r="O541" s="415">
        <v>4.6011842153499708E-3</v>
      </c>
      <c r="P541" s="416">
        <v>3150.6285921829067</v>
      </c>
      <c r="Q541" s="415">
        <v>0.17828125712270221</v>
      </c>
      <c r="R541" s="326"/>
    </row>
    <row r="542" spans="1:18" ht="25.5">
      <c r="A542" s="425" t="s">
        <v>303</v>
      </c>
      <c r="B542" s="416">
        <v>1931.2920129587988</v>
      </c>
      <c r="C542" s="415">
        <v>0.40838874888111276</v>
      </c>
      <c r="D542" s="416">
        <v>18.749332291055957</v>
      </c>
      <c r="E542" s="415">
        <v>3.9647118640385231E-3</v>
      </c>
      <c r="F542" s="416">
        <v>287.900506113674</v>
      </c>
      <c r="G542" s="415">
        <v>6.0879104094607353E-2</v>
      </c>
      <c r="H542" s="416">
        <v>1249.2413390205111</v>
      </c>
      <c r="I542" s="415">
        <v>0.26416311156982786</v>
      </c>
      <c r="J542" s="416">
        <v>1081.5241958224988</v>
      </c>
      <c r="K542" s="415">
        <v>0.22869784074751651</v>
      </c>
      <c r="L542" s="416">
        <v>48.221888096985772</v>
      </c>
      <c r="M542" s="415">
        <v>1.01969440232098E-2</v>
      </c>
      <c r="N542" s="416">
        <v>112.12366422643234</v>
      </c>
      <c r="O542" s="415">
        <v>2.370953881968731E-2</v>
      </c>
      <c r="P542" s="416">
        <v>4729.052938529956</v>
      </c>
      <c r="Q542" s="415">
        <v>0.26759787077815744</v>
      </c>
      <c r="R542" s="326"/>
    </row>
    <row r="543" spans="1:18" ht="15.75" thickBot="1">
      <c r="A543" s="424" t="s">
        <v>302</v>
      </c>
      <c r="B543" s="422">
        <v>370.73722910216725</v>
      </c>
      <c r="C543" s="420">
        <v>0.52874765426647541</v>
      </c>
      <c r="D543" s="422">
        <v>59.40625</v>
      </c>
      <c r="E543" s="420">
        <v>8.4725549177613435E-2</v>
      </c>
      <c r="F543" s="422">
        <v>73.053308823529406</v>
      </c>
      <c r="G543" s="420">
        <v>0.10418906612208852</v>
      </c>
      <c r="H543" s="422">
        <v>97.61677631578948</v>
      </c>
      <c r="I543" s="420">
        <v>0.13922163042278399</v>
      </c>
      <c r="J543" s="422">
        <v>86.700367647058812</v>
      </c>
      <c r="K543" s="420">
        <v>0.12365258306656361</v>
      </c>
      <c r="L543" s="422">
        <v>13.647058823529411</v>
      </c>
      <c r="M543" s="420">
        <v>1.9463516944475109E-2</v>
      </c>
      <c r="N543" s="422">
        <v>0</v>
      </c>
      <c r="O543" s="420">
        <v>0</v>
      </c>
      <c r="P543" s="422">
        <v>701.16099071207429</v>
      </c>
      <c r="Q543" s="420">
        <v>3.9675848552792846E-2</v>
      </c>
      <c r="R543" s="326"/>
    </row>
    <row r="547" spans="1:12" ht="15.75" thickBot="1"/>
    <row r="548" spans="1:12" ht="15" customHeight="1">
      <c r="A548" s="830" t="s">
        <v>310</v>
      </c>
      <c r="B548" s="833" t="s">
        <v>325</v>
      </c>
      <c r="C548" s="799"/>
      <c r="D548" s="799"/>
      <c r="E548" s="799"/>
      <c r="F548" s="799"/>
      <c r="G548" s="799"/>
      <c r="H548" s="799"/>
      <c r="I548" s="799"/>
      <c r="J548" s="799"/>
      <c r="K548" s="800"/>
      <c r="L548" s="326"/>
    </row>
    <row r="549" spans="1:12" ht="28.5" customHeight="1">
      <c r="A549" s="831"/>
      <c r="B549" s="853" t="s">
        <v>175</v>
      </c>
      <c r="C549" s="854"/>
      <c r="D549" s="855" t="s">
        <v>174</v>
      </c>
      <c r="E549" s="854"/>
      <c r="F549" s="855" t="s">
        <v>173</v>
      </c>
      <c r="G549" s="854"/>
      <c r="H549" s="855" t="s">
        <v>172</v>
      </c>
      <c r="I549" s="854"/>
      <c r="J549" s="856" t="s">
        <v>9</v>
      </c>
      <c r="K549" s="857"/>
      <c r="L549" s="326"/>
    </row>
    <row r="550" spans="1:12" ht="15.75" customHeight="1" thickBot="1">
      <c r="A550" s="832"/>
      <c r="B550" s="428" t="s">
        <v>7</v>
      </c>
      <c r="C550" s="428" t="s">
        <v>8</v>
      </c>
      <c r="D550" s="428" t="s">
        <v>7</v>
      </c>
      <c r="E550" s="428" t="s">
        <v>8</v>
      </c>
      <c r="F550" s="428" t="s">
        <v>7</v>
      </c>
      <c r="G550" s="428" t="s">
        <v>8</v>
      </c>
      <c r="H550" s="428" t="s">
        <v>7</v>
      </c>
      <c r="I550" s="428" t="s">
        <v>8</v>
      </c>
      <c r="J550" s="428" t="s">
        <v>7</v>
      </c>
      <c r="K550" s="430" t="s">
        <v>6</v>
      </c>
      <c r="L550" s="326"/>
    </row>
    <row r="551" spans="1:12" ht="15.75" customHeight="1">
      <c r="A551" s="426" t="s">
        <v>5</v>
      </c>
      <c r="B551" s="418">
        <v>2423.8713665000005</v>
      </c>
      <c r="C551" s="417">
        <v>0.69127653004604794</v>
      </c>
      <c r="D551" s="418">
        <v>585.46709499999986</v>
      </c>
      <c r="E551" s="417">
        <v>0.16697241754711731</v>
      </c>
      <c r="F551" s="418">
        <v>194.18637000000001</v>
      </c>
      <c r="G551" s="417">
        <v>5.5381024707458613E-2</v>
      </c>
      <c r="H551" s="418">
        <v>302.84528399999999</v>
      </c>
      <c r="I551" s="417">
        <v>8.6370027699376226E-2</v>
      </c>
      <c r="J551" s="418">
        <v>3506.3701154999999</v>
      </c>
      <c r="K551" s="417">
        <v>1</v>
      </c>
      <c r="L551" s="326"/>
    </row>
    <row r="552" spans="1:12">
      <c r="A552" s="425" t="s">
        <v>309</v>
      </c>
      <c r="B552" s="416">
        <v>104.47458</v>
      </c>
      <c r="C552" s="415">
        <v>0.66666666666666674</v>
      </c>
      <c r="D552" s="416">
        <v>0</v>
      </c>
      <c r="E552" s="415">
        <v>0</v>
      </c>
      <c r="F552" s="416">
        <v>52.237290000000002</v>
      </c>
      <c r="G552" s="415">
        <v>0.33333333333333337</v>
      </c>
      <c r="H552" s="416">
        <v>0</v>
      </c>
      <c r="I552" s="415">
        <v>0</v>
      </c>
      <c r="J552" s="416">
        <v>156.71187</v>
      </c>
      <c r="K552" s="415">
        <v>4.4693476398070794E-2</v>
      </c>
      <c r="L552" s="326"/>
    </row>
    <row r="553" spans="1:12">
      <c r="A553" s="425" t="s">
        <v>308</v>
      </c>
      <c r="B553" s="416">
        <v>102.63578900000002</v>
      </c>
      <c r="C553" s="415">
        <v>0.83205898671194956</v>
      </c>
      <c r="D553" s="416">
        <v>0</v>
      </c>
      <c r="E553" s="415">
        <v>0</v>
      </c>
      <c r="F553" s="416">
        <v>6.9052629999999997</v>
      </c>
      <c r="G553" s="415">
        <v>5.5980337762683498E-2</v>
      </c>
      <c r="H553" s="416">
        <v>13.810525999999999</v>
      </c>
      <c r="I553" s="415">
        <v>0.111960675525367</v>
      </c>
      <c r="J553" s="416">
        <v>123.351578</v>
      </c>
      <c r="K553" s="415">
        <v>3.51792805484855E-2</v>
      </c>
      <c r="L553" s="326"/>
    </row>
    <row r="554" spans="1:12">
      <c r="A554" s="425" t="s">
        <v>307</v>
      </c>
      <c r="B554" s="416">
        <v>89.726029999999994</v>
      </c>
      <c r="C554" s="415">
        <v>0.5</v>
      </c>
      <c r="D554" s="416">
        <v>0</v>
      </c>
      <c r="E554" s="415">
        <v>0</v>
      </c>
      <c r="F554" s="416">
        <v>0</v>
      </c>
      <c r="G554" s="415">
        <v>0</v>
      </c>
      <c r="H554" s="416">
        <v>89.726029999999994</v>
      </c>
      <c r="I554" s="415">
        <v>0.5</v>
      </c>
      <c r="J554" s="416">
        <v>179.45205999999999</v>
      </c>
      <c r="K554" s="415">
        <v>5.1178869910716927E-2</v>
      </c>
      <c r="L554" s="326"/>
    </row>
    <row r="555" spans="1:12">
      <c r="A555" s="425" t="s">
        <v>306</v>
      </c>
      <c r="B555" s="416">
        <v>78.345109499999992</v>
      </c>
      <c r="C555" s="415">
        <v>0.51981597670964919</v>
      </c>
      <c r="D555" s="416">
        <v>72.371899999999997</v>
      </c>
      <c r="E555" s="415">
        <v>0.48018402329035054</v>
      </c>
      <c r="F555" s="416">
        <v>0</v>
      </c>
      <c r="G555" s="415">
        <v>0</v>
      </c>
      <c r="H555" s="416">
        <v>0</v>
      </c>
      <c r="I555" s="415">
        <v>0</v>
      </c>
      <c r="J555" s="416">
        <v>150.71700950000002</v>
      </c>
      <c r="K555" s="415">
        <v>4.2983770832905395E-2</v>
      </c>
      <c r="L555" s="326"/>
    </row>
    <row r="556" spans="1:12">
      <c r="A556" s="425" t="s">
        <v>305</v>
      </c>
      <c r="B556" s="416">
        <v>312.96144599999997</v>
      </c>
      <c r="C556" s="415">
        <v>0.65758410138427492</v>
      </c>
      <c r="D556" s="416">
        <v>135.74549099999999</v>
      </c>
      <c r="E556" s="415">
        <v>0.28522387615822231</v>
      </c>
      <c r="F556" s="416">
        <v>27.219176999999998</v>
      </c>
      <c r="G556" s="415">
        <v>5.7192022457502718E-2</v>
      </c>
      <c r="H556" s="416">
        <v>0</v>
      </c>
      <c r="I556" s="415">
        <v>0</v>
      </c>
      <c r="J556" s="416">
        <v>475.92611399999998</v>
      </c>
      <c r="K556" s="415">
        <v>0.13573185326219736</v>
      </c>
      <c r="L556" s="326"/>
    </row>
    <row r="557" spans="1:12" ht="25.5">
      <c r="A557" s="425" t="s">
        <v>304</v>
      </c>
      <c r="B557" s="416">
        <v>1100.0396549999998</v>
      </c>
      <c r="C557" s="415">
        <v>0.72511302954366119</v>
      </c>
      <c r="D557" s="416">
        <v>237.94857500000001</v>
      </c>
      <c r="E557" s="415">
        <v>0.15684853842277813</v>
      </c>
      <c r="F557" s="416">
        <v>98.277601999999987</v>
      </c>
      <c r="G557" s="415">
        <v>6.4781637096988268E-2</v>
      </c>
      <c r="H557" s="416">
        <v>80.793729999999996</v>
      </c>
      <c r="I557" s="415">
        <v>5.3256794936572163E-2</v>
      </c>
      <c r="J557" s="416">
        <v>1517.0595620000001</v>
      </c>
      <c r="K557" s="415">
        <v>0.43265813705569733</v>
      </c>
      <c r="L557" s="326"/>
    </row>
    <row r="558" spans="1:12" ht="25.5">
      <c r="A558" s="425" t="s">
        <v>303</v>
      </c>
      <c r="B558" s="416">
        <v>567.42208700000003</v>
      </c>
      <c r="C558" s="415">
        <v>0.67964080769269597</v>
      </c>
      <c r="D558" s="416">
        <v>139.401129</v>
      </c>
      <c r="E558" s="415">
        <v>0.16697040541326991</v>
      </c>
      <c r="F558" s="416">
        <v>9.5470380000000006</v>
      </c>
      <c r="G558" s="415">
        <v>1.1435149892910074E-2</v>
      </c>
      <c r="H558" s="416">
        <v>118.51499800000002</v>
      </c>
      <c r="I558" s="415">
        <v>0.14195363700112412</v>
      </c>
      <c r="J558" s="416">
        <v>834.88525199999992</v>
      </c>
      <c r="K558" s="415">
        <v>0.23810528395430022</v>
      </c>
      <c r="L558" s="326"/>
    </row>
    <row r="559" spans="1:12" ht="15.75" thickBot="1">
      <c r="A559" s="427" t="s">
        <v>302</v>
      </c>
      <c r="B559" s="416">
        <v>68.266670000000005</v>
      </c>
      <c r="C559" s="415">
        <v>1</v>
      </c>
      <c r="D559" s="416">
        <v>0</v>
      </c>
      <c r="E559" s="415">
        <v>0</v>
      </c>
      <c r="F559" s="416">
        <v>0</v>
      </c>
      <c r="G559" s="415">
        <v>0</v>
      </c>
      <c r="H559" s="416">
        <v>0</v>
      </c>
      <c r="I559" s="415">
        <v>0</v>
      </c>
      <c r="J559" s="416">
        <v>68.266670000000005</v>
      </c>
      <c r="K559" s="415">
        <v>1.9469328037626556E-2</v>
      </c>
      <c r="L559" s="326"/>
    </row>
    <row r="560" spans="1:12" ht="15" customHeight="1">
      <c r="A560" s="426" t="s">
        <v>4</v>
      </c>
      <c r="B560" s="418">
        <v>1941.1341026529178</v>
      </c>
      <c r="C560" s="417">
        <v>0.72616583780385657</v>
      </c>
      <c r="D560" s="418">
        <v>460.03087436127532</v>
      </c>
      <c r="E560" s="417">
        <v>0.17209460430355805</v>
      </c>
      <c r="F560" s="418">
        <v>271.96284255315351</v>
      </c>
      <c r="G560" s="417">
        <v>0.10173955789258576</v>
      </c>
      <c r="H560" s="418">
        <v>0</v>
      </c>
      <c r="I560" s="417">
        <v>0</v>
      </c>
      <c r="J560" s="418">
        <v>2673.1278195673458</v>
      </c>
      <c r="K560" s="417">
        <v>1</v>
      </c>
      <c r="L560" s="326"/>
    </row>
    <row r="561" spans="1:12">
      <c r="A561" s="425" t="s">
        <v>309</v>
      </c>
      <c r="B561" s="416">
        <v>64.839285714285722</v>
      </c>
      <c r="C561" s="415">
        <v>1</v>
      </c>
      <c r="D561" s="416">
        <v>0</v>
      </c>
      <c r="E561" s="415">
        <v>0</v>
      </c>
      <c r="F561" s="416">
        <v>0</v>
      </c>
      <c r="G561" s="415">
        <v>0</v>
      </c>
      <c r="H561" s="416">
        <v>0</v>
      </c>
      <c r="I561" s="415">
        <v>0</v>
      </c>
      <c r="J561" s="416">
        <v>64.839285714285722</v>
      </c>
      <c r="K561" s="415">
        <v>2.4255961589139483E-2</v>
      </c>
      <c r="L561" s="326"/>
    </row>
    <row r="562" spans="1:12">
      <c r="A562" s="425" t="s">
        <v>308</v>
      </c>
      <c r="B562" s="416">
        <v>32.500453965101435</v>
      </c>
      <c r="C562" s="415">
        <v>0.6681898336406501</v>
      </c>
      <c r="D562" s="416">
        <v>5.3796992481203008</v>
      </c>
      <c r="E562" s="415">
        <v>0.11060338878644999</v>
      </c>
      <c r="F562" s="416">
        <v>10.759398496240602</v>
      </c>
      <c r="G562" s="415">
        <v>0.22120677757289997</v>
      </c>
      <c r="H562" s="416">
        <v>0</v>
      </c>
      <c r="I562" s="415">
        <v>0</v>
      </c>
      <c r="J562" s="416">
        <v>48.639551709462339</v>
      </c>
      <c r="K562" s="415">
        <v>1.8195744832484217E-2</v>
      </c>
      <c r="L562" s="326"/>
    </row>
    <row r="563" spans="1:12">
      <c r="A563" s="425" t="s">
        <v>307</v>
      </c>
      <c r="B563" s="416">
        <v>361.36842105263156</v>
      </c>
      <c r="C563" s="415">
        <v>1</v>
      </c>
      <c r="D563" s="416">
        <v>0</v>
      </c>
      <c r="E563" s="415">
        <v>0</v>
      </c>
      <c r="F563" s="416">
        <v>0</v>
      </c>
      <c r="G563" s="415">
        <v>0</v>
      </c>
      <c r="H563" s="416">
        <v>0</v>
      </c>
      <c r="I563" s="415">
        <v>0</v>
      </c>
      <c r="J563" s="416">
        <v>361.36842105263156</v>
      </c>
      <c r="K563" s="415">
        <v>0.13518561230308851</v>
      </c>
      <c r="L563" s="326"/>
    </row>
    <row r="564" spans="1:12">
      <c r="A564" s="425" t="s">
        <v>306</v>
      </c>
      <c r="B564" s="416">
        <v>407.73839285714286</v>
      </c>
      <c r="C564" s="415">
        <v>0.86286828545677507</v>
      </c>
      <c r="D564" s="416">
        <v>0</v>
      </c>
      <c r="E564" s="415">
        <v>0</v>
      </c>
      <c r="F564" s="416">
        <v>64.8</v>
      </c>
      <c r="G564" s="415">
        <v>0.13713171454322493</v>
      </c>
      <c r="H564" s="416">
        <v>0</v>
      </c>
      <c r="I564" s="415">
        <v>0</v>
      </c>
      <c r="J564" s="416">
        <v>472.53839285714287</v>
      </c>
      <c r="K564" s="415">
        <v>0.17677358688131295</v>
      </c>
      <c r="L564" s="326"/>
    </row>
    <row r="565" spans="1:12">
      <c r="A565" s="425" t="s">
        <v>305</v>
      </c>
      <c r="B565" s="416">
        <v>186.51426876211974</v>
      </c>
      <c r="C565" s="415">
        <v>0.50798501755628256</v>
      </c>
      <c r="D565" s="416">
        <v>127.73945761338311</v>
      </c>
      <c r="E565" s="415">
        <v>0.3479075946791223</v>
      </c>
      <c r="F565" s="416">
        <v>52.911174785100286</v>
      </c>
      <c r="G565" s="415">
        <v>0.14410738776459517</v>
      </c>
      <c r="H565" s="416">
        <v>0</v>
      </c>
      <c r="I565" s="415">
        <v>0</v>
      </c>
      <c r="J565" s="416">
        <v>367.16490116060311</v>
      </c>
      <c r="K565" s="415">
        <v>0.13735403839388044</v>
      </c>
      <c r="L565" s="326"/>
    </row>
    <row r="566" spans="1:12" ht="25.5">
      <c r="A566" s="425" t="s">
        <v>304</v>
      </c>
      <c r="B566" s="416">
        <v>263.52139728015521</v>
      </c>
      <c r="C566" s="415">
        <v>0.50898779374364411</v>
      </c>
      <c r="D566" s="416">
        <v>151.71857895631479</v>
      </c>
      <c r="E566" s="415">
        <v>0.29304225603660644</v>
      </c>
      <c r="F566" s="416">
        <v>102.49620627968663</v>
      </c>
      <c r="G566" s="415">
        <v>0.19796995021974945</v>
      </c>
      <c r="H566" s="416">
        <v>0</v>
      </c>
      <c r="I566" s="415">
        <v>0</v>
      </c>
      <c r="J566" s="416">
        <v>517.73618251615665</v>
      </c>
      <c r="K566" s="415">
        <v>0.19368179056995255</v>
      </c>
      <c r="L566" s="326"/>
    </row>
    <row r="567" spans="1:12" ht="25.5">
      <c r="A567" s="425" t="s">
        <v>303</v>
      </c>
      <c r="B567" s="416">
        <v>490.85813302148119</v>
      </c>
      <c r="C567" s="415">
        <v>0.69423659354996825</v>
      </c>
      <c r="D567" s="416">
        <v>175.19313854345702</v>
      </c>
      <c r="E567" s="415">
        <v>0.24778134359732534</v>
      </c>
      <c r="F567" s="416">
        <v>40.996062992125985</v>
      </c>
      <c r="G567" s="415">
        <v>5.7982062852706039E-2</v>
      </c>
      <c r="H567" s="416">
        <v>0</v>
      </c>
      <c r="I567" s="415">
        <v>0</v>
      </c>
      <c r="J567" s="416">
        <v>707.04733455706446</v>
      </c>
      <c r="K567" s="415">
        <v>0.26450188029972405</v>
      </c>
      <c r="L567" s="326"/>
    </row>
    <row r="568" spans="1:12" ht="15.75" thickBot="1">
      <c r="A568" s="427" t="s">
        <v>302</v>
      </c>
      <c r="B568" s="416">
        <v>133.79374999999999</v>
      </c>
      <c r="C568" s="415">
        <v>1</v>
      </c>
      <c r="D568" s="416">
        <v>0</v>
      </c>
      <c r="E568" s="415">
        <v>0</v>
      </c>
      <c r="F568" s="416">
        <v>0</v>
      </c>
      <c r="G568" s="415">
        <v>0</v>
      </c>
      <c r="H568" s="416">
        <v>0</v>
      </c>
      <c r="I568" s="415">
        <v>0</v>
      </c>
      <c r="J568" s="416">
        <v>133.79374999999999</v>
      </c>
      <c r="K568" s="415">
        <v>5.0051385130418097E-2</v>
      </c>
      <c r="L568" s="326"/>
    </row>
    <row r="569" spans="1:12" ht="15.75" customHeight="1">
      <c r="A569" s="426" t="s">
        <v>3</v>
      </c>
      <c r="B569" s="418">
        <v>1156.5872059548192</v>
      </c>
      <c r="C569" s="417">
        <v>0.67914260023225936</v>
      </c>
      <c r="D569" s="418">
        <v>437.17795981671077</v>
      </c>
      <c r="E569" s="417">
        <v>0.25670885417502487</v>
      </c>
      <c r="F569" s="418">
        <v>109.24566812296993</v>
      </c>
      <c r="G569" s="417">
        <v>6.4148545592715586E-2</v>
      </c>
      <c r="H569" s="418">
        <v>0</v>
      </c>
      <c r="I569" s="417">
        <v>0</v>
      </c>
      <c r="J569" s="418">
        <v>1703.0108338945004</v>
      </c>
      <c r="K569" s="417">
        <v>1</v>
      </c>
      <c r="L569" s="326"/>
    </row>
    <row r="570" spans="1:12">
      <c r="A570" s="425" t="s">
        <v>309</v>
      </c>
      <c r="B570" s="416">
        <v>11.705882352941176</v>
      </c>
      <c r="C570" s="415">
        <v>1</v>
      </c>
      <c r="D570" s="416">
        <v>0</v>
      </c>
      <c r="E570" s="415">
        <v>0</v>
      </c>
      <c r="F570" s="416">
        <v>0</v>
      </c>
      <c r="G570" s="415">
        <v>0</v>
      </c>
      <c r="H570" s="416">
        <v>0</v>
      </c>
      <c r="I570" s="415">
        <v>0</v>
      </c>
      <c r="J570" s="416">
        <v>11.705882352941176</v>
      </c>
      <c r="K570" s="415">
        <v>6.8736393920476625E-3</v>
      </c>
      <c r="L570" s="326"/>
    </row>
    <row r="571" spans="1:12">
      <c r="A571" s="425" t="s">
        <v>308</v>
      </c>
      <c r="B571" s="416">
        <v>114.18334286258815</v>
      </c>
      <c r="C571" s="415">
        <v>1</v>
      </c>
      <c r="D571" s="416">
        <v>0</v>
      </c>
      <c r="E571" s="415">
        <v>0</v>
      </c>
      <c r="F571" s="416">
        <v>0</v>
      </c>
      <c r="G571" s="415">
        <v>0</v>
      </c>
      <c r="H571" s="416">
        <v>0</v>
      </c>
      <c r="I571" s="415">
        <v>0</v>
      </c>
      <c r="J571" s="416">
        <v>114.18334286258815</v>
      </c>
      <c r="K571" s="415">
        <v>6.7047925115937157E-2</v>
      </c>
      <c r="L571" s="326"/>
    </row>
    <row r="572" spans="1:12">
      <c r="A572" s="425" t="s">
        <v>307</v>
      </c>
      <c r="B572" s="416">
        <v>286.9921875</v>
      </c>
      <c r="C572" s="415">
        <v>1</v>
      </c>
      <c r="D572" s="416">
        <v>0</v>
      </c>
      <c r="E572" s="415">
        <v>0</v>
      </c>
      <c r="F572" s="416">
        <v>0</v>
      </c>
      <c r="G572" s="415">
        <v>0</v>
      </c>
      <c r="H572" s="416">
        <v>0</v>
      </c>
      <c r="I572" s="415">
        <v>0</v>
      </c>
      <c r="J572" s="416">
        <v>286.9921875</v>
      </c>
      <c r="K572" s="415">
        <v>0.16852047079682808</v>
      </c>
      <c r="L572" s="326"/>
    </row>
    <row r="573" spans="1:12">
      <c r="A573" s="425" t="s">
        <v>306</v>
      </c>
      <c r="B573" s="416">
        <v>90.513770226537218</v>
      </c>
      <c r="C573" s="415">
        <v>0.49874065499492637</v>
      </c>
      <c r="D573" s="416">
        <v>45.485436893203882</v>
      </c>
      <c r="E573" s="415">
        <v>0.25062967250253682</v>
      </c>
      <c r="F573" s="416">
        <v>45.485436893203882</v>
      </c>
      <c r="G573" s="415">
        <v>0.25062967250253682</v>
      </c>
      <c r="H573" s="416">
        <v>0</v>
      </c>
      <c r="I573" s="415">
        <v>0</v>
      </c>
      <c r="J573" s="416">
        <v>181.48464401294498</v>
      </c>
      <c r="K573" s="415">
        <v>0.10656693451439767</v>
      </c>
      <c r="L573" s="326"/>
    </row>
    <row r="574" spans="1:12">
      <c r="A574" s="425" t="s">
        <v>305</v>
      </c>
      <c r="B574" s="416">
        <v>275.72560975609753</v>
      </c>
      <c r="C574" s="415">
        <v>0.56215663231126678</v>
      </c>
      <c r="D574" s="416">
        <v>214.75265538945712</v>
      </c>
      <c r="E574" s="415">
        <v>0.43784336768873339</v>
      </c>
      <c r="F574" s="416">
        <v>0</v>
      </c>
      <c r="G574" s="415">
        <v>0</v>
      </c>
      <c r="H574" s="416">
        <v>0</v>
      </c>
      <c r="I574" s="415">
        <v>0</v>
      </c>
      <c r="J574" s="416">
        <v>490.47826514555459</v>
      </c>
      <c r="K574" s="415">
        <v>0.2880065442824653</v>
      </c>
      <c r="L574" s="326"/>
    </row>
    <row r="575" spans="1:12" ht="25.5">
      <c r="A575" s="425" t="s">
        <v>304</v>
      </c>
      <c r="B575" s="416">
        <v>115.30902136398554</v>
      </c>
      <c r="C575" s="415">
        <v>0.5002641734723331</v>
      </c>
      <c r="D575" s="416">
        <v>104.2511371324486</v>
      </c>
      <c r="E575" s="415">
        <v>0.45228992783217076</v>
      </c>
      <c r="F575" s="416">
        <v>10.936102236421725</v>
      </c>
      <c r="G575" s="415">
        <v>4.744589869549605E-2</v>
      </c>
      <c r="H575" s="416">
        <v>0</v>
      </c>
      <c r="I575" s="415">
        <v>0</v>
      </c>
      <c r="J575" s="416">
        <v>230.49626073285589</v>
      </c>
      <c r="K575" s="415">
        <v>0.13534632672051156</v>
      </c>
      <c r="L575" s="326"/>
    </row>
    <row r="576" spans="1:12" ht="25.5">
      <c r="A576" s="425" t="s">
        <v>303</v>
      </c>
      <c r="B576" s="416">
        <v>210.29980675335062</v>
      </c>
      <c r="C576" s="415">
        <v>0.62624143742237937</v>
      </c>
      <c r="D576" s="416">
        <v>72.688730401601291</v>
      </c>
      <c r="E576" s="415">
        <v>0.21645619039724268</v>
      </c>
      <c r="F576" s="416">
        <v>52.824128993344317</v>
      </c>
      <c r="G576" s="415">
        <v>0.15730237218037801</v>
      </c>
      <c r="H576" s="416">
        <v>0</v>
      </c>
      <c r="I576" s="415">
        <v>0</v>
      </c>
      <c r="J576" s="416">
        <v>335.81266614829622</v>
      </c>
      <c r="K576" s="415">
        <v>0.19718762762087011</v>
      </c>
      <c r="L576" s="326"/>
    </row>
    <row r="577" spans="1:16" ht="15.75" thickBot="1">
      <c r="A577" s="424" t="s">
        <v>302</v>
      </c>
      <c r="B577" s="422">
        <v>51.857585139318886</v>
      </c>
      <c r="C577" s="420">
        <v>1</v>
      </c>
      <c r="D577" s="422">
        <v>0</v>
      </c>
      <c r="E577" s="420">
        <v>0</v>
      </c>
      <c r="F577" s="422">
        <v>0</v>
      </c>
      <c r="G577" s="420">
        <v>0</v>
      </c>
      <c r="H577" s="422">
        <v>0</v>
      </c>
      <c r="I577" s="420">
        <v>0</v>
      </c>
      <c r="J577" s="422">
        <v>51.857585139318886</v>
      </c>
      <c r="K577" s="420">
        <v>3.0450531556942172E-2</v>
      </c>
      <c r="L577" s="326"/>
    </row>
    <row r="583" spans="1:16" ht="15.75" thickBot="1"/>
    <row r="584" spans="1:16" ht="15" customHeight="1">
      <c r="A584" s="830" t="s">
        <v>310</v>
      </c>
      <c r="B584" s="849" t="s">
        <v>326</v>
      </c>
      <c r="C584" s="850"/>
      <c r="D584" s="850"/>
      <c r="E584" s="850"/>
      <c r="F584" s="850"/>
      <c r="G584" s="850"/>
      <c r="H584" s="850"/>
      <c r="I584" s="850"/>
      <c r="J584" s="850"/>
      <c r="K584" s="850"/>
      <c r="L584" s="850"/>
      <c r="M584" s="850"/>
      <c r="N584" s="850"/>
      <c r="O584" s="851"/>
      <c r="P584" s="397"/>
    </row>
    <row r="585" spans="1:16" ht="44.25" customHeight="1">
      <c r="A585" s="831"/>
      <c r="B585" s="848" t="s">
        <v>171</v>
      </c>
      <c r="C585" s="810"/>
      <c r="D585" s="781" t="s">
        <v>170</v>
      </c>
      <c r="E585" s="810"/>
      <c r="F585" s="781" t="s">
        <v>169</v>
      </c>
      <c r="G585" s="810"/>
      <c r="H585" s="781" t="s">
        <v>168</v>
      </c>
      <c r="I585" s="810"/>
      <c r="J585" s="781" t="s">
        <v>167</v>
      </c>
      <c r="K585" s="810"/>
      <c r="L585" s="781" t="s">
        <v>166</v>
      </c>
      <c r="M585" s="810"/>
      <c r="N585" s="836" t="s">
        <v>9</v>
      </c>
      <c r="O585" s="852"/>
      <c r="P585" s="397"/>
    </row>
    <row r="586" spans="1:16" ht="15.75" customHeight="1" thickBot="1">
      <c r="A586" s="832"/>
      <c r="B586" s="428" t="s">
        <v>7</v>
      </c>
      <c r="C586" s="428" t="s">
        <v>8</v>
      </c>
      <c r="D586" s="428" t="s">
        <v>7</v>
      </c>
      <c r="E586" s="428" t="s">
        <v>8</v>
      </c>
      <c r="F586" s="428" t="s">
        <v>7</v>
      </c>
      <c r="G586" s="428" t="s">
        <v>8</v>
      </c>
      <c r="H586" s="428" t="s">
        <v>7</v>
      </c>
      <c r="I586" s="428" t="s">
        <v>8</v>
      </c>
      <c r="J586" s="428" t="s">
        <v>7</v>
      </c>
      <c r="K586" s="428" t="s">
        <v>8</v>
      </c>
      <c r="L586" s="428" t="s">
        <v>7</v>
      </c>
      <c r="M586" s="428" t="s">
        <v>8</v>
      </c>
      <c r="N586" s="428" t="s">
        <v>7</v>
      </c>
      <c r="O586" s="428" t="s">
        <v>6</v>
      </c>
      <c r="P586" s="397"/>
    </row>
    <row r="587" spans="1:16" ht="15.75" customHeight="1">
      <c r="A587" s="426" t="s">
        <v>5</v>
      </c>
      <c r="B587" s="418">
        <v>193751.94061590548</v>
      </c>
      <c r="C587" s="417">
        <v>0.75669868598748036</v>
      </c>
      <c r="D587" s="418">
        <v>32162.559546300072</v>
      </c>
      <c r="E587" s="417">
        <v>0.125610956304824</v>
      </c>
      <c r="F587" s="418">
        <v>21332.151026000058</v>
      </c>
      <c r="G587" s="417">
        <v>8.3312768890716316E-2</v>
      </c>
      <c r="H587" s="418">
        <v>5485.6017955000025</v>
      </c>
      <c r="I587" s="417">
        <v>2.1424031456460445E-2</v>
      </c>
      <c r="J587" s="418">
        <v>618.23741299999983</v>
      </c>
      <c r="K587" s="417">
        <v>2.4145277541906328E-3</v>
      </c>
      <c r="L587" s="418">
        <v>2698.5079745000007</v>
      </c>
      <c r="M587" s="417">
        <v>1.0539029606309189E-2</v>
      </c>
      <c r="N587" s="418">
        <v>256048.9983712105</v>
      </c>
      <c r="O587" s="417">
        <v>1</v>
      </c>
      <c r="P587" s="397"/>
    </row>
    <row r="588" spans="1:16">
      <c r="A588" s="425" t="s">
        <v>309</v>
      </c>
      <c r="B588" s="416">
        <v>3779.6592113999986</v>
      </c>
      <c r="C588" s="415">
        <v>0.66590188396796723</v>
      </c>
      <c r="D588" s="416">
        <v>707.66487180000024</v>
      </c>
      <c r="E588" s="415">
        <v>0.12467668247133394</v>
      </c>
      <c r="F588" s="416">
        <v>670.30346100000008</v>
      </c>
      <c r="G588" s="415">
        <v>0.11809433405103656</v>
      </c>
      <c r="H588" s="416">
        <v>309.42347300000006</v>
      </c>
      <c r="I588" s="415">
        <v>5.451435224454837E-2</v>
      </c>
      <c r="J588" s="416">
        <v>0</v>
      </c>
      <c r="K588" s="415">
        <v>0</v>
      </c>
      <c r="L588" s="416">
        <v>208.94916000000001</v>
      </c>
      <c r="M588" s="415">
        <v>3.6812747265112931E-2</v>
      </c>
      <c r="N588" s="416">
        <v>5676.0001772000051</v>
      </c>
      <c r="O588" s="415">
        <v>2.2167632809760682E-2</v>
      </c>
      <c r="P588" s="397"/>
    </row>
    <row r="589" spans="1:16">
      <c r="A589" s="425" t="s">
        <v>308</v>
      </c>
      <c r="B589" s="416">
        <v>7714.4672420000061</v>
      </c>
      <c r="C589" s="415">
        <v>0.73366307474988557</v>
      </c>
      <c r="D589" s="416">
        <v>1159.8942640000005</v>
      </c>
      <c r="E589" s="415">
        <v>0.11030853659965482</v>
      </c>
      <c r="F589" s="416">
        <v>1334.4419080000005</v>
      </c>
      <c r="G589" s="415">
        <v>0.12690840761734401</v>
      </c>
      <c r="H589" s="416">
        <v>188.26677600000002</v>
      </c>
      <c r="I589" s="415">
        <v>1.7904591129950628E-2</v>
      </c>
      <c r="J589" s="416">
        <v>0</v>
      </c>
      <c r="K589" s="415">
        <v>0</v>
      </c>
      <c r="L589" s="416">
        <v>117.92982500000002</v>
      </c>
      <c r="M589" s="415">
        <v>1.1215389903163954E-2</v>
      </c>
      <c r="N589" s="416">
        <v>10515.000015000018</v>
      </c>
      <c r="O589" s="415">
        <v>4.1066358712154596E-2</v>
      </c>
      <c r="P589" s="397"/>
    </row>
    <row r="590" spans="1:16">
      <c r="A590" s="425" t="s">
        <v>307</v>
      </c>
      <c r="B590" s="416">
        <v>15223.101496999991</v>
      </c>
      <c r="C590" s="415">
        <v>0.7896618563755774</v>
      </c>
      <c r="D590" s="416">
        <v>2396.9152619999995</v>
      </c>
      <c r="E590" s="415">
        <v>0.12433422688135379</v>
      </c>
      <c r="F590" s="416">
        <v>966.93764800000008</v>
      </c>
      <c r="G590" s="415">
        <v>5.0157569945230136E-2</v>
      </c>
      <c r="H590" s="416">
        <v>628.76353199999994</v>
      </c>
      <c r="I590" s="415">
        <v>3.2615599258681412E-2</v>
      </c>
      <c r="J590" s="416">
        <v>0</v>
      </c>
      <c r="K590" s="415">
        <v>0</v>
      </c>
      <c r="L590" s="416">
        <v>62.282352000000003</v>
      </c>
      <c r="M590" s="415">
        <v>3.2307475391561589E-3</v>
      </c>
      <c r="N590" s="416">
        <v>19278.000291000011</v>
      </c>
      <c r="O590" s="415">
        <v>7.5290278085960199E-2</v>
      </c>
      <c r="P590" s="397"/>
    </row>
    <row r="591" spans="1:16">
      <c r="A591" s="425" t="s">
        <v>306</v>
      </c>
      <c r="B591" s="416">
        <v>17052.150625499984</v>
      </c>
      <c r="C591" s="415">
        <v>0.84828131046104849</v>
      </c>
      <c r="D591" s="416">
        <v>1361.3772275000003</v>
      </c>
      <c r="E591" s="415">
        <v>6.7723472771146043E-2</v>
      </c>
      <c r="F591" s="416">
        <v>1110.6557840000003</v>
      </c>
      <c r="G591" s="415">
        <v>5.525100995259586E-2</v>
      </c>
      <c r="H591" s="416">
        <v>420.75664449999999</v>
      </c>
      <c r="I591" s="415">
        <v>2.0931084038626261E-2</v>
      </c>
      <c r="J591" s="416">
        <v>16.238094</v>
      </c>
      <c r="K591" s="415">
        <v>8.0778500965803012E-4</v>
      </c>
      <c r="L591" s="416">
        <v>140.82129749999999</v>
      </c>
      <c r="M591" s="415">
        <v>7.0053377669259589E-3</v>
      </c>
      <c r="N591" s="416">
        <v>20101.999672999973</v>
      </c>
      <c r="O591" s="415">
        <v>7.8508409721864347E-2</v>
      </c>
      <c r="P591" s="397"/>
    </row>
    <row r="592" spans="1:16">
      <c r="A592" s="425" t="s">
        <v>305</v>
      </c>
      <c r="B592" s="416">
        <v>25611.300810000092</v>
      </c>
      <c r="C592" s="415">
        <v>0.80721448351253799</v>
      </c>
      <c r="D592" s="416">
        <v>3463.4505299999987</v>
      </c>
      <c r="E592" s="415">
        <v>0.10916069634594888</v>
      </c>
      <c r="F592" s="416">
        <v>1729.8452550000002</v>
      </c>
      <c r="G592" s="415">
        <v>5.4521094200971766E-2</v>
      </c>
      <c r="H592" s="416">
        <v>613.29080699999997</v>
      </c>
      <c r="I592" s="415">
        <v>1.9329639899516325E-2</v>
      </c>
      <c r="J592" s="416">
        <v>108.526314</v>
      </c>
      <c r="K592" s="415">
        <v>3.4205217904755537E-3</v>
      </c>
      <c r="L592" s="416">
        <v>201.58588399999999</v>
      </c>
      <c r="M592" s="415">
        <v>6.3535642505492011E-3</v>
      </c>
      <c r="N592" s="416">
        <v>31727.999600000101</v>
      </c>
      <c r="O592" s="415">
        <v>0.12391378135368453</v>
      </c>
      <c r="P592" s="397"/>
    </row>
    <row r="593" spans="1:16" ht="25.5">
      <c r="A593" s="425" t="s">
        <v>304</v>
      </c>
      <c r="B593" s="416">
        <v>72359.87446699891</v>
      </c>
      <c r="C593" s="415">
        <v>0.75902231350619431</v>
      </c>
      <c r="D593" s="416">
        <v>12646.814172999982</v>
      </c>
      <c r="E593" s="415">
        <v>0.13265935330569537</v>
      </c>
      <c r="F593" s="416">
        <v>6569.611432000027</v>
      </c>
      <c r="G593" s="415">
        <v>6.8912248738457693E-2</v>
      </c>
      <c r="H593" s="416">
        <v>2310.5081779999996</v>
      </c>
      <c r="I593" s="415">
        <v>2.4236184426223155E-2</v>
      </c>
      <c r="J593" s="416">
        <v>403.24671799999993</v>
      </c>
      <c r="K593" s="415">
        <v>4.2298754532766689E-3</v>
      </c>
      <c r="L593" s="416">
        <v>1042.9453659999997</v>
      </c>
      <c r="M593" s="415">
        <v>1.0940024570149262E-2</v>
      </c>
      <c r="N593" s="416">
        <v>95333.000333999255</v>
      </c>
      <c r="O593" s="415">
        <v>0.37232326992269249</v>
      </c>
      <c r="P593" s="397"/>
    </row>
    <row r="594" spans="1:16" ht="25.5">
      <c r="A594" s="425" t="s">
        <v>303</v>
      </c>
      <c r="B594" s="416">
        <v>49135.311755000628</v>
      </c>
      <c r="C594" s="415">
        <v>0.71264304991716354</v>
      </c>
      <c r="D594" s="416">
        <v>9259.3932040000109</v>
      </c>
      <c r="E594" s="415">
        <v>0.13429531588571358</v>
      </c>
      <c r="F594" s="416">
        <v>8661.0138640000023</v>
      </c>
      <c r="G594" s="415">
        <v>0.12561661084378156</v>
      </c>
      <c r="H594" s="416">
        <v>878.05904499999997</v>
      </c>
      <c r="I594" s="415">
        <v>1.2735091189738274E-2</v>
      </c>
      <c r="J594" s="416">
        <v>90.226286999999999</v>
      </c>
      <c r="K594" s="415">
        <v>1.3086135826509218E-3</v>
      </c>
      <c r="L594" s="416">
        <v>923.99408999999969</v>
      </c>
      <c r="M594" s="415">
        <v>1.3401318580949451E-2</v>
      </c>
      <c r="N594" s="416">
        <v>68947.998245000825</v>
      </c>
      <c r="O594" s="415">
        <v>0.2692765786376658</v>
      </c>
      <c r="P594" s="397"/>
    </row>
    <row r="595" spans="1:16" ht="15.75" thickBot="1">
      <c r="A595" s="427" t="s">
        <v>302</v>
      </c>
      <c r="B595" s="416">
        <v>2876.0750079999998</v>
      </c>
      <c r="C595" s="415">
        <v>0.64356119597936834</v>
      </c>
      <c r="D595" s="416">
        <v>1167.0500139999999</v>
      </c>
      <c r="E595" s="415">
        <v>0.26114343356429548</v>
      </c>
      <c r="F595" s="416">
        <v>289.34167400000001</v>
      </c>
      <c r="G595" s="415">
        <v>6.4744164616068509E-2</v>
      </c>
      <c r="H595" s="416">
        <v>136.53334000000001</v>
      </c>
      <c r="I595" s="415">
        <v>3.055120584026776E-2</v>
      </c>
      <c r="J595" s="416">
        <v>0</v>
      </c>
      <c r="K595" s="415">
        <v>0</v>
      </c>
      <c r="L595" s="416">
        <v>0</v>
      </c>
      <c r="M595" s="415">
        <v>0</v>
      </c>
      <c r="N595" s="416">
        <v>4469.0000359999995</v>
      </c>
      <c r="O595" s="415">
        <v>1.7453690756177091E-2</v>
      </c>
      <c r="P595" s="397"/>
    </row>
    <row r="596" spans="1:16" ht="15" customHeight="1">
      <c r="A596" s="426" t="s">
        <v>4</v>
      </c>
      <c r="B596" s="418">
        <v>182936.69073943628</v>
      </c>
      <c r="C596" s="417">
        <v>0.81440568206456998</v>
      </c>
      <c r="D596" s="418">
        <v>24117.500273923877</v>
      </c>
      <c r="E596" s="417">
        <v>0.10736735851559416</v>
      </c>
      <c r="F596" s="418">
        <v>8287.8654372656147</v>
      </c>
      <c r="G596" s="417">
        <v>3.6896287327671806E-2</v>
      </c>
      <c r="H596" s="418">
        <v>4898.7607246463658</v>
      </c>
      <c r="I596" s="417">
        <v>2.1808520494717269E-2</v>
      </c>
      <c r="J596" s="418">
        <v>524.26554813177165</v>
      </c>
      <c r="K596" s="417">
        <v>2.3339486441096365E-3</v>
      </c>
      <c r="L596" s="418">
        <v>3860.9172765963026</v>
      </c>
      <c r="M596" s="417">
        <v>1.71882029533371E-2</v>
      </c>
      <c r="N596" s="418">
        <v>224626.0000000002</v>
      </c>
      <c r="O596" s="417">
        <v>1</v>
      </c>
      <c r="P596" s="397"/>
    </row>
    <row r="597" spans="1:16">
      <c r="A597" s="425" t="s">
        <v>309</v>
      </c>
      <c r="B597" s="416">
        <v>5823.9680451127761</v>
      </c>
      <c r="C597" s="415">
        <v>0.79682145917537095</v>
      </c>
      <c r="D597" s="416">
        <v>1011.6390977443606</v>
      </c>
      <c r="E597" s="415">
        <v>0.13841005578661408</v>
      </c>
      <c r="F597" s="416">
        <v>274.19642857142861</v>
      </c>
      <c r="G597" s="415">
        <v>3.7514903348122741E-2</v>
      </c>
      <c r="H597" s="416">
        <v>159.35714285714286</v>
      </c>
      <c r="I597" s="415">
        <v>2.1802865351914509E-2</v>
      </c>
      <c r="J597" s="416">
        <v>0</v>
      </c>
      <c r="K597" s="415">
        <v>0</v>
      </c>
      <c r="L597" s="416">
        <v>39.839285714285715</v>
      </c>
      <c r="M597" s="415">
        <v>5.4507163379786273E-3</v>
      </c>
      <c r="N597" s="416">
        <v>7308.9999999999864</v>
      </c>
      <c r="O597" s="415">
        <v>1</v>
      </c>
      <c r="P597" s="397"/>
    </row>
    <row r="598" spans="1:16">
      <c r="A598" s="425" t="s">
        <v>308</v>
      </c>
      <c r="B598" s="416">
        <v>8161.6510024621493</v>
      </c>
      <c r="C598" s="415">
        <v>0.85239174960440456</v>
      </c>
      <c r="D598" s="416">
        <v>821.33453597703635</v>
      </c>
      <c r="E598" s="415">
        <v>8.5779063809612394E-2</v>
      </c>
      <c r="F598" s="416">
        <v>257.87224338778185</v>
      </c>
      <c r="G598" s="415">
        <v>2.6931826985669201E-2</v>
      </c>
      <c r="H598" s="416">
        <v>67.540005674563773</v>
      </c>
      <c r="I598" s="415">
        <v>7.0537864934270451E-3</v>
      </c>
      <c r="J598" s="416">
        <v>0</v>
      </c>
      <c r="K598" s="415">
        <v>0</v>
      </c>
      <c r="L598" s="416">
        <v>266.60221249845927</v>
      </c>
      <c r="M598" s="415">
        <v>2.7843573106888776E-2</v>
      </c>
      <c r="N598" s="416">
        <v>9574.9999999999727</v>
      </c>
      <c r="O598" s="415">
        <v>1</v>
      </c>
      <c r="P598" s="397"/>
    </row>
    <row r="599" spans="1:16">
      <c r="A599" s="425" t="s">
        <v>307</v>
      </c>
      <c r="B599" s="416">
        <v>15680.89586870405</v>
      </c>
      <c r="C599" s="415">
        <v>0.79196443781333459</v>
      </c>
      <c r="D599" s="416">
        <v>2567.3640993980553</v>
      </c>
      <c r="E599" s="415">
        <v>0.12966485350495208</v>
      </c>
      <c r="F599" s="416">
        <v>474.91068580542264</v>
      </c>
      <c r="G599" s="415">
        <v>2.3985388171991001E-2</v>
      </c>
      <c r="H599" s="416">
        <v>481.82456140350877</v>
      </c>
      <c r="I599" s="415">
        <v>2.4334573808257976E-2</v>
      </c>
      <c r="J599" s="416">
        <v>120.45614035087719</v>
      </c>
      <c r="K599" s="415">
        <v>6.083643452064494E-3</v>
      </c>
      <c r="L599" s="416">
        <v>474.54864433811804</v>
      </c>
      <c r="M599" s="415">
        <v>2.3967103249399862E-2</v>
      </c>
      <c r="N599" s="416">
        <v>19800.000000000033</v>
      </c>
      <c r="O599" s="415">
        <v>1</v>
      </c>
      <c r="P599" s="397"/>
    </row>
    <row r="600" spans="1:16">
      <c r="A600" s="425" t="s">
        <v>306</v>
      </c>
      <c r="B600" s="416">
        <v>16643.063274073469</v>
      </c>
      <c r="C600" s="415">
        <v>0.83801929879524362</v>
      </c>
      <c r="D600" s="416">
        <v>915.13307530883742</v>
      </c>
      <c r="E600" s="415">
        <v>4.6079208223003085E-2</v>
      </c>
      <c r="F600" s="416">
        <v>1314.8795850490967</v>
      </c>
      <c r="G600" s="415">
        <v>6.6207431271354589E-2</v>
      </c>
      <c r="H600" s="416">
        <v>412.00344076655051</v>
      </c>
      <c r="I600" s="415">
        <v>2.0745389766694475E-2</v>
      </c>
      <c r="J600" s="416">
        <v>183.82678571428571</v>
      </c>
      <c r="K600" s="415">
        <v>9.256132211192673E-3</v>
      </c>
      <c r="L600" s="416">
        <v>391.09383908774146</v>
      </c>
      <c r="M600" s="415">
        <v>1.9692539732514759E-2</v>
      </c>
      <c r="N600" s="416">
        <v>19859.999999999916</v>
      </c>
      <c r="O600" s="415">
        <v>1</v>
      </c>
      <c r="P600" s="397"/>
    </row>
    <row r="601" spans="1:16">
      <c r="A601" s="425" t="s">
        <v>305</v>
      </c>
      <c r="B601" s="416">
        <v>22631.949455489226</v>
      </c>
      <c r="C601" s="415">
        <v>0.79614273245467571</v>
      </c>
      <c r="D601" s="416">
        <v>3764.042727519161</v>
      </c>
      <c r="E601" s="415">
        <v>0.13241083222004202</v>
      </c>
      <c r="F601" s="416">
        <v>1133.1198051747897</v>
      </c>
      <c r="G601" s="415">
        <v>3.9860688963829521E-2</v>
      </c>
      <c r="H601" s="416">
        <v>324.62926487711587</v>
      </c>
      <c r="I601" s="415">
        <v>1.1419751112573033E-2</v>
      </c>
      <c r="J601" s="416">
        <v>5.8636363636363633</v>
      </c>
      <c r="K601" s="415">
        <v>2.0626996741254168E-4</v>
      </c>
      <c r="L601" s="416">
        <v>567.39511057616983</v>
      </c>
      <c r="M601" s="415">
        <v>1.9959725281463604E-2</v>
      </c>
      <c r="N601" s="416">
        <v>28427.0000000002</v>
      </c>
      <c r="O601" s="415">
        <v>1</v>
      </c>
      <c r="P601" s="397"/>
    </row>
    <row r="602" spans="1:16" ht="25.5">
      <c r="A602" s="425" t="s">
        <v>304</v>
      </c>
      <c r="B602" s="416">
        <v>62745.717565996158</v>
      </c>
      <c r="C602" s="415">
        <v>0.8146149635312796</v>
      </c>
      <c r="D602" s="416">
        <v>8506.0257614069687</v>
      </c>
      <c r="E602" s="415">
        <v>0.11043201248175341</v>
      </c>
      <c r="F602" s="416">
        <v>1660.11907709555</v>
      </c>
      <c r="G602" s="415">
        <v>2.155299029010798E-2</v>
      </c>
      <c r="H602" s="416">
        <v>2549.2733800032356</v>
      </c>
      <c r="I602" s="415">
        <v>3.3096700811467213E-2</v>
      </c>
      <c r="J602" s="416">
        <v>161.62986715529087</v>
      </c>
      <c r="K602" s="415">
        <v>2.0984078825743921E-3</v>
      </c>
      <c r="L602" s="416">
        <v>1402.2343483425914</v>
      </c>
      <c r="M602" s="415">
        <v>1.8204925002825133E-2</v>
      </c>
      <c r="N602" s="416">
        <v>77024.9999999992</v>
      </c>
      <c r="O602" s="415">
        <v>1</v>
      </c>
      <c r="P602" s="397"/>
    </row>
    <row r="603" spans="1:16" ht="25.5">
      <c r="A603" s="425" t="s">
        <v>303</v>
      </c>
      <c r="B603" s="416">
        <v>48507.91933712201</v>
      </c>
      <c r="C603" s="415">
        <v>0.8262573982612601</v>
      </c>
      <c r="D603" s="416">
        <v>6183.4019487915766</v>
      </c>
      <c r="E603" s="415">
        <v>0.10532469082223177</v>
      </c>
      <c r="F603" s="416">
        <v>2497.0845764672649</v>
      </c>
      <c r="G603" s="415">
        <v>4.2533974525912441E-2</v>
      </c>
      <c r="H603" s="416">
        <v>747.90118303250551</v>
      </c>
      <c r="I603" s="415">
        <v>1.2739340175657598E-2</v>
      </c>
      <c r="J603" s="416">
        <v>52.489118547681542</v>
      </c>
      <c r="K603" s="415">
        <v>8.9407097069703605E-4</v>
      </c>
      <c r="L603" s="416">
        <v>719.20383603893629</v>
      </c>
      <c r="M603" s="415">
        <v>1.2250525244241618E-2</v>
      </c>
      <c r="N603" s="416">
        <v>58707.999999999942</v>
      </c>
      <c r="O603" s="415">
        <v>1</v>
      </c>
      <c r="P603" s="397"/>
    </row>
    <row r="604" spans="1:16" ht="15.75" thickBot="1">
      <c r="A604" s="427" t="s">
        <v>302</v>
      </c>
      <c r="B604" s="416">
        <v>2741.5261904761901</v>
      </c>
      <c r="C604" s="415">
        <v>0.69901228721983444</v>
      </c>
      <c r="D604" s="416">
        <v>348.55902777777777</v>
      </c>
      <c r="E604" s="415">
        <v>8.8872776077964774E-2</v>
      </c>
      <c r="F604" s="416">
        <v>675.68303571428578</v>
      </c>
      <c r="G604" s="415">
        <v>0.17228022328258186</v>
      </c>
      <c r="H604" s="416">
        <v>156.23174603174601</v>
      </c>
      <c r="I604" s="415">
        <v>3.9834713419619083E-2</v>
      </c>
      <c r="J604" s="416">
        <v>0</v>
      </c>
      <c r="K604" s="415">
        <v>0</v>
      </c>
      <c r="L604" s="416">
        <v>0</v>
      </c>
      <c r="M604" s="415">
        <v>0</v>
      </c>
      <c r="N604" s="416">
        <v>3921.9999999999991</v>
      </c>
      <c r="O604" s="415">
        <v>1</v>
      </c>
      <c r="P604" s="397"/>
    </row>
    <row r="605" spans="1:16" ht="15.75" customHeight="1">
      <c r="A605" s="426" t="s">
        <v>3</v>
      </c>
      <c r="B605" s="418">
        <v>128588.32995326424</v>
      </c>
      <c r="C605" s="417">
        <v>0.8627715189328049</v>
      </c>
      <c r="D605" s="418">
        <v>11058.478899673764</v>
      </c>
      <c r="E605" s="417">
        <v>7.419756241352217E-2</v>
      </c>
      <c r="F605" s="418">
        <v>3357.6478211691965</v>
      </c>
      <c r="G605" s="417">
        <v>2.2528350059172943E-2</v>
      </c>
      <c r="H605" s="418">
        <v>3193.5818047546554</v>
      </c>
      <c r="I605" s="417">
        <v>2.1427538762854876E-2</v>
      </c>
      <c r="J605" s="418">
        <v>381.65155014082103</v>
      </c>
      <c r="K605" s="417">
        <v>2.5607151732799753E-3</v>
      </c>
      <c r="L605" s="418">
        <v>2461.3099709956509</v>
      </c>
      <c r="M605" s="417">
        <v>1.6514314658353402E-2</v>
      </c>
      <c r="N605" s="418">
        <v>149041.00000000009</v>
      </c>
      <c r="O605" s="417">
        <v>1</v>
      </c>
      <c r="P605" s="397"/>
    </row>
    <row r="606" spans="1:16">
      <c r="A606" s="425" t="s">
        <v>309</v>
      </c>
      <c r="B606" s="416">
        <v>2398.3864527629253</v>
      </c>
      <c r="C606" s="415">
        <v>0.82874445499755522</v>
      </c>
      <c r="D606" s="416">
        <v>348.56458704694001</v>
      </c>
      <c r="E606" s="415">
        <v>0.12044387942188665</v>
      </c>
      <c r="F606" s="416">
        <v>23.411764705882351</v>
      </c>
      <c r="G606" s="415">
        <v>8.0897597463311498E-3</v>
      </c>
      <c r="H606" s="416">
        <v>51.172549019607843</v>
      </c>
      <c r="I606" s="415">
        <v>1.7682290608019294E-2</v>
      </c>
      <c r="J606" s="416">
        <v>0</v>
      </c>
      <c r="K606" s="415">
        <v>0</v>
      </c>
      <c r="L606" s="416">
        <v>72.464646464646464</v>
      </c>
      <c r="M606" s="415">
        <v>2.5039615226208171E-2</v>
      </c>
      <c r="N606" s="416">
        <v>2894.0000000000005</v>
      </c>
      <c r="O606" s="415">
        <v>1</v>
      </c>
      <c r="P606" s="397"/>
    </row>
    <row r="607" spans="1:16">
      <c r="A607" s="425" t="s">
        <v>308</v>
      </c>
      <c r="B607" s="416">
        <v>6287.4564663516876</v>
      </c>
      <c r="C607" s="415">
        <v>0.84158164453911211</v>
      </c>
      <c r="D607" s="416">
        <v>579.41198479331513</v>
      </c>
      <c r="E607" s="415">
        <v>7.755480990407132E-2</v>
      </c>
      <c r="F607" s="416">
        <v>218.16971602820664</v>
      </c>
      <c r="G607" s="415">
        <v>2.9202210685076602E-2</v>
      </c>
      <c r="H607" s="416">
        <v>136.30647086555726</v>
      </c>
      <c r="I607" s="415">
        <v>1.8244742452892208E-2</v>
      </c>
      <c r="J607" s="416">
        <v>0</v>
      </c>
      <c r="K607" s="415">
        <v>0</v>
      </c>
      <c r="L607" s="416">
        <v>249.65536196122093</v>
      </c>
      <c r="M607" s="415">
        <v>3.341659241884911E-2</v>
      </c>
      <c r="N607" s="416">
        <v>7470.9999999999773</v>
      </c>
      <c r="O607" s="415">
        <v>1</v>
      </c>
      <c r="P607" s="397"/>
    </row>
    <row r="608" spans="1:16">
      <c r="A608" s="425" t="s">
        <v>307</v>
      </c>
      <c r="B608" s="416">
        <v>14360.724247685192</v>
      </c>
      <c r="C608" s="415">
        <v>0.88876867481651078</v>
      </c>
      <c r="D608" s="416">
        <v>837.77546296296293</v>
      </c>
      <c r="E608" s="415">
        <v>5.1848957975180243E-2</v>
      </c>
      <c r="F608" s="416">
        <v>95.6640625</v>
      </c>
      <c r="G608" s="415">
        <v>5.9205385876964934E-3</v>
      </c>
      <c r="H608" s="416">
        <v>504.38107638888891</v>
      </c>
      <c r="I608" s="415">
        <v>3.1215563583914384E-2</v>
      </c>
      <c r="J608" s="416">
        <v>168.12702546296296</v>
      </c>
      <c r="K608" s="415">
        <v>1.0405187861304793E-2</v>
      </c>
      <c r="L608" s="416">
        <v>191.328125</v>
      </c>
      <c r="M608" s="415">
        <v>1.1841077175392987E-2</v>
      </c>
      <c r="N608" s="416">
        <v>16158.000000000011</v>
      </c>
      <c r="O608" s="415">
        <v>1</v>
      </c>
      <c r="P608" s="397"/>
    </row>
    <row r="609" spans="1:16">
      <c r="A609" s="425" t="s">
        <v>306</v>
      </c>
      <c r="B609" s="416">
        <v>11595.859519956839</v>
      </c>
      <c r="C609" s="415">
        <v>0.87489508978096053</v>
      </c>
      <c r="D609" s="416">
        <v>383.06568860122263</v>
      </c>
      <c r="E609" s="415">
        <v>2.89018929078937E-2</v>
      </c>
      <c r="F609" s="416">
        <v>917.25768788205698</v>
      </c>
      <c r="G609" s="415">
        <v>6.9206102903429753E-2</v>
      </c>
      <c r="H609" s="416">
        <v>213.43710355987056</v>
      </c>
      <c r="I609" s="415">
        <v>1.6103599182123948E-2</v>
      </c>
      <c r="J609" s="416">
        <v>0</v>
      </c>
      <c r="K609" s="415">
        <v>0</v>
      </c>
      <c r="L609" s="416">
        <v>144.38</v>
      </c>
      <c r="M609" s="415">
        <v>1.0893315225592287E-2</v>
      </c>
      <c r="N609" s="416">
        <v>13253.999999999985</v>
      </c>
      <c r="O609" s="415">
        <v>1</v>
      </c>
      <c r="P609" s="397"/>
    </row>
    <row r="610" spans="1:16">
      <c r="A610" s="425" t="s">
        <v>305</v>
      </c>
      <c r="B610" s="416">
        <v>20330.036109431712</v>
      </c>
      <c r="C610" s="415">
        <v>0.87523833775752136</v>
      </c>
      <c r="D610" s="416">
        <v>1639.0216046545818</v>
      </c>
      <c r="E610" s="415">
        <v>7.0562321536704886E-2</v>
      </c>
      <c r="F610" s="416">
        <v>431.18928160745622</v>
      </c>
      <c r="G610" s="415">
        <v>1.8563340864794907E-2</v>
      </c>
      <c r="H610" s="416">
        <v>265.26685781435975</v>
      </c>
      <c r="I610" s="415">
        <v>1.1420133365522632E-2</v>
      </c>
      <c r="J610" s="416">
        <v>64.571983910398544</v>
      </c>
      <c r="K610" s="415">
        <v>2.7799200925778594E-3</v>
      </c>
      <c r="L610" s="416">
        <v>497.91416258145205</v>
      </c>
      <c r="M610" s="415">
        <v>2.143594638287635E-2</v>
      </c>
      <c r="N610" s="416">
        <v>23228.000000000007</v>
      </c>
      <c r="O610" s="415">
        <v>1</v>
      </c>
      <c r="P610" s="397"/>
    </row>
    <row r="611" spans="1:16" ht="25.5">
      <c r="A611" s="425" t="s">
        <v>304</v>
      </c>
      <c r="B611" s="416">
        <v>37735.344475030324</v>
      </c>
      <c r="C611" s="415">
        <v>0.84792810540930708</v>
      </c>
      <c r="D611" s="416">
        <v>3866.9802512830679</v>
      </c>
      <c r="E611" s="415">
        <v>8.6892574686719432E-2</v>
      </c>
      <c r="F611" s="416">
        <v>539.66125529331316</v>
      </c>
      <c r="G611" s="415">
        <v>1.2126401709846846E-2</v>
      </c>
      <c r="H611" s="416">
        <v>1465.1147763760005</v>
      </c>
      <c r="I611" s="415">
        <v>3.2921708118014585E-2</v>
      </c>
      <c r="J611" s="416">
        <v>111.53103500028828</v>
      </c>
      <c r="K611" s="415">
        <v>2.5061464395723541E-3</v>
      </c>
      <c r="L611" s="416">
        <v>784.36820701697695</v>
      </c>
      <c r="M611" s="415">
        <v>1.7625063636540868E-2</v>
      </c>
      <c r="N611" s="416">
        <v>44502.99999999992</v>
      </c>
      <c r="O611" s="415">
        <v>1</v>
      </c>
      <c r="P611" s="397"/>
    </row>
    <row r="612" spans="1:16" ht="25.5">
      <c r="A612" s="425" t="s">
        <v>303</v>
      </c>
      <c r="B612" s="416">
        <v>33524.439187465483</v>
      </c>
      <c r="C612" s="415">
        <v>0.86850878724003133</v>
      </c>
      <c r="D612" s="416">
        <v>3114.1767351923877</v>
      </c>
      <c r="E612" s="415">
        <v>8.0678153761460175E-2</v>
      </c>
      <c r="F612" s="416">
        <v>923.41344169717058</v>
      </c>
      <c r="G612" s="415">
        <v>2.3922628023242569E-2</v>
      </c>
      <c r="H612" s="416">
        <v>538.75591190683951</v>
      </c>
      <c r="I612" s="415">
        <v>1.3957407044218526E-2</v>
      </c>
      <c r="J612" s="416">
        <v>37.42150576717134</v>
      </c>
      <c r="K612" s="415">
        <v>9.6946906132567461E-4</v>
      </c>
      <c r="L612" s="416">
        <v>461.7932179713527</v>
      </c>
      <c r="M612" s="415">
        <v>1.1963554869724067E-2</v>
      </c>
      <c r="N612" s="416">
        <v>38600.000000000313</v>
      </c>
      <c r="O612" s="415">
        <v>1</v>
      </c>
      <c r="P612" s="397"/>
    </row>
    <row r="613" spans="1:16" ht="15.75" thickBot="1">
      <c r="A613" s="424" t="s">
        <v>302</v>
      </c>
      <c r="B613" s="422">
        <v>2356.0834945820429</v>
      </c>
      <c r="C613" s="420">
        <v>0.80330156651280005</v>
      </c>
      <c r="D613" s="422">
        <v>289.48258513931887</v>
      </c>
      <c r="E613" s="420">
        <v>9.8698460668025512E-2</v>
      </c>
      <c r="F613" s="422">
        <v>208.88061145510838</v>
      </c>
      <c r="G613" s="420">
        <v>7.1217392245178437E-2</v>
      </c>
      <c r="H613" s="422">
        <v>19.147058823529413</v>
      </c>
      <c r="I613" s="420">
        <v>6.5281482521409515E-3</v>
      </c>
      <c r="J613" s="422">
        <v>0</v>
      </c>
      <c r="K613" s="420">
        <v>0</v>
      </c>
      <c r="L613" s="422">
        <v>59.40625</v>
      </c>
      <c r="M613" s="420">
        <v>2.0254432321854754E-2</v>
      </c>
      <c r="N613" s="422">
        <v>2933.0000000000005</v>
      </c>
      <c r="O613" s="420">
        <v>1</v>
      </c>
      <c r="P613" s="397"/>
    </row>
    <row r="619" spans="1:16" ht="15.75" thickBot="1"/>
    <row r="620" spans="1:16" ht="27.75" customHeight="1">
      <c r="A620" s="830" t="s">
        <v>310</v>
      </c>
      <c r="B620" s="833" t="s">
        <v>327</v>
      </c>
      <c r="C620" s="799"/>
      <c r="D620" s="799"/>
      <c r="E620" s="799"/>
      <c r="F620" s="799"/>
      <c r="G620" s="800"/>
      <c r="H620" s="397"/>
    </row>
    <row r="621" spans="1:16" ht="15" customHeight="1">
      <c r="A621" s="831"/>
      <c r="B621" s="834" t="s">
        <v>27</v>
      </c>
      <c r="C621" s="810"/>
      <c r="D621" s="835" t="s">
        <v>26</v>
      </c>
      <c r="E621" s="810"/>
      <c r="F621" s="829" t="s">
        <v>9</v>
      </c>
      <c r="G621" s="813"/>
      <c r="H621" s="397"/>
    </row>
    <row r="622" spans="1:16" ht="15.75" customHeight="1" thickBot="1">
      <c r="A622" s="832"/>
      <c r="B622" s="428" t="s">
        <v>7</v>
      </c>
      <c r="C622" s="428" t="s">
        <v>8</v>
      </c>
      <c r="D622" s="428" t="s">
        <v>7</v>
      </c>
      <c r="E622" s="428" t="s">
        <v>8</v>
      </c>
      <c r="F622" s="428" t="s">
        <v>7</v>
      </c>
      <c r="G622" s="430" t="s">
        <v>6</v>
      </c>
      <c r="H622" s="397"/>
    </row>
    <row r="623" spans="1:16" ht="15.75" customHeight="1">
      <c r="A623" s="426" t="s">
        <v>5</v>
      </c>
      <c r="B623" s="418">
        <v>7388.854556259007</v>
      </c>
      <c r="C623" s="417">
        <v>0.25033165530037271</v>
      </c>
      <c r="D623" s="418">
        <v>22127.406770711979</v>
      </c>
      <c r="E623" s="417">
        <v>0.74966834469962929</v>
      </c>
      <c r="F623" s="418">
        <v>29516.261326970925</v>
      </c>
      <c r="G623" s="417">
        <v>1</v>
      </c>
      <c r="H623" s="397"/>
    </row>
    <row r="624" spans="1:16">
      <c r="A624" s="425" t="s">
        <v>309</v>
      </c>
      <c r="B624" s="416">
        <v>162.77238191381969</v>
      </c>
      <c r="C624" s="415">
        <v>0.1369358633156216</v>
      </c>
      <c r="D624" s="416">
        <v>1025.9036739609503</v>
      </c>
      <c r="E624" s="415">
        <v>0.86306413668437854</v>
      </c>
      <c r="F624" s="416">
        <v>1188.6760558747699</v>
      </c>
      <c r="G624" s="415">
        <v>4.0271904449788815E-2</v>
      </c>
      <c r="H624" s="397"/>
    </row>
    <row r="625" spans="1:8">
      <c r="A625" s="425" t="s">
        <v>308</v>
      </c>
      <c r="B625" s="416">
        <v>529.76547643618858</v>
      </c>
      <c r="C625" s="415">
        <v>0.32290201158728954</v>
      </c>
      <c r="D625" s="416">
        <v>1110.8730374957008</v>
      </c>
      <c r="E625" s="415">
        <v>0.67709798841271018</v>
      </c>
      <c r="F625" s="416">
        <v>1640.6385139318897</v>
      </c>
      <c r="G625" s="415">
        <v>5.558422510755899E-2</v>
      </c>
      <c r="H625" s="397"/>
    </row>
    <row r="626" spans="1:8">
      <c r="A626" s="425" t="s">
        <v>307</v>
      </c>
      <c r="B626" s="416">
        <v>188.82705479452054</v>
      </c>
      <c r="C626" s="415">
        <v>0.11388958614899482</v>
      </c>
      <c r="D626" s="416">
        <v>1469.1564464141818</v>
      </c>
      <c r="E626" s="415">
        <v>0.88611041385100531</v>
      </c>
      <c r="F626" s="416">
        <v>1657.9835012087021</v>
      </c>
      <c r="G626" s="415">
        <v>5.617186685136491E-2</v>
      </c>
      <c r="H626" s="397"/>
    </row>
    <row r="627" spans="1:8">
      <c r="A627" s="425" t="s">
        <v>306</v>
      </c>
      <c r="B627" s="416">
        <v>194.43312531624221</v>
      </c>
      <c r="C627" s="415">
        <v>0.11627149899302548</v>
      </c>
      <c r="D627" s="416">
        <v>1477.8006293023791</v>
      </c>
      <c r="E627" s="415">
        <v>0.88372850100697475</v>
      </c>
      <c r="F627" s="416">
        <v>1672.2337546186209</v>
      </c>
      <c r="G627" s="415">
        <v>5.6654660158147879E-2</v>
      </c>
      <c r="H627" s="397"/>
    </row>
    <row r="628" spans="1:8">
      <c r="A628" s="425" t="s">
        <v>305</v>
      </c>
      <c r="B628" s="416">
        <v>1013.2327779061546</v>
      </c>
      <c r="C628" s="415">
        <v>0.39817032279591125</v>
      </c>
      <c r="D628" s="416">
        <v>1531.489216418629</v>
      </c>
      <c r="E628" s="415">
        <v>0.6018296772040882</v>
      </c>
      <c r="F628" s="416">
        <v>2544.7219943247851</v>
      </c>
      <c r="G628" s="415">
        <v>8.6214238522122968E-2</v>
      </c>
      <c r="H628" s="397"/>
    </row>
    <row r="629" spans="1:8" ht="25.5">
      <c r="A629" s="425" t="s">
        <v>304</v>
      </c>
      <c r="B629" s="416">
        <v>2325.1472850523969</v>
      </c>
      <c r="C629" s="415">
        <v>0.23431744717234992</v>
      </c>
      <c r="D629" s="416">
        <v>7597.9178264505954</v>
      </c>
      <c r="E629" s="415">
        <v>0.76568255282764752</v>
      </c>
      <c r="F629" s="416">
        <v>9923.0651115030178</v>
      </c>
      <c r="G629" s="415">
        <v>0.3361897701602089</v>
      </c>
      <c r="H629" s="397"/>
    </row>
    <row r="630" spans="1:8" ht="25.5">
      <c r="A630" s="425" t="s">
        <v>303</v>
      </c>
      <c r="B630" s="416">
        <v>2769.8764548396853</v>
      </c>
      <c r="C630" s="415">
        <v>0.2647289126732113</v>
      </c>
      <c r="D630" s="416">
        <v>7693.1909406695349</v>
      </c>
      <c r="E630" s="415">
        <v>0.73527108732678859</v>
      </c>
      <c r="F630" s="416">
        <v>10463.067395509222</v>
      </c>
      <c r="G630" s="415">
        <v>0.35448484750839493</v>
      </c>
      <c r="H630" s="397"/>
    </row>
    <row r="631" spans="1:8" ht="15.75" thickBot="1">
      <c r="A631" s="427" t="s">
        <v>302</v>
      </c>
      <c r="B631" s="416">
        <v>204.8</v>
      </c>
      <c r="C631" s="415">
        <v>0.48089228059876726</v>
      </c>
      <c r="D631" s="416">
        <v>221.07499999999999</v>
      </c>
      <c r="E631" s="415">
        <v>0.51910771940123279</v>
      </c>
      <c r="F631" s="416">
        <v>425.875</v>
      </c>
      <c r="G631" s="415">
        <v>1.4428487242415433E-2</v>
      </c>
      <c r="H631" s="397"/>
    </row>
    <row r="632" spans="1:8" ht="15" customHeight="1">
      <c r="A632" s="426" t="s">
        <v>4</v>
      </c>
      <c r="B632" s="418">
        <v>4600.7995672948509</v>
      </c>
      <c r="C632" s="417">
        <v>0.26988050119304691</v>
      </c>
      <c r="D632" s="418">
        <v>12446.743871213434</v>
      </c>
      <c r="E632" s="417">
        <v>0.7301194988069537</v>
      </c>
      <c r="F632" s="418">
        <v>17047.543438508274</v>
      </c>
      <c r="G632" s="417">
        <v>1</v>
      </c>
      <c r="H632" s="397"/>
    </row>
    <row r="633" spans="1:8">
      <c r="A633" s="425" t="s">
        <v>309</v>
      </c>
      <c r="B633" s="416">
        <v>79.678571428571431</v>
      </c>
      <c r="C633" s="415">
        <v>0.16831384383251602</v>
      </c>
      <c r="D633" s="416">
        <v>393.71428571428572</v>
      </c>
      <c r="E633" s="415">
        <v>0.83168615616748398</v>
      </c>
      <c r="F633" s="416">
        <v>473.39285714285717</v>
      </c>
      <c r="G633" s="415">
        <v>2.7768977908777272E-2</v>
      </c>
      <c r="H633" s="397"/>
    </row>
    <row r="634" spans="1:8">
      <c r="A634" s="425" t="s">
        <v>308</v>
      </c>
      <c r="B634" s="416">
        <v>69.187408175611452</v>
      </c>
      <c r="C634" s="415">
        <v>0.11686776703596678</v>
      </c>
      <c r="D634" s="416">
        <v>522.82705338519338</v>
      </c>
      <c r="E634" s="415">
        <v>0.8831322329640332</v>
      </c>
      <c r="F634" s="416">
        <v>592.01446156080488</v>
      </c>
      <c r="G634" s="415">
        <v>3.4727259308430215E-2</v>
      </c>
      <c r="H634" s="397"/>
    </row>
    <row r="635" spans="1:8">
      <c r="A635" s="425" t="s">
        <v>307</v>
      </c>
      <c r="B635" s="416">
        <v>591.36682615629979</v>
      </c>
      <c r="C635" s="415">
        <v>0.4131722781544771</v>
      </c>
      <c r="D635" s="416">
        <v>839.91706539074949</v>
      </c>
      <c r="E635" s="415">
        <v>0.58682772184552301</v>
      </c>
      <c r="F635" s="416">
        <v>1431.2838915470491</v>
      </c>
      <c r="G635" s="415">
        <v>8.3958366007970242E-2</v>
      </c>
      <c r="H635" s="397"/>
    </row>
    <row r="636" spans="1:8">
      <c r="A636" s="425" t="s">
        <v>306</v>
      </c>
      <c r="B636" s="416">
        <v>352.64939024390247</v>
      </c>
      <c r="C636" s="415">
        <v>0.16650294726424622</v>
      </c>
      <c r="D636" s="416">
        <v>1765.3274746594859</v>
      </c>
      <c r="E636" s="415">
        <v>0.8334970527357537</v>
      </c>
      <c r="F636" s="416">
        <v>2117.9768649033886</v>
      </c>
      <c r="G636" s="415">
        <v>0.12423941740011309</v>
      </c>
      <c r="H636" s="397"/>
    </row>
    <row r="637" spans="1:8">
      <c r="A637" s="425" t="s">
        <v>305</v>
      </c>
      <c r="B637" s="416">
        <v>696.6188511781337</v>
      </c>
      <c r="C637" s="415">
        <v>0.34398481739808046</v>
      </c>
      <c r="D637" s="416">
        <v>1328.5253294499414</v>
      </c>
      <c r="E637" s="415">
        <v>0.65601518260191949</v>
      </c>
      <c r="F637" s="416">
        <v>2025.144180628075</v>
      </c>
      <c r="G637" s="415">
        <v>0.11879390059529203</v>
      </c>
      <c r="H637" s="397"/>
    </row>
    <row r="638" spans="1:8" ht="25.5">
      <c r="A638" s="425" t="s">
        <v>304</v>
      </c>
      <c r="B638" s="416">
        <v>1674.3205931489849</v>
      </c>
      <c r="C638" s="415">
        <v>0.29836634744232554</v>
      </c>
      <c r="D638" s="416">
        <v>3937.3062122923911</v>
      </c>
      <c r="E638" s="415">
        <v>0.70163365255767685</v>
      </c>
      <c r="F638" s="416">
        <v>5611.6268054413622</v>
      </c>
      <c r="G638" s="415">
        <v>0.32917509937328554</v>
      </c>
      <c r="H638" s="397"/>
    </row>
    <row r="639" spans="1:8" ht="25.5">
      <c r="A639" s="425" t="s">
        <v>303</v>
      </c>
      <c r="B639" s="416">
        <v>928.87614124905986</v>
      </c>
      <c r="C639" s="415">
        <v>0.23431677997803518</v>
      </c>
      <c r="D639" s="416">
        <v>3035.3134542896473</v>
      </c>
      <c r="E639" s="415">
        <v>0.76568322002196454</v>
      </c>
      <c r="F639" s="416">
        <v>3964.1895955387085</v>
      </c>
      <c r="G639" s="415">
        <v>0.23253729253354469</v>
      </c>
      <c r="H639" s="397"/>
    </row>
    <row r="640" spans="1:8" ht="15.75" thickBot="1">
      <c r="A640" s="427" t="s">
        <v>302</v>
      </c>
      <c r="B640" s="416">
        <v>208.10178571428571</v>
      </c>
      <c r="C640" s="415">
        <v>0.2501479602003458</v>
      </c>
      <c r="D640" s="416">
        <v>623.81299603174602</v>
      </c>
      <c r="E640" s="415">
        <v>0.74985203979965409</v>
      </c>
      <c r="F640" s="416">
        <v>831.91478174603185</v>
      </c>
      <c r="G640" s="415">
        <v>4.8799686872587171E-2</v>
      </c>
      <c r="H640" s="397"/>
    </row>
    <row r="641" spans="1:8" ht="15.75" customHeight="1">
      <c r="A641" s="426" t="s">
        <v>3</v>
      </c>
      <c r="B641" s="418">
        <v>2679.9707430112735</v>
      </c>
      <c r="C641" s="417">
        <v>0.29736021841471855</v>
      </c>
      <c r="D641" s="418">
        <v>6332.5688539082121</v>
      </c>
      <c r="E641" s="417">
        <v>0.70263978158528306</v>
      </c>
      <c r="F641" s="418">
        <v>9012.5395969194706</v>
      </c>
      <c r="G641" s="417">
        <v>1</v>
      </c>
      <c r="H641" s="397"/>
    </row>
    <row r="642" spans="1:8">
      <c r="A642" s="425" t="s">
        <v>309</v>
      </c>
      <c r="B642" s="416">
        <v>29.614973262032088</v>
      </c>
      <c r="C642" s="415">
        <v>0.20139532590872766</v>
      </c>
      <c r="D642" s="416">
        <v>117.43398692810457</v>
      </c>
      <c r="E642" s="415">
        <v>0.79860467409127234</v>
      </c>
      <c r="F642" s="416">
        <v>147.04896019013665</v>
      </c>
      <c r="G642" s="415">
        <v>1.6316040402241196E-2</v>
      </c>
      <c r="H642" s="397"/>
    </row>
    <row r="643" spans="1:8">
      <c r="A643" s="425" t="s">
        <v>308</v>
      </c>
      <c r="B643" s="416">
        <v>216.54930135516034</v>
      </c>
      <c r="C643" s="415">
        <v>0.35844726494682833</v>
      </c>
      <c r="D643" s="416">
        <v>387.58224749982429</v>
      </c>
      <c r="E643" s="415">
        <v>0.64155273505317212</v>
      </c>
      <c r="F643" s="416">
        <v>604.13154885498443</v>
      </c>
      <c r="G643" s="415">
        <v>6.7032332269749972E-2</v>
      </c>
      <c r="H643" s="397"/>
    </row>
    <row r="644" spans="1:8">
      <c r="A644" s="425" t="s">
        <v>307</v>
      </c>
      <c r="B644" s="416">
        <v>72.462962962962962</v>
      </c>
      <c r="C644" s="415">
        <v>9.1566099424274933E-2</v>
      </c>
      <c r="D644" s="416">
        <v>718.91030092592587</v>
      </c>
      <c r="E644" s="415">
        <v>0.90843390057572504</v>
      </c>
      <c r="F644" s="416">
        <v>791.3732638888888</v>
      </c>
      <c r="G644" s="415">
        <v>8.7808020744717066E-2</v>
      </c>
      <c r="H644" s="397"/>
    </row>
    <row r="645" spans="1:8">
      <c r="A645" s="425" t="s">
        <v>306</v>
      </c>
      <c r="B645" s="416">
        <v>283.31358504135198</v>
      </c>
      <c r="C645" s="415">
        <v>0.2221936994934742</v>
      </c>
      <c r="D645" s="416">
        <v>991.76120640057559</v>
      </c>
      <c r="E645" s="415">
        <v>0.77780630050652566</v>
      </c>
      <c r="F645" s="416">
        <v>1275.0747914419278</v>
      </c>
      <c r="G645" s="415">
        <v>0.14147785734863841</v>
      </c>
      <c r="H645" s="397"/>
    </row>
    <row r="646" spans="1:8">
      <c r="A646" s="425" t="s">
        <v>305</v>
      </c>
      <c r="B646" s="416">
        <v>600.13455990639306</v>
      </c>
      <c r="C646" s="415">
        <v>0.50246942585545873</v>
      </c>
      <c r="D646" s="416">
        <v>594.23574209687501</v>
      </c>
      <c r="E646" s="415">
        <v>0.4975305741445411</v>
      </c>
      <c r="F646" s="416">
        <v>1194.3703020032683</v>
      </c>
      <c r="G646" s="415">
        <v>0.13252316832111449</v>
      </c>
      <c r="H646" s="397"/>
    </row>
    <row r="647" spans="1:8" ht="25.5">
      <c r="A647" s="425" t="s">
        <v>304</v>
      </c>
      <c r="B647" s="416">
        <v>840.80528066495867</v>
      </c>
      <c r="C647" s="415">
        <v>0.3014563639279495</v>
      </c>
      <c r="D647" s="416">
        <v>1948.3389580213329</v>
      </c>
      <c r="E647" s="415">
        <v>0.69854363607205017</v>
      </c>
      <c r="F647" s="416">
        <v>2789.1442386862927</v>
      </c>
      <c r="G647" s="415">
        <v>0.30947372920720767</v>
      </c>
      <c r="H647" s="397"/>
    </row>
    <row r="648" spans="1:8" ht="25.5">
      <c r="A648" s="425" t="s">
        <v>303</v>
      </c>
      <c r="B648" s="416">
        <v>585.23249467909307</v>
      </c>
      <c r="C648" s="415">
        <v>0.30418081064846142</v>
      </c>
      <c r="D648" s="416">
        <v>1338.7300768962705</v>
      </c>
      <c r="E648" s="415">
        <v>0.69581918935153764</v>
      </c>
      <c r="F648" s="416">
        <v>1923.9625715753652</v>
      </c>
      <c r="G648" s="415">
        <v>0.21347618514020009</v>
      </c>
      <c r="H648" s="397"/>
    </row>
    <row r="649" spans="1:8" ht="15.75" thickBot="1">
      <c r="A649" s="424" t="s">
        <v>302</v>
      </c>
      <c r="B649" s="422">
        <v>51.857585139318886</v>
      </c>
      <c r="C649" s="420">
        <v>0.18041567637197542</v>
      </c>
      <c r="D649" s="422">
        <v>235.5763351393189</v>
      </c>
      <c r="E649" s="420">
        <v>0.81958432362802469</v>
      </c>
      <c r="F649" s="422">
        <v>287.43392027863774</v>
      </c>
      <c r="G649" s="420">
        <v>3.1892666566134598E-2</v>
      </c>
      <c r="H649" s="397"/>
    </row>
    <row r="653" spans="1:8" ht="15.75" thickBot="1"/>
    <row r="654" spans="1:8" ht="15" customHeight="1">
      <c r="A654" s="830" t="s">
        <v>310</v>
      </c>
      <c r="B654" s="833" t="s">
        <v>328</v>
      </c>
      <c r="C654" s="799"/>
      <c r="D654" s="799"/>
      <c r="E654" s="799"/>
      <c r="F654" s="799"/>
      <c r="G654" s="800"/>
      <c r="H654" s="326"/>
    </row>
    <row r="655" spans="1:8" ht="15" customHeight="1">
      <c r="A655" s="831"/>
      <c r="B655" s="834" t="s">
        <v>27</v>
      </c>
      <c r="C655" s="810"/>
      <c r="D655" s="835" t="s">
        <v>26</v>
      </c>
      <c r="E655" s="810"/>
      <c r="F655" s="829" t="s">
        <v>9</v>
      </c>
      <c r="G655" s="813"/>
      <c r="H655" s="326"/>
    </row>
    <row r="656" spans="1:8" ht="15.75" customHeight="1" thickBot="1">
      <c r="A656" s="832"/>
      <c r="B656" s="428" t="s">
        <v>7</v>
      </c>
      <c r="C656" s="428" t="s">
        <v>8</v>
      </c>
      <c r="D656" s="428" t="s">
        <v>7</v>
      </c>
      <c r="E656" s="428" t="s">
        <v>8</v>
      </c>
      <c r="F656" s="428" t="s">
        <v>7</v>
      </c>
      <c r="G656" s="430" t="s">
        <v>6</v>
      </c>
      <c r="H656" s="326"/>
    </row>
    <row r="657" spans="1:8" ht="15.75" customHeight="1">
      <c r="A657" s="426" t="s">
        <v>5</v>
      </c>
      <c r="B657" s="418">
        <v>20122.470119125515</v>
      </c>
      <c r="C657" s="417">
        <v>0.90939125075242833</v>
      </c>
      <c r="D657" s="418">
        <v>2004.9366515864597</v>
      </c>
      <c r="E657" s="417">
        <v>9.0608749247571604E-2</v>
      </c>
      <c r="F657" s="418">
        <v>22127.406770711979</v>
      </c>
      <c r="G657" s="417">
        <v>1</v>
      </c>
      <c r="H657" s="326"/>
    </row>
    <row r="658" spans="1:8">
      <c r="A658" s="425" t="s">
        <v>309</v>
      </c>
      <c r="B658" s="416">
        <v>973.66638582535711</v>
      </c>
      <c r="C658" s="415">
        <v>0.94908168333786325</v>
      </c>
      <c r="D658" s="416">
        <v>52.237288135593225</v>
      </c>
      <c r="E658" s="415">
        <v>5.0918316662136809E-2</v>
      </c>
      <c r="F658" s="416">
        <v>1025.9036739609503</v>
      </c>
      <c r="G658" s="415">
        <v>4.6363484189156992E-2</v>
      </c>
      <c r="H658" s="326"/>
    </row>
    <row r="659" spans="1:8">
      <c r="A659" s="425" t="s">
        <v>308</v>
      </c>
      <c r="B659" s="416">
        <v>1058.0878981768155</v>
      </c>
      <c r="C659" s="415">
        <v>0.95248319336484966</v>
      </c>
      <c r="D659" s="416">
        <v>52.785139318885449</v>
      </c>
      <c r="E659" s="415">
        <v>4.7516806635150448E-2</v>
      </c>
      <c r="F659" s="416">
        <v>1110.8730374957008</v>
      </c>
      <c r="G659" s="415">
        <v>5.0203489681676643E-2</v>
      </c>
      <c r="H659" s="326"/>
    </row>
    <row r="660" spans="1:8">
      <c r="A660" s="425" t="s">
        <v>307</v>
      </c>
      <c r="B660" s="416">
        <v>1227.4220386784848</v>
      </c>
      <c r="C660" s="415">
        <v>0.83546040428457702</v>
      </c>
      <c r="D660" s="416">
        <v>241.734407735697</v>
      </c>
      <c r="E660" s="415">
        <v>0.16453959571542304</v>
      </c>
      <c r="F660" s="416">
        <v>1469.1564464141818</v>
      </c>
      <c r="G660" s="415">
        <v>6.6395328726851513E-2</v>
      </c>
      <c r="H660" s="326"/>
    </row>
    <row r="661" spans="1:8">
      <c r="A661" s="425" t="s">
        <v>306</v>
      </c>
      <c r="B661" s="416">
        <v>1055.4525601921771</v>
      </c>
      <c r="C661" s="415">
        <v>0.71420497411103512</v>
      </c>
      <c r="D661" s="416">
        <v>422.34806911020178</v>
      </c>
      <c r="E661" s="415">
        <v>0.28579502588896472</v>
      </c>
      <c r="F661" s="416">
        <v>1477.8006293023791</v>
      </c>
      <c r="G661" s="415">
        <v>6.6785983762833345E-2</v>
      </c>
      <c r="H661" s="326"/>
    </row>
    <row r="662" spans="1:8">
      <c r="A662" s="425" t="s">
        <v>305</v>
      </c>
      <c r="B662" s="416">
        <v>1442.1141731193238</v>
      </c>
      <c r="C662" s="415">
        <v>0.94164174168440595</v>
      </c>
      <c r="D662" s="416">
        <v>89.375043299305162</v>
      </c>
      <c r="E662" s="415">
        <v>5.8358258315594116E-2</v>
      </c>
      <c r="F662" s="416">
        <v>1531.489216418629</v>
      </c>
      <c r="G662" s="415">
        <v>6.9212322631756418E-2</v>
      </c>
      <c r="H662" s="326"/>
    </row>
    <row r="663" spans="1:8" ht="25.5">
      <c r="A663" s="425" t="s">
        <v>304</v>
      </c>
      <c r="B663" s="416">
        <v>7055.8377020584749</v>
      </c>
      <c r="C663" s="415">
        <v>0.92865412119818147</v>
      </c>
      <c r="D663" s="416">
        <v>542.08012439211609</v>
      </c>
      <c r="E663" s="415">
        <v>7.1345878801817933E-2</v>
      </c>
      <c r="F663" s="416">
        <v>7597.9178264505954</v>
      </c>
      <c r="G663" s="415">
        <v>0.34337136317786965</v>
      </c>
      <c r="H663" s="326"/>
    </row>
    <row r="664" spans="1:8" ht="25.5">
      <c r="A664" s="425" t="s">
        <v>303</v>
      </c>
      <c r="B664" s="416">
        <v>7088.8143610748748</v>
      </c>
      <c r="C664" s="415">
        <v>0.92144006508409093</v>
      </c>
      <c r="D664" s="416">
        <v>604.37657959466071</v>
      </c>
      <c r="E664" s="415">
        <v>7.8559934915909166E-2</v>
      </c>
      <c r="F664" s="416">
        <v>7693.1909406695349</v>
      </c>
      <c r="G664" s="415">
        <v>0.34767702426170904</v>
      </c>
      <c r="H664" s="326"/>
    </row>
    <row r="665" spans="1:8" ht="15.75" thickBot="1">
      <c r="A665" s="427" t="s">
        <v>302</v>
      </c>
      <c r="B665" s="416">
        <v>221.07499999999999</v>
      </c>
      <c r="C665" s="415">
        <v>1</v>
      </c>
      <c r="D665" s="416">
        <v>0</v>
      </c>
      <c r="E665" s="415">
        <v>0</v>
      </c>
      <c r="F665" s="416">
        <v>221.07499999999999</v>
      </c>
      <c r="G665" s="415">
        <v>9.9910035681459383E-3</v>
      </c>
      <c r="H665" s="326"/>
    </row>
    <row r="666" spans="1:8" ht="15" customHeight="1">
      <c r="A666" s="426" t="s">
        <v>4</v>
      </c>
      <c r="B666" s="418">
        <v>10177.370342568045</v>
      </c>
      <c r="C666" s="417">
        <v>0.81767331664195753</v>
      </c>
      <c r="D666" s="418">
        <v>2269.3735286453816</v>
      </c>
      <c r="E666" s="417">
        <v>0.182326683358042</v>
      </c>
      <c r="F666" s="418">
        <v>12446.743871213434</v>
      </c>
      <c r="G666" s="417">
        <v>1</v>
      </c>
      <c r="H666" s="326"/>
    </row>
    <row r="667" spans="1:8">
      <c r="A667" s="425" t="s">
        <v>309</v>
      </c>
      <c r="B667" s="416">
        <v>314.03571428571428</v>
      </c>
      <c r="C667" s="415">
        <v>0.79762336719883886</v>
      </c>
      <c r="D667" s="416">
        <v>79.678571428571431</v>
      </c>
      <c r="E667" s="415">
        <v>0.20237663280116108</v>
      </c>
      <c r="F667" s="416">
        <v>393.71428571428572</v>
      </c>
      <c r="G667" s="415">
        <v>3.1631910304257146E-2</v>
      </c>
      <c r="H667" s="326"/>
    </row>
    <row r="668" spans="1:8">
      <c r="A668" s="425" t="s">
        <v>308</v>
      </c>
      <c r="B668" s="416">
        <v>512.0676548889528</v>
      </c>
      <c r="C668" s="415">
        <v>0.97942073114507788</v>
      </c>
      <c r="D668" s="416">
        <v>10.759398496240602</v>
      </c>
      <c r="E668" s="415">
        <v>2.0579268854922096E-2</v>
      </c>
      <c r="F668" s="416">
        <v>522.82705338519338</v>
      </c>
      <c r="G668" s="415">
        <v>4.2005126705818761E-2</v>
      </c>
      <c r="H668" s="326"/>
    </row>
    <row r="669" spans="1:8">
      <c r="A669" s="425" t="s">
        <v>307</v>
      </c>
      <c r="B669" s="416">
        <v>723.09888357256773</v>
      </c>
      <c r="C669" s="415">
        <v>0.86091700403320759</v>
      </c>
      <c r="D669" s="416">
        <v>116.81818181818181</v>
      </c>
      <c r="E669" s="415">
        <v>0.13908299596679252</v>
      </c>
      <c r="F669" s="416">
        <v>839.91706539074949</v>
      </c>
      <c r="G669" s="415">
        <v>6.7480866809936688E-2</v>
      </c>
      <c r="H669" s="326"/>
    </row>
    <row r="670" spans="1:8">
      <c r="A670" s="425" t="s">
        <v>306</v>
      </c>
      <c r="B670" s="416">
        <v>955.79271856192577</v>
      </c>
      <c r="C670" s="415">
        <v>0.54142516461218537</v>
      </c>
      <c r="D670" s="416">
        <v>809.53475609756072</v>
      </c>
      <c r="E670" s="415">
        <v>0.45857483538781485</v>
      </c>
      <c r="F670" s="416">
        <v>1765.3274746594859</v>
      </c>
      <c r="G670" s="415">
        <v>0.14183046529480678</v>
      </c>
      <c r="H670" s="326"/>
    </row>
    <row r="671" spans="1:8">
      <c r="A671" s="425" t="s">
        <v>305</v>
      </c>
      <c r="B671" s="416">
        <v>1094.9635222663578</v>
      </c>
      <c r="C671" s="415">
        <v>0.82419469015296309</v>
      </c>
      <c r="D671" s="416">
        <v>233.56180718358368</v>
      </c>
      <c r="E671" s="415">
        <v>0.17580530984703685</v>
      </c>
      <c r="F671" s="416">
        <v>1328.5253294499414</v>
      </c>
      <c r="G671" s="415">
        <v>0.10673677736090696</v>
      </c>
      <c r="H671" s="326"/>
    </row>
    <row r="672" spans="1:8" ht="25.5">
      <c r="A672" s="425" t="s">
        <v>304</v>
      </c>
      <c r="B672" s="416">
        <v>3474.8838332127148</v>
      </c>
      <c r="C672" s="415">
        <v>0.88255361555675305</v>
      </c>
      <c r="D672" s="416">
        <v>462.42237907967552</v>
      </c>
      <c r="E672" s="415">
        <v>0.11744638444324666</v>
      </c>
      <c r="F672" s="416">
        <v>3937.3062122923911</v>
      </c>
      <c r="G672" s="415">
        <v>0.31633222737060651</v>
      </c>
      <c r="H672" s="326"/>
    </row>
    <row r="673" spans="1:8" ht="25.5">
      <c r="A673" s="425" t="s">
        <v>303</v>
      </c>
      <c r="B673" s="416">
        <v>2544.9150197480781</v>
      </c>
      <c r="C673" s="415">
        <v>0.83843565354065319</v>
      </c>
      <c r="D673" s="416">
        <v>490.39843454156789</v>
      </c>
      <c r="E673" s="415">
        <v>0.16156434645934634</v>
      </c>
      <c r="F673" s="416">
        <v>3035.3134542896473</v>
      </c>
      <c r="G673" s="415">
        <v>0.24386405679236769</v>
      </c>
      <c r="H673" s="326"/>
    </row>
    <row r="674" spans="1:8" ht="15.75" thickBot="1">
      <c r="A674" s="427" t="s">
        <v>302</v>
      </c>
      <c r="B674" s="416">
        <v>557.61299603174609</v>
      </c>
      <c r="C674" s="415">
        <v>0.89387845328469084</v>
      </c>
      <c r="D674" s="416">
        <v>66.2</v>
      </c>
      <c r="E674" s="415">
        <v>0.10612154671530932</v>
      </c>
      <c r="F674" s="416">
        <v>623.81299603174602</v>
      </c>
      <c r="G674" s="415">
        <v>5.0118569361299992E-2</v>
      </c>
      <c r="H674" s="326"/>
    </row>
    <row r="675" spans="1:8" ht="15.75" customHeight="1">
      <c r="A675" s="426" t="s">
        <v>3</v>
      </c>
      <c r="B675" s="418">
        <v>4891.1003930902916</v>
      </c>
      <c r="C675" s="417">
        <v>0.77237224038577923</v>
      </c>
      <c r="D675" s="418">
        <v>1441.4684608179275</v>
      </c>
      <c r="E675" s="417">
        <v>0.22762775961422196</v>
      </c>
      <c r="F675" s="418">
        <v>6332.5688539082121</v>
      </c>
      <c r="G675" s="417">
        <v>1</v>
      </c>
      <c r="H675" s="326"/>
    </row>
    <row r="676" spans="1:8">
      <c r="A676" s="425" t="s">
        <v>309</v>
      </c>
      <c r="B676" s="416">
        <v>117.43398692810457</v>
      </c>
      <c r="C676" s="415">
        <v>1</v>
      </c>
      <c r="D676" s="416">
        <v>0</v>
      </c>
      <c r="E676" s="415">
        <v>0</v>
      </c>
      <c r="F676" s="416">
        <v>117.43398692810457</v>
      </c>
      <c r="G676" s="415">
        <v>1.8544446912034593E-2</v>
      </c>
      <c r="H676" s="326"/>
    </row>
    <row r="677" spans="1:8">
      <c r="A677" s="425" t="s">
        <v>308</v>
      </c>
      <c r="B677" s="416">
        <v>321.55235071670018</v>
      </c>
      <c r="C677" s="415">
        <v>0.82963642630934986</v>
      </c>
      <c r="D677" s="416">
        <v>66.029896783124187</v>
      </c>
      <c r="E677" s="415">
        <v>0.17036357369065033</v>
      </c>
      <c r="F677" s="416">
        <v>387.58224749982429</v>
      </c>
      <c r="G677" s="415">
        <v>6.1204584812468925E-2</v>
      </c>
      <c r="H677" s="326"/>
    </row>
    <row r="678" spans="1:8">
      <c r="A678" s="425" t="s">
        <v>307</v>
      </c>
      <c r="B678" s="416">
        <v>646.44733796296293</v>
      </c>
      <c r="C678" s="415">
        <v>0.89920444474139016</v>
      </c>
      <c r="D678" s="416">
        <v>72.462962962962962</v>
      </c>
      <c r="E678" s="415">
        <v>0.10079555525860981</v>
      </c>
      <c r="F678" s="416">
        <v>718.91030092592587</v>
      </c>
      <c r="G678" s="415">
        <v>0.1135258561748196</v>
      </c>
      <c r="H678" s="326"/>
    </row>
    <row r="679" spans="1:8">
      <c r="A679" s="425" t="s">
        <v>306</v>
      </c>
      <c r="B679" s="416">
        <v>387.19142934196339</v>
      </c>
      <c r="C679" s="415">
        <v>0.3904079196112209</v>
      </c>
      <c r="D679" s="416">
        <v>604.56977705861209</v>
      </c>
      <c r="E679" s="415">
        <v>0.60959208038877899</v>
      </c>
      <c r="F679" s="416">
        <v>991.76120640057559</v>
      </c>
      <c r="G679" s="415">
        <v>0.15661277899702578</v>
      </c>
      <c r="H679" s="326"/>
    </row>
    <row r="680" spans="1:8">
      <c r="A680" s="425" t="s">
        <v>305</v>
      </c>
      <c r="B680" s="416">
        <v>492.01534477193405</v>
      </c>
      <c r="C680" s="415">
        <v>0.82798005895061677</v>
      </c>
      <c r="D680" s="416">
        <v>102.22039732494099</v>
      </c>
      <c r="E680" s="415">
        <v>0.17201994104938334</v>
      </c>
      <c r="F680" s="416">
        <v>594.23574209687501</v>
      </c>
      <c r="G680" s="415">
        <v>9.3838023052862041E-2</v>
      </c>
      <c r="H680" s="326"/>
    </row>
    <row r="681" spans="1:8" ht="25.5">
      <c r="A681" s="425" t="s">
        <v>304</v>
      </c>
      <c r="B681" s="416">
        <v>1607.7936894677143</v>
      </c>
      <c r="C681" s="415">
        <v>0.8252125138946742</v>
      </c>
      <c r="D681" s="416">
        <v>340.54526855361792</v>
      </c>
      <c r="E681" s="415">
        <v>0.17478748610532541</v>
      </c>
      <c r="F681" s="416">
        <v>1948.3389580213329</v>
      </c>
      <c r="G681" s="415">
        <v>0.30766960501643736</v>
      </c>
      <c r="H681" s="326"/>
    </row>
    <row r="682" spans="1:8" ht="25.5">
      <c r="A682" s="425" t="s">
        <v>303</v>
      </c>
      <c r="B682" s="416">
        <v>1083.0899187616012</v>
      </c>
      <c r="C682" s="415">
        <v>0.80904279171246474</v>
      </c>
      <c r="D682" s="416">
        <v>255.64015813466912</v>
      </c>
      <c r="E682" s="415">
        <v>0.19095720828753518</v>
      </c>
      <c r="F682" s="416">
        <v>1338.7300768962705</v>
      </c>
      <c r="G682" s="415">
        <v>0.21140395118958069</v>
      </c>
      <c r="H682" s="326"/>
    </row>
    <row r="683" spans="1:8" ht="15.75" thickBot="1">
      <c r="A683" s="424" t="s">
        <v>302</v>
      </c>
      <c r="B683" s="422">
        <v>235.5763351393189</v>
      </c>
      <c r="C683" s="420">
        <v>1</v>
      </c>
      <c r="D683" s="422">
        <v>0</v>
      </c>
      <c r="E683" s="420">
        <v>0</v>
      </c>
      <c r="F683" s="422">
        <v>235.5763351393189</v>
      </c>
      <c r="G683" s="420">
        <v>3.7200753844773511E-2</v>
      </c>
      <c r="H683" s="326"/>
    </row>
    <row r="687" spans="1:8" ht="15.75" thickBot="1"/>
    <row r="688" spans="1:8" ht="31.5" customHeight="1">
      <c r="A688" s="830" t="s">
        <v>310</v>
      </c>
      <c r="B688" s="849" t="s">
        <v>329</v>
      </c>
      <c r="C688" s="850"/>
      <c r="D688" s="850"/>
      <c r="E688" s="850"/>
      <c r="F688" s="850"/>
      <c r="G688" s="851"/>
      <c r="H688" s="326"/>
    </row>
    <row r="689" spans="1:8" ht="15" customHeight="1">
      <c r="A689" s="831"/>
      <c r="B689" s="834" t="s">
        <v>27</v>
      </c>
      <c r="C689" s="810"/>
      <c r="D689" s="835" t="s">
        <v>26</v>
      </c>
      <c r="E689" s="810"/>
      <c r="F689" s="829" t="s">
        <v>9</v>
      </c>
      <c r="G689" s="852"/>
      <c r="H689" s="326"/>
    </row>
    <row r="690" spans="1:8" ht="15.75" customHeight="1" thickBot="1">
      <c r="A690" s="832"/>
      <c r="B690" s="429" t="s">
        <v>7</v>
      </c>
      <c r="C690" s="429" t="s">
        <v>8</v>
      </c>
      <c r="D690" s="428" t="s">
        <v>7</v>
      </c>
      <c r="E690" s="428" t="s">
        <v>8</v>
      </c>
      <c r="F690" s="428" t="s">
        <v>7</v>
      </c>
      <c r="G690" s="430" t="s">
        <v>6</v>
      </c>
      <c r="H690" s="326"/>
    </row>
    <row r="691" spans="1:8" ht="15.75" customHeight="1">
      <c r="A691" s="426" t="s">
        <v>5</v>
      </c>
      <c r="B691" s="418">
        <v>12720.702106500017</v>
      </c>
      <c r="C691" s="417">
        <v>0.63216405744311099</v>
      </c>
      <c r="D691" s="418">
        <v>7401.7676174999997</v>
      </c>
      <c r="E691" s="417">
        <v>0.36783594255688834</v>
      </c>
      <c r="F691" s="418">
        <v>20122.469724000031</v>
      </c>
      <c r="G691" s="417">
        <v>1</v>
      </c>
      <c r="H691" s="326"/>
    </row>
    <row r="692" spans="1:8">
      <c r="A692" s="425" t="s">
        <v>309</v>
      </c>
      <c r="B692" s="416">
        <v>377.7820640000001</v>
      </c>
      <c r="C692" s="415">
        <v>0.38799948052434469</v>
      </c>
      <c r="D692" s="416">
        <v>595.88435300000003</v>
      </c>
      <c r="E692" s="415">
        <v>0.61200051947565504</v>
      </c>
      <c r="F692" s="416">
        <v>973.66641700000037</v>
      </c>
      <c r="G692" s="415">
        <v>4.8387023578855742E-2</v>
      </c>
      <c r="H692" s="326"/>
    </row>
    <row r="693" spans="1:8">
      <c r="A693" s="425" t="s">
        <v>308</v>
      </c>
      <c r="B693" s="416">
        <v>557.99763099999984</v>
      </c>
      <c r="C693" s="415">
        <v>0.52736415820608962</v>
      </c>
      <c r="D693" s="416">
        <v>500.09026199999977</v>
      </c>
      <c r="E693" s="415">
        <v>0.47263584179391033</v>
      </c>
      <c r="F693" s="416">
        <v>1058.0878929999997</v>
      </c>
      <c r="G693" s="415">
        <v>5.2582407006333834E-2</v>
      </c>
      <c r="H693" s="326"/>
    </row>
    <row r="694" spans="1:8">
      <c r="A694" s="425" t="s">
        <v>307</v>
      </c>
      <c r="B694" s="416">
        <v>796.86058800000001</v>
      </c>
      <c r="C694" s="415">
        <v>0.64921481694731797</v>
      </c>
      <c r="D694" s="416">
        <v>430.56147199999998</v>
      </c>
      <c r="E694" s="415">
        <v>0.35078518305268191</v>
      </c>
      <c r="F694" s="416">
        <v>1227.4220600000001</v>
      </c>
      <c r="G694" s="415">
        <v>6.099758512922776E-2</v>
      </c>
      <c r="H694" s="326"/>
    </row>
    <row r="695" spans="1:8">
      <c r="A695" s="425" t="s">
        <v>306</v>
      </c>
      <c r="B695" s="416">
        <v>552.81275449999987</v>
      </c>
      <c r="C695" s="415">
        <v>0.52376846236613472</v>
      </c>
      <c r="D695" s="416">
        <v>502.63978649999996</v>
      </c>
      <c r="E695" s="415">
        <v>0.476231537633865</v>
      </c>
      <c r="F695" s="416">
        <v>1055.4525410000001</v>
      </c>
      <c r="G695" s="415">
        <v>5.2451441372584791E-2</v>
      </c>
      <c r="H695" s="326"/>
    </row>
    <row r="696" spans="1:8">
      <c r="A696" s="425" t="s">
        <v>305</v>
      </c>
      <c r="B696" s="416">
        <v>998.52675899999974</v>
      </c>
      <c r="C696" s="415">
        <v>0.69240480341950628</v>
      </c>
      <c r="D696" s="416">
        <v>443.58738299999993</v>
      </c>
      <c r="E696" s="415">
        <v>0.30759519658049372</v>
      </c>
      <c r="F696" s="416">
        <v>1442.1141419999997</v>
      </c>
      <c r="G696" s="415">
        <v>7.1666856095700462E-2</v>
      </c>
      <c r="H696" s="326"/>
    </row>
    <row r="697" spans="1:8" ht="25.5">
      <c r="A697" s="425" t="s">
        <v>304</v>
      </c>
      <c r="B697" s="416">
        <v>5039.6139020000082</v>
      </c>
      <c r="C697" s="415">
        <v>0.7142474355256142</v>
      </c>
      <c r="D697" s="416">
        <v>2016.2236849999974</v>
      </c>
      <c r="E697" s="415">
        <v>0.28575256447438258</v>
      </c>
      <c r="F697" s="416">
        <v>7055.8375870000282</v>
      </c>
      <c r="G697" s="415">
        <v>0.35064471129925684</v>
      </c>
      <c r="H697" s="326"/>
    </row>
    <row r="698" spans="1:8" ht="25.5">
      <c r="A698" s="425" t="s">
        <v>303</v>
      </c>
      <c r="B698" s="416">
        <v>4183.0334039999952</v>
      </c>
      <c r="C698" s="415">
        <v>0.59008930926849712</v>
      </c>
      <c r="D698" s="416">
        <v>2905.7806759999971</v>
      </c>
      <c r="E698" s="415">
        <v>0.40991069073150221</v>
      </c>
      <c r="F698" s="416">
        <v>7088.8140799999974</v>
      </c>
      <c r="G698" s="415">
        <v>0.35228350084409288</v>
      </c>
      <c r="H698" s="326"/>
    </row>
    <row r="699" spans="1:8" ht="15.75" thickBot="1">
      <c r="A699" s="427" t="s">
        <v>302</v>
      </c>
      <c r="B699" s="416">
        <v>214.07500400000001</v>
      </c>
      <c r="C699" s="415">
        <v>0.96833653794709418</v>
      </c>
      <c r="D699" s="416">
        <v>7</v>
      </c>
      <c r="E699" s="415">
        <v>3.1663462052905808E-2</v>
      </c>
      <c r="F699" s="416">
        <v>221.07500400000001</v>
      </c>
      <c r="G699" s="415">
        <v>1.0986474673947417E-2</v>
      </c>
      <c r="H699" s="326"/>
    </row>
    <row r="700" spans="1:8" ht="15" customHeight="1">
      <c r="A700" s="426" t="s">
        <v>4</v>
      </c>
      <c r="B700" s="418">
        <v>5771.3188649721669</v>
      </c>
      <c r="C700" s="417">
        <v>0.56707368118785551</v>
      </c>
      <c r="D700" s="418">
        <v>4406.0514775958864</v>
      </c>
      <c r="E700" s="417">
        <v>0.43292631881214533</v>
      </c>
      <c r="F700" s="418">
        <v>10177.370342568045</v>
      </c>
      <c r="G700" s="417">
        <v>1</v>
      </c>
      <c r="H700" s="326"/>
    </row>
    <row r="701" spans="1:8">
      <c r="A701" s="425" t="s">
        <v>309</v>
      </c>
      <c r="B701" s="416">
        <v>169.51785714285717</v>
      </c>
      <c r="C701" s="415">
        <v>0.539804389855567</v>
      </c>
      <c r="D701" s="416">
        <v>144.51785714285714</v>
      </c>
      <c r="E701" s="415">
        <v>0.46019561014443305</v>
      </c>
      <c r="F701" s="416">
        <v>314.03571428571428</v>
      </c>
      <c r="G701" s="415">
        <v>3.0856272663305085E-2</v>
      </c>
      <c r="H701" s="326"/>
    </row>
    <row r="702" spans="1:8">
      <c r="A702" s="425" t="s">
        <v>308</v>
      </c>
      <c r="B702" s="416">
        <v>250.73003636847903</v>
      </c>
      <c r="C702" s="415">
        <v>0.48964240169173046</v>
      </c>
      <c r="D702" s="416">
        <v>261.33761852047377</v>
      </c>
      <c r="E702" s="415">
        <v>0.51035759830826954</v>
      </c>
      <c r="F702" s="416">
        <v>512.0676548889528</v>
      </c>
      <c r="G702" s="415">
        <v>5.0314338346043062E-2</v>
      </c>
      <c r="H702" s="326"/>
    </row>
    <row r="703" spans="1:8">
      <c r="A703" s="425" t="s">
        <v>307</v>
      </c>
      <c r="B703" s="416">
        <v>598.64274322169058</v>
      </c>
      <c r="C703" s="415">
        <v>0.82788503318386442</v>
      </c>
      <c r="D703" s="416">
        <v>124.45614035087719</v>
      </c>
      <c r="E703" s="415">
        <v>0.17211496681613561</v>
      </c>
      <c r="F703" s="416">
        <v>723.09888357256773</v>
      </c>
      <c r="G703" s="415">
        <v>7.1049677788389193E-2</v>
      </c>
      <c r="H703" s="326"/>
    </row>
    <row r="704" spans="1:8">
      <c r="A704" s="425" t="s">
        <v>306</v>
      </c>
      <c r="B704" s="416">
        <v>236.248717136522</v>
      </c>
      <c r="C704" s="415">
        <v>0.24717568207882873</v>
      </c>
      <c r="D704" s="416">
        <v>719.54400142540374</v>
      </c>
      <c r="E704" s="415">
        <v>0.75282431792117122</v>
      </c>
      <c r="F704" s="416">
        <v>955.79271856192577</v>
      </c>
      <c r="G704" s="415">
        <v>9.3913524455743802E-2</v>
      </c>
      <c r="H704" s="326"/>
    </row>
    <row r="705" spans="1:8">
      <c r="A705" s="425" t="s">
        <v>305</v>
      </c>
      <c r="B705" s="416">
        <v>912.25604966233357</v>
      </c>
      <c r="C705" s="415">
        <v>0.83313830197205474</v>
      </c>
      <c r="D705" s="416">
        <v>182.70747260402433</v>
      </c>
      <c r="E705" s="415">
        <v>0.16686169802794526</v>
      </c>
      <c r="F705" s="416">
        <v>1094.9635222663578</v>
      </c>
      <c r="G705" s="415">
        <v>0.1075880591361154</v>
      </c>
      <c r="H705" s="326"/>
    </row>
    <row r="706" spans="1:8" ht="25.5">
      <c r="A706" s="425" t="s">
        <v>304</v>
      </c>
      <c r="B706" s="416">
        <v>1868.1868738280275</v>
      </c>
      <c r="C706" s="415">
        <v>0.53762570592202774</v>
      </c>
      <c r="D706" s="416">
        <v>1606.6969593846907</v>
      </c>
      <c r="E706" s="415">
        <v>0.4623742940779732</v>
      </c>
      <c r="F706" s="416">
        <v>3474.8838332127148</v>
      </c>
      <c r="G706" s="415">
        <v>0.34143238540496124</v>
      </c>
      <c r="H706" s="326"/>
    </row>
    <row r="707" spans="1:8" ht="25.5">
      <c r="A707" s="425" t="s">
        <v>303</v>
      </c>
      <c r="B707" s="416">
        <v>1527.6348018979772</v>
      </c>
      <c r="C707" s="415">
        <v>0.60026947463620939</v>
      </c>
      <c r="D707" s="416">
        <v>1017.2802178500998</v>
      </c>
      <c r="E707" s="415">
        <v>0.39973052536379022</v>
      </c>
      <c r="F707" s="416">
        <v>2544.9150197480781</v>
      </c>
      <c r="G707" s="415">
        <v>0.25005624577732743</v>
      </c>
      <c r="H707" s="326"/>
    </row>
    <row r="708" spans="1:8" ht="15.75" thickBot="1">
      <c r="A708" s="427" t="s">
        <v>302</v>
      </c>
      <c r="B708" s="416">
        <v>208.10178571428571</v>
      </c>
      <c r="C708" s="415">
        <v>0.37320110398294593</v>
      </c>
      <c r="D708" s="416">
        <v>349.51121031746027</v>
      </c>
      <c r="E708" s="415">
        <v>0.62679889601705385</v>
      </c>
      <c r="F708" s="416">
        <v>557.61299603174609</v>
      </c>
      <c r="G708" s="415">
        <v>5.478949642811605E-2</v>
      </c>
      <c r="H708" s="326"/>
    </row>
    <row r="709" spans="1:8" ht="15.75" customHeight="1">
      <c r="A709" s="426" t="s">
        <v>3</v>
      </c>
      <c r="B709" s="418">
        <v>2331.1965533397074</v>
      </c>
      <c r="C709" s="417">
        <v>0.47662005806157914</v>
      </c>
      <c r="D709" s="418">
        <v>2559.9038397505933</v>
      </c>
      <c r="E709" s="417">
        <v>0.52337994193842274</v>
      </c>
      <c r="F709" s="418">
        <v>4891.1003930902916</v>
      </c>
      <c r="G709" s="417">
        <v>1</v>
      </c>
      <c r="H709" s="326"/>
    </row>
    <row r="710" spans="1:8">
      <c r="A710" s="425" t="s">
        <v>309</v>
      </c>
      <c r="B710" s="416">
        <v>51.172549019607843</v>
      </c>
      <c r="C710" s="415">
        <v>0.43575586896267687</v>
      </c>
      <c r="D710" s="416">
        <v>66.261437908496731</v>
      </c>
      <c r="E710" s="415">
        <v>0.56424413103732318</v>
      </c>
      <c r="F710" s="416">
        <v>117.43398692810457</v>
      </c>
      <c r="G710" s="415">
        <v>2.4009727359921865E-2</v>
      </c>
      <c r="H710" s="326"/>
    </row>
    <row r="711" spans="1:8">
      <c r="A711" s="425" t="s">
        <v>308</v>
      </c>
      <c r="B711" s="416">
        <v>265.23337145035259</v>
      </c>
      <c r="C711" s="415">
        <v>0.82485284545169835</v>
      </c>
      <c r="D711" s="416">
        <v>56.318979266347696</v>
      </c>
      <c r="E711" s="415">
        <v>0.17514715454830201</v>
      </c>
      <c r="F711" s="416">
        <v>321.55235071670018</v>
      </c>
      <c r="G711" s="415">
        <v>6.5742332987268171E-2</v>
      </c>
      <c r="H711" s="326"/>
    </row>
    <row r="712" spans="1:8">
      <c r="A712" s="425" t="s">
        <v>307</v>
      </c>
      <c r="B712" s="416">
        <v>359.45515046296293</v>
      </c>
      <c r="C712" s="415">
        <v>0.55604707352597571</v>
      </c>
      <c r="D712" s="416">
        <v>286.9921875</v>
      </c>
      <c r="E712" s="415">
        <v>0.44395292647402429</v>
      </c>
      <c r="F712" s="416">
        <v>646.44733796296293</v>
      </c>
      <c r="G712" s="415">
        <v>0.13216807793931318</v>
      </c>
      <c r="H712" s="326"/>
    </row>
    <row r="713" spans="1:8">
      <c r="A713" s="425" t="s">
        <v>306</v>
      </c>
      <c r="B713" s="416">
        <v>79.449259259259264</v>
      </c>
      <c r="C713" s="415">
        <v>0.20519374458852113</v>
      </c>
      <c r="D713" s="416">
        <v>307.74217008270409</v>
      </c>
      <c r="E713" s="415">
        <v>0.79480625541147876</v>
      </c>
      <c r="F713" s="416">
        <v>387.19142934196339</v>
      </c>
      <c r="G713" s="415">
        <v>7.9162437534292432E-2</v>
      </c>
      <c r="H713" s="326"/>
    </row>
    <row r="714" spans="1:8">
      <c r="A714" s="425" t="s">
        <v>305</v>
      </c>
      <c r="B714" s="416">
        <v>244.49624513304687</v>
      </c>
      <c r="C714" s="415">
        <v>0.49692808919685061</v>
      </c>
      <c r="D714" s="416">
        <v>247.51909963888721</v>
      </c>
      <c r="E714" s="415">
        <v>0.50307191080314939</v>
      </c>
      <c r="F714" s="416">
        <v>492.01534477193405</v>
      </c>
      <c r="G714" s="415">
        <v>0.10059399832949845</v>
      </c>
      <c r="H714" s="326"/>
    </row>
    <row r="715" spans="1:8" ht="25.5">
      <c r="A715" s="425" t="s">
        <v>304</v>
      </c>
      <c r="B715" s="416">
        <v>916.32193017990687</v>
      </c>
      <c r="C715" s="415">
        <v>0.56992506948031985</v>
      </c>
      <c r="D715" s="416">
        <v>691.47175928780609</v>
      </c>
      <c r="E715" s="415">
        <v>0.43007493051967932</v>
      </c>
      <c r="F715" s="416">
        <v>1607.7936894677143</v>
      </c>
      <c r="G715" s="415">
        <v>0.32871819432270521</v>
      </c>
      <c r="H715" s="326"/>
    </row>
    <row r="716" spans="1:8" ht="25.5">
      <c r="A716" s="425" t="s">
        <v>303</v>
      </c>
      <c r="B716" s="416">
        <v>258.04502151877915</v>
      </c>
      <c r="C716" s="415">
        <v>0.23824893672154787</v>
      </c>
      <c r="D716" s="416">
        <v>825.04489724282166</v>
      </c>
      <c r="E716" s="415">
        <v>0.76175106327845166</v>
      </c>
      <c r="F716" s="416">
        <v>1083.0899187616012</v>
      </c>
      <c r="G716" s="415">
        <v>0.2214409502392741</v>
      </c>
      <c r="H716" s="326"/>
    </row>
    <row r="717" spans="1:8" ht="15.75" thickBot="1">
      <c r="A717" s="424" t="s">
        <v>302</v>
      </c>
      <c r="B717" s="422">
        <v>157.02302631578948</v>
      </c>
      <c r="C717" s="420">
        <v>0.66654838748096945</v>
      </c>
      <c r="D717" s="422">
        <v>78.55330882352942</v>
      </c>
      <c r="E717" s="420">
        <v>0.33345161251903044</v>
      </c>
      <c r="F717" s="422">
        <v>235.5763351393189</v>
      </c>
      <c r="G717" s="420">
        <v>4.8164281287728226E-2</v>
      </c>
      <c r="H717" s="326"/>
    </row>
    <row r="721" spans="1:26" ht="15.75" thickBot="1"/>
    <row r="722" spans="1:26" ht="15" customHeight="1">
      <c r="A722" s="830" t="s">
        <v>310</v>
      </c>
      <c r="B722" s="849" t="s">
        <v>330</v>
      </c>
      <c r="C722" s="850"/>
      <c r="D722" s="850"/>
      <c r="E722" s="850"/>
      <c r="F722" s="850"/>
      <c r="G722" s="850"/>
      <c r="H722" s="850"/>
      <c r="I722" s="850"/>
      <c r="J722" s="850"/>
      <c r="K722" s="850"/>
      <c r="L722" s="850"/>
      <c r="M722" s="850"/>
      <c r="N722" s="850"/>
      <c r="O722" s="850"/>
      <c r="P722" s="850"/>
      <c r="Q722" s="850"/>
      <c r="R722" s="850"/>
      <c r="S722" s="850"/>
      <c r="T722" s="850"/>
      <c r="U722" s="850"/>
      <c r="V722" s="850"/>
      <c r="W722" s="850"/>
      <c r="X722" s="850"/>
      <c r="Y722" s="851"/>
      <c r="Z722" s="326"/>
    </row>
    <row r="723" spans="1:26" ht="37.5" customHeight="1">
      <c r="A723" s="831"/>
      <c r="B723" s="848" t="s">
        <v>165</v>
      </c>
      <c r="C723" s="810"/>
      <c r="D723" s="781" t="s">
        <v>164</v>
      </c>
      <c r="E723" s="810"/>
      <c r="F723" s="781" t="s">
        <v>163</v>
      </c>
      <c r="G723" s="810"/>
      <c r="H723" s="781" t="s">
        <v>162</v>
      </c>
      <c r="I723" s="810"/>
      <c r="J723" s="781" t="s">
        <v>161</v>
      </c>
      <c r="K723" s="810"/>
      <c r="L723" s="781" t="s">
        <v>160</v>
      </c>
      <c r="M723" s="810"/>
      <c r="N723" s="781" t="s">
        <v>58</v>
      </c>
      <c r="O723" s="810"/>
      <c r="P723" s="781" t="s">
        <v>159</v>
      </c>
      <c r="Q723" s="810"/>
      <c r="R723" s="781" t="s">
        <v>158</v>
      </c>
      <c r="S723" s="810"/>
      <c r="T723" s="781" t="s">
        <v>56</v>
      </c>
      <c r="U723" s="810"/>
      <c r="V723" s="781" t="s">
        <v>157</v>
      </c>
      <c r="W723" s="810"/>
      <c r="X723" s="836" t="s">
        <v>9</v>
      </c>
      <c r="Y723" s="852"/>
      <c r="Z723" s="326"/>
    </row>
    <row r="724" spans="1:26" ht="15.75" customHeight="1" thickBot="1">
      <c r="A724" s="832"/>
      <c r="B724" s="429" t="s">
        <v>7</v>
      </c>
      <c r="C724" s="429" t="s">
        <v>8</v>
      </c>
      <c r="D724" s="428" t="s">
        <v>7</v>
      </c>
      <c r="E724" s="428" t="s">
        <v>8</v>
      </c>
      <c r="F724" s="429" t="s">
        <v>7</v>
      </c>
      <c r="G724" s="429" t="s">
        <v>8</v>
      </c>
      <c r="H724" s="428" t="s">
        <v>7</v>
      </c>
      <c r="I724" s="428" t="s">
        <v>8</v>
      </c>
      <c r="J724" s="429" t="s">
        <v>7</v>
      </c>
      <c r="K724" s="429" t="s">
        <v>8</v>
      </c>
      <c r="L724" s="428" t="s">
        <v>7</v>
      </c>
      <c r="M724" s="428" t="s">
        <v>8</v>
      </c>
      <c r="N724" s="429" t="s">
        <v>7</v>
      </c>
      <c r="O724" s="429" t="s">
        <v>8</v>
      </c>
      <c r="P724" s="428" t="s">
        <v>7</v>
      </c>
      <c r="Q724" s="428" t="s">
        <v>8</v>
      </c>
      <c r="R724" s="429" t="s">
        <v>7</v>
      </c>
      <c r="S724" s="429" t="s">
        <v>8</v>
      </c>
      <c r="T724" s="428" t="s">
        <v>7</v>
      </c>
      <c r="U724" s="428" t="s">
        <v>8</v>
      </c>
      <c r="V724" s="429" t="s">
        <v>7</v>
      </c>
      <c r="W724" s="429" t="s">
        <v>8</v>
      </c>
      <c r="X724" s="428" t="s">
        <v>7</v>
      </c>
      <c r="Y724" s="428" t="s">
        <v>6</v>
      </c>
      <c r="Z724" s="326"/>
    </row>
    <row r="725" spans="1:26" ht="15.75" customHeight="1">
      <c r="A725" s="426" t="s">
        <v>5</v>
      </c>
      <c r="B725" s="418">
        <v>91.675581999999991</v>
      </c>
      <c r="C725" s="417">
        <v>1.2385633640166087E-2</v>
      </c>
      <c r="D725" s="418">
        <v>1793.689355</v>
      </c>
      <c r="E725" s="417">
        <v>0.24233256806917042</v>
      </c>
      <c r="F725" s="418">
        <v>150.43101199999995</v>
      </c>
      <c r="G725" s="417">
        <v>2.0323660478658623E-2</v>
      </c>
      <c r="H725" s="418">
        <v>310.977619</v>
      </c>
      <c r="I725" s="417">
        <v>4.2013966807706256E-2</v>
      </c>
      <c r="J725" s="418">
        <v>51.747953000000003</v>
      </c>
      <c r="K725" s="417">
        <v>6.9912966299634036E-3</v>
      </c>
      <c r="L725" s="418">
        <v>181.97991099999999</v>
      </c>
      <c r="M725" s="417">
        <v>2.4586007073465109E-2</v>
      </c>
      <c r="N725" s="418">
        <v>0</v>
      </c>
      <c r="O725" s="417">
        <v>0</v>
      </c>
      <c r="P725" s="418">
        <v>57.082385000000002</v>
      </c>
      <c r="Q725" s="417">
        <v>7.7119936682475843E-3</v>
      </c>
      <c r="R725" s="418">
        <v>408.80354900000003</v>
      </c>
      <c r="S725" s="417">
        <v>5.5230530074122527E-2</v>
      </c>
      <c r="T725" s="418">
        <v>617.14726699999994</v>
      </c>
      <c r="U725" s="417">
        <v>8.3378362965743288E-2</v>
      </c>
      <c r="V725" s="418">
        <v>3738.232984499999</v>
      </c>
      <c r="W725" s="417">
        <v>0.50504598059275663</v>
      </c>
      <c r="X725" s="418">
        <v>7401.7676174999997</v>
      </c>
      <c r="Y725" s="417">
        <v>1</v>
      </c>
      <c r="Z725" s="326"/>
    </row>
    <row r="726" spans="1:26">
      <c r="A726" s="425" t="s">
        <v>309</v>
      </c>
      <c r="B726" s="416">
        <v>0</v>
      </c>
      <c r="C726" s="415">
        <v>0</v>
      </c>
      <c r="D726" s="416">
        <v>303.36295600000005</v>
      </c>
      <c r="E726" s="415">
        <v>0.50909703279287155</v>
      </c>
      <c r="F726" s="416">
        <v>52.237290000000002</v>
      </c>
      <c r="G726" s="415">
        <v>8.7663469827676435E-2</v>
      </c>
      <c r="H726" s="416">
        <v>0</v>
      </c>
      <c r="I726" s="415">
        <v>0</v>
      </c>
      <c r="J726" s="416">
        <v>0</v>
      </c>
      <c r="K726" s="415">
        <v>0</v>
      </c>
      <c r="L726" s="416">
        <v>0</v>
      </c>
      <c r="M726" s="415">
        <v>0</v>
      </c>
      <c r="N726" s="416">
        <v>0</v>
      </c>
      <c r="O726" s="415">
        <v>0</v>
      </c>
      <c r="P726" s="416">
        <v>0</v>
      </c>
      <c r="Q726" s="415">
        <v>0</v>
      </c>
      <c r="R726" s="416">
        <v>52.237290000000002</v>
      </c>
      <c r="S726" s="415">
        <v>8.7663469827676435E-2</v>
      </c>
      <c r="T726" s="416">
        <v>0</v>
      </c>
      <c r="U726" s="415">
        <v>0</v>
      </c>
      <c r="V726" s="416">
        <v>188.046817</v>
      </c>
      <c r="W726" s="415">
        <v>0.31557602755177561</v>
      </c>
      <c r="X726" s="416">
        <v>595.88435300000003</v>
      </c>
      <c r="Y726" s="415">
        <v>8.0505682398235606E-2</v>
      </c>
      <c r="Z726" s="326"/>
    </row>
    <row r="727" spans="1:26">
      <c r="A727" s="425" t="s">
        <v>308</v>
      </c>
      <c r="B727" s="416">
        <v>0</v>
      </c>
      <c r="C727" s="415">
        <v>0</v>
      </c>
      <c r="D727" s="416">
        <v>79.330167999999986</v>
      </c>
      <c r="E727" s="415">
        <v>0.15863169917113887</v>
      </c>
      <c r="F727" s="416">
        <v>6.9052629999999997</v>
      </c>
      <c r="G727" s="415">
        <v>1.38080333185932E-2</v>
      </c>
      <c r="H727" s="416">
        <v>0</v>
      </c>
      <c r="I727" s="415">
        <v>0</v>
      </c>
      <c r="J727" s="416">
        <v>0</v>
      </c>
      <c r="K727" s="415">
        <v>0</v>
      </c>
      <c r="L727" s="416">
        <v>6.9052629999999997</v>
      </c>
      <c r="M727" s="415">
        <v>1.38080333185932E-2</v>
      </c>
      <c r="N727" s="416">
        <v>0</v>
      </c>
      <c r="O727" s="415">
        <v>0</v>
      </c>
      <c r="P727" s="416">
        <v>6.9052629999999997</v>
      </c>
      <c r="Q727" s="415">
        <v>1.38080333185932E-2</v>
      </c>
      <c r="R727" s="416">
        <v>90.308773000000002</v>
      </c>
      <c r="S727" s="415">
        <v>0.18058494608319337</v>
      </c>
      <c r="T727" s="416">
        <v>6.9052629999999997</v>
      </c>
      <c r="U727" s="415">
        <v>1.38080333185932E-2</v>
      </c>
      <c r="V727" s="416">
        <v>302.83026899999993</v>
      </c>
      <c r="W727" s="415">
        <v>0.60555122147129525</v>
      </c>
      <c r="X727" s="416">
        <v>500.09026199999977</v>
      </c>
      <c r="Y727" s="415">
        <v>6.7563626398866719E-2</v>
      </c>
      <c r="Z727" s="326"/>
    </row>
    <row r="728" spans="1:26">
      <c r="A728" s="425" t="s">
        <v>307</v>
      </c>
      <c r="B728" s="416">
        <v>0</v>
      </c>
      <c r="C728" s="415">
        <v>0</v>
      </c>
      <c r="D728" s="416">
        <v>241.73441199999996</v>
      </c>
      <c r="E728" s="415">
        <v>0.56143995159882765</v>
      </c>
      <c r="F728" s="416">
        <v>0</v>
      </c>
      <c r="G728" s="415">
        <v>0</v>
      </c>
      <c r="H728" s="416">
        <v>9.375</v>
      </c>
      <c r="I728" s="415">
        <v>2.1773894344173924E-2</v>
      </c>
      <c r="J728" s="416">
        <v>0</v>
      </c>
      <c r="K728" s="415">
        <v>0</v>
      </c>
      <c r="L728" s="416">
        <v>0</v>
      </c>
      <c r="M728" s="415">
        <v>0</v>
      </c>
      <c r="N728" s="416">
        <v>0</v>
      </c>
      <c r="O728" s="415">
        <v>0</v>
      </c>
      <c r="P728" s="416">
        <v>0</v>
      </c>
      <c r="Q728" s="415">
        <v>0</v>
      </c>
      <c r="R728" s="416">
        <v>0</v>
      </c>
      <c r="S728" s="415">
        <v>0</v>
      </c>
      <c r="T728" s="416">
        <v>89.726029999999994</v>
      </c>
      <c r="U728" s="415">
        <v>0.20839307702849919</v>
      </c>
      <c r="V728" s="416">
        <v>89.726029999999994</v>
      </c>
      <c r="W728" s="415">
        <v>0.20839307702849919</v>
      </c>
      <c r="X728" s="416">
        <v>430.56147199999998</v>
      </c>
      <c r="Y728" s="415">
        <v>5.8170087774982761E-2</v>
      </c>
      <c r="Z728" s="326"/>
    </row>
    <row r="729" spans="1:26">
      <c r="A729" s="425" t="s">
        <v>306</v>
      </c>
      <c r="B729" s="416">
        <v>0</v>
      </c>
      <c r="C729" s="415">
        <v>0</v>
      </c>
      <c r="D729" s="416">
        <v>87.909734</v>
      </c>
      <c r="E729" s="415">
        <v>0.17489609131846948</v>
      </c>
      <c r="F729" s="416">
        <v>72.371899999999997</v>
      </c>
      <c r="G729" s="415">
        <v>0.14398362792556216</v>
      </c>
      <c r="H729" s="416">
        <v>101.67164</v>
      </c>
      <c r="I729" s="415">
        <v>0.20227535251032105</v>
      </c>
      <c r="J729" s="416">
        <v>0</v>
      </c>
      <c r="K729" s="415">
        <v>0</v>
      </c>
      <c r="L729" s="416">
        <v>0</v>
      </c>
      <c r="M729" s="415">
        <v>0</v>
      </c>
      <c r="N729" s="416">
        <v>0</v>
      </c>
      <c r="O729" s="415">
        <v>0</v>
      </c>
      <c r="P729" s="416">
        <v>0</v>
      </c>
      <c r="Q729" s="415">
        <v>0</v>
      </c>
      <c r="R729" s="416">
        <v>72.371899999999997</v>
      </c>
      <c r="S729" s="415">
        <v>0.14398362792556216</v>
      </c>
      <c r="T729" s="416">
        <v>59.68421</v>
      </c>
      <c r="U729" s="415">
        <v>0.11874151550078299</v>
      </c>
      <c r="V729" s="416">
        <v>108.6304025</v>
      </c>
      <c r="W729" s="415">
        <v>0.21611978481930222</v>
      </c>
      <c r="X729" s="416">
        <v>502.63978649999996</v>
      </c>
      <c r="Y729" s="415">
        <v>6.7908074459350584E-2</v>
      </c>
      <c r="Z729" s="326"/>
    </row>
    <row r="730" spans="1:26">
      <c r="A730" s="425" t="s">
        <v>305</v>
      </c>
      <c r="B730" s="416">
        <v>0</v>
      </c>
      <c r="C730" s="415">
        <v>0</v>
      </c>
      <c r="D730" s="416">
        <v>54.438353999999997</v>
      </c>
      <c r="E730" s="415">
        <v>0.12272295400250373</v>
      </c>
      <c r="F730" s="416">
        <v>5.7886179999999996</v>
      </c>
      <c r="G730" s="415">
        <v>1.3049555108739421E-2</v>
      </c>
      <c r="H730" s="416">
        <v>5.7886179999999996</v>
      </c>
      <c r="I730" s="415">
        <v>1.3049555108739421E-2</v>
      </c>
      <c r="J730" s="416">
        <v>0</v>
      </c>
      <c r="K730" s="415">
        <v>0</v>
      </c>
      <c r="L730" s="416">
        <v>0</v>
      </c>
      <c r="M730" s="415">
        <v>0</v>
      </c>
      <c r="N730" s="416">
        <v>0</v>
      </c>
      <c r="O730" s="415">
        <v>0</v>
      </c>
      <c r="P730" s="416">
        <v>0</v>
      </c>
      <c r="Q730" s="415">
        <v>0</v>
      </c>
      <c r="R730" s="416">
        <v>8.8730150000000005</v>
      </c>
      <c r="S730" s="415">
        <v>2.0002857024452387E-2</v>
      </c>
      <c r="T730" s="416">
        <v>128.74141600000002</v>
      </c>
      <c r="U730" s="415">
        <v>0.29022785799117296</v>
      </c>
      <c r="V730" s="416">
        <v>239.95736199999999</v>
      </c>
      <c r="W730" s="415">
        <v>0.54094722076439228</v>
      </c>
      <c r="X730" s="416">
        <v>443.58738299999993</v>
      </c>
      <c r="Y730" s="415">
        <v>5.9929925650627866E-2</v>
      </c>
      <c r="Z730" s="326"/>
    </row>
    <row r="731" spans="1:26" ht="25.5">
      <c r="A731" s="425" t="s">
        <v>304</v>
      </c>
      <c r="B731" s="416">
        <v>86.902062999999998</v>
      </c>
      <c r="C731" s="415">
        <v>4.3101399733829683E-2</v>
      </c>
      <c r="D731" s="416">
        <v>595.96972000000005</v>
      </c>
      <c r="E731" s="415">
        <v>0.29558710396758425</v>
      </c>
      <c r="F731" s="416">
        <v>6.108333</v>
      </c>
      <c r="G731" s="415">
        <v>3.0295909354918658E-3</v>
      </c>
      <c r="H731" s="416">
        <v>80.793729999999996</v>
      </c>
      <c r="I731" s="415">
        <v>4.007180879833782E-2</v>
      </c>
      <c r="J731" s="416">
        <v>6.108333</v>
      </c>
      <c r="K731" s="415">
        <v>3.0295909354918658E-3</v>
      </c>
      <c r="L731" s="416">
        <v>168.05503999999999</v>
      </c>
      <c r="M731" s="415">
        <v>8.3351386679102635E-2</v>
      </c>
      <c r="N731" s="416">
        <v>0</v>
      </c>
      <c r="O731" s="415">
        <v>0</v>
      </c>
      <c r="P731" s="416">
        <v>23.615552999999998</v>
      </c>
      <c r="Q731" s="415">
        <v>1.1712764399948028E-2</v>
      </c>
      <c r="R731" s="416">
        <v>114.328245</v>
      </c>
      <c r="S731" s="415">
        <v>5.6704147387297531E-2</v>
      </c>
      <c r="T731" s="416">
        <v>99.118729000000002</v>
      </c>
      <c r="U731" s="415">
        <v>4.9160581604813423E-2</v>
      </c>
      <c r="V731" s="416">
        <v>835.22393900000031</v>
      </c>
      <c r="W731" s="415">
        <v>0.41425162555810435</v>
      </c>
      <c r="X731" s="416">
        <v>2016.2236849999974</v>
      </c>
      <c r="Y731" s="415">
        <v>0.27239759327664376</v>
      </c>
      <c r="Z731" s="326"/>
    </row>
    <row r="732" spans="1:26" ht="25.5">
      <c r="A732" s="425" t="s">
        <v>303</v>
      </c>
      <c r="B732" s="416">
        <v>4.7735190000000003</v>
      </c>
      <c r="C732" s="415">
        <v>1.6427664480758648E-3</v>
      </c>
      <c r="D732" s="416">
        <v>430.94401100000005</v>
      </c>
      <c r="E732" s="415">
        <v>0.14830575981158478</v>
      </c>
      <c r="F732" s="416">
        <v>7.0196079999999998</v>
      </c>
      <c r="G732" s="415">
        <v>2.4157391017077599E-3</v>
      </c>
      <c r="H732" s="416">
        <v>113.34863099999998</v>
      </c>
      <c r="I732" s="415">
        <v>3.9007978797640022E-2</v>
      </c>
      <c r="J732" s="416">
        <v>45.639620000000001</v>
      </c>
      <c r="K732" s="415">
        <v>1.5706491676042808E-2</v>
      </c>
      <c r="L732" s="416">
        <v>7.0196079999999998</v>
      </c>
      <c r="M732" s="415">
        <v>2.4157391017077599E-3</v>
      </c>
      <c r="N732" s="416">
        <v>0</v>
      </c>
      <c r="O732" s="415">
        <v>0</v>
      </c>
      <c r="P732" s="416">
        <v>26.561568999999999</v>
      </c>
      <c r="Q732" s="415">
        <v>9.1409407528182021E-3</v>
      </c>
      <c r="R732" s="416">
        <v>70.684325999999999</v>
      </c>
      <c r="S732" s="415">
        <v>2.4325416774848178E-2</v>
      </c>
      <c r="T732" s="416">
        <v>232.97161900000003</v>
      </c>
      <c r="U732" s="415">
        <v>8.0175224828289926E-2</v>
      </c>
      <c r="V732" s="416">
        <v>1966.8181649999997</v>
      </c>
      <c r="W732" s="415">
        <v>0.67686394270728556</v>
      </c>
      <c r="X732" s="416">
        <v>2905.7806759999971</v>
      </c>
      <c r="Y732" s="415">
        <v>0.39257928999687314</v>
      </c>
      <c r="Z732" s="326"/>
    </row>
    <row r="733" spans="1:26" ht="15.75" thickBot="1">
      <c r="A733" s="427" t="s">
        <v>302</v>
      </c>
      <c r="B733" s="416">
        <v>0</v>
      </c>
      <c r="C733" s="415">
        <v>0</v>
      </c>
      <c r="D733" s="416">
        <v>0</v>
      </c>
      <c r="E733" s="415">
        <v>0</v>
      </c>
      <c r="F733" s="416">
        <v>0</v>
      </c>
      <c r="G733" s="415">
        <v>0</v>
      </c>
      <c r="H733" s="416">
        <v>0</v>
      </c>
      <c r="I733" s="415">
        <v>0</v>
      </c>
      <c r="J733" s="416">
        <v>0</v>
      </c>
      <c r="K733" s="415">
        <v>0</v>
      </c>
      <c r="L733" s="416">
        <v>0</v>
      </c>
      <c r="M733" s="415">
        <v>0</v>
      </c>
      <c r="N733" s="416">
        <v>0</v>
      </c>
      <c r="O733" s="415">
        <v>0</v>
      </c>
      <c r="P733" s="416">
        <v>0</v>
      </c>
      <c r="Q733" s="415">
        <v>0</v>
      </c>
      <c r="R733" s="416">
        <v>0</v>
      </c>
      <c r="S733" s="415">
        <v>0</v>
      </c>
      <c r="T733" s="416">
        <v>0</v>
      </c>
      <c r="U733" s="415">
        <v>0</v>
      </c>
      <c r="V733" s="416">
        <v>7</v>
      </c>
      <c r="W733" s="415">
        <v>1</v>
      </c>
      <c r="X733" s="416">
        <v>7</v>
      </c>
      <c r="Y733" s="415">
        <v>9.4572004441883573E-4</v>
      </c>
      <c r="Z733" s="326"/>
    </row>
    <row r="734" spans="1:26" ht="15" customHeight="1">
      <c r="A734" s="426" t="s">
        <v>4</v>
      </c>
      <c r="B734" s="418">
        <v>0</v>
      </c>
      <c r="C734" s="417">
        <v>0</v>
      </c>
      <c r="D734" s="418">
        <v>955.52587563411146</v>
      </c>
      <c r="E734" s="417">
        <v>0.21686670718506529</v>
      </c>
      <c r="F734" s="418">
        <v>306.35129131114991</v>
      </c>
      <c r="G734" s="417">
        <v>6.9529666838642368E-2</v>
      </c>
      <c r="H734" s="418">
        <v>133.6592528560318</v>
      </c>
      <c r="I734" s="417">
        <v>3.0335381585001705E-2</v>
      </c>
      <c r="J734" s="418">
        <v>72.982762499515133</v>
      </c>
      <c r="K734" s="417">
        <v>1.6564210125692262E-2</v>
      </c>
      <c r="L734" s="418">
        <v>138.91005291005291</v>
      </c>
      <c r="M734" s="417">
        <v>3.1527106212078951E-2</v>
      </c>
      <c r="N734" s="418">
        <v>15.172413793103448</v>
      </c>
      <c r="O734" s="417">
        <v>3.4435398383911098E-3</v>
      </c>
      <c r="P734" s="418">
        <v>222.6458019670182</v>
      </c>
      <c r="Q734" s="417">
        <v>5.0531820406352228E-2</v>
      </c>
      <c r="R734" s="418">
        <v>419.48450331887909</v>
      </c>
      <c r="S734" s="417">
        <v>9.5206446282322194E-2</v>
      </c>
      <c r="T734" s="418">
        <v>364.87820006592727</v>
      </c>
      <c r="U734" s="417">
        <v>8.2812968010310004E-2</v>
      </c>
      <c r="V734" s="418">
        <v>1776.441323240098</v>
      </c>
      <c r="W734" s="417">
        <v>0.40318215351614406</v>
      </c>
      <c r="X734" s="418">
        <v>4406.0514775958864</v>
      </c>
      <c r="Y734" s="417">
        <v>1</v>
      </c>
      <c r="Z734" s="326"/>
    </row>
    <row r="735" spans="1:26">
      <c r="A735" s="425" t="s">
        <v>309</v>
      </c>
      <c r="B735" s="416">
        <v>0</v>
      </c>
      <c r="C735" s="415">
        <v>0</v>
      </c>
      <c r="D735" s="416">
        <v>39.839285714285715</v>
      </c>
      <c r="E735" s="415">
        <v>0.27567033238601263</v>
      </c>
      <c r="F735" s="416">
        <v>0</v>
      </c>
      <c r="G735" s="415">
        <v>0</v>
      </c>
      <c r="H735" s="416">
        <v>39.839285714285715</v>
      </c>
      <c r="I735" s="415">
        <v>0.27567033238601263</v>
      </c>
      <c r="J735" s="416">
        <v>0</v>
      </c>
      <c r="K735" s="415">
        <v>0</v>
      </c>
      <c r="L735" s="416">
        <v>0</v>
      </c>
      <c r="M735" s="415">
        <v>0</v>
      </c>
      <c r="N735" s="416">
        <v>0</v>
      </c>
      <c r="O735" s="415">
        <v>0</v>
      </c>
      <c r="P735" s="416">
        <v>0</v>
      </c>
      <c r="Q735" s="415">
        <v>0</v>
      </c>
      <c r="R735" s="416">
        <v>0</v>
      </c>
      <c r="S735" s="415">
        <v>0</v>
      </c>
      <c r="T735" s="416">
        <v>0</v>
      </c>
      <c r="U735" s="415">
        <v>0</v>
      </c>
      <c r="V735" s="416">
        <v>64.839285714285722</v>
      </c>
      <c r="W735" s="415">
        <v>0.44865933522797485</v>
      </c>
      <c r="X735" s="416">
        <v>144.51785714285714</v>
      </c>
      <c r="Y735" s="415">
        <v>3.2799856714727203E-2</v>
      </c>
      <c r="Z735" s="326"/>
    </row>
    <row r="736" spans="1:26">
      <c r="A736" s="425" t="s">
        <v>308</v>
      </c>
      <c r="B736" s="416">
        <v>0</v>
      </c>
      <c r="C736" s="415">
        <v>0</v>
      </c>
      <c r="D736" s="416">
        <v>20.320754716981131</v>
      </c>
      <c r="E736" s="415">
        <v>7.7756714980507707E-2</v>
      </c>
      <c r="F736" s="416">
        <v>20.320754716981131</v>
      </c>
      <c r="G736" s="415">
        <v>7.7756714980507707E-2</v>
      </c>
      <c r="H736" s="416">
        <v>0</v>
      </c>
      <c r="I736" s="415">
        <v>0</v>
      </c>
      <c r="J736" s="416">
        <v>0</v>
      </c>
      <c r="K736" s="415">
        <v>0</v>
      </c>
      <c r="L736" s="416">
        <v>0</v>
      </c>
      <c r="M736" s="415">
        <v>0</v>
      </c>
      <c r="N736" s="416">
        <v>0</v>
      </c>
      <c r="O736" s="415">
        <v>0</v>
      </c>
      <c r="P736" s="416">
        <v>0</v>
      </c>
      <c r="Q736" s="415">
        <v>0</v>
      </c>
      <c r="R736" s="416">
        <v>107.25</v>
      </c>
      <c r="S736" s="415">
        <v>0.41038867885603614</v>
      </c>
      <c r="T736" s="416">
        <v>0</v>
      </c>
      <c r="U736" s="415">
        <v>0</v>
      </c>
      <c r="V736" s="416">
        <v>113.44610908651153</v>
      </c>
      <c r="W736" s="415">
        <v>0.43409789118294845</v>
      </c>
      <c r="X736" s="416">
        <v>261.33761852047377</v>
      </c>
      <c r="Y736" s="415">
        <v>5.9313337542544954E-2</v>
      </c>
      <c r="Z736" s="326"/>
    </row>
    <row r="737" spans="1:26">
      <c r="A737" s="425" t="s">
        <v>307</v>
      </c>
      <c r="B737" s="416">
        <v>0</v>
      </c>
      <c r="C737" s="415">
        <v>0</v>
      </c>
      <c r="D737" s="416">
        <v>0</v>
      </c>
      <c r="E737" s="415">
        <v>0</v>
      </c>
      <c r="F737" s="416">
        <v>120.45614035087719</v>
      </c>
      <c r="G737" s="415">
        <v>0.96786016351846627</v>
      </c>
      <c r="H737" s="416">
        <v>0</v>
      </c>
      <c r="I737" s="415">
        <v>0</v>
      </c>
      <c r="J737" s="416">
        <v>0</v>
      </c>
      <c r="K737" s="415">
        <v>0</v>
      </c>
      <c r="L737" s="416">
        <v>0</v>
      </c>
      <c r="M737" s="415">
        <v>0</v>
      </c>
      <c r="N737" s="416">
        <v>0</v>
      </c>
      <c r="O737" s="415">
        <v>0</v>
      </c>
      <c r="P737" s="416">
        <v>0</v>
      </c>
      <c r="Q737" s="415">
        <v>0</v>
      </c>
      <c r="R737" s="416">
        <v>0</v>
      </c>
      <c r="S737" s="415">
        <v>0</v>
      </c>
      <c r="T737" s="416">
        <v>0</v>
      </c>
      <c r="U737" s="415">
        <v>0</v>
      </c>
      <c r="V737" s="416">
        <v>4</v>
      </c>
      <c r="W737" s="415">
        <v>3.2139836481533693E-2</v>
      </c>
      <c r="X737" s="416">
        <v>124.45614035087719</v>
      </c>
      <c r="Y737" s="415">
        <v>2.8246637830655875E-2</v>
      </c>
      <c r="Z737" s="326"/>
    </row>
    <row r="738" spans="1:26">
      <c r="A738" s="425" t="s">
        <v>306</v>
      </c>
      <c r="B738" s="416">
        <v>0</v>
      </c>
      <c r="C738" s="415">
        <v>0</v>
      </c>
      <c r="D738" s="416">
        <v>143.20666376306622</v>
      </c>
      <c r="E738" s="415">
        <v>0.19902419237652791</v>
      </c>
      <c r="F738" s="416">
        <v>121.91249999999999</v>
      </c>
      <c r="G738" s="415">
        <v>0.16943022213859546</v>
      </c>
      <c r="H738" s="416">
        <v>0</v>
      </c>
      <c r="I738" s="415">
        <v>0</v>
      </c>
      <c r="J738" s="416">
        <v>0</v>
      </c>
      <c r="K738" s="415">
        <v>0</v>
      </c>
      <c r="L738" s="416">
        <v>0</v>
      </c>
      <c r="M738" s="415">
        <v>0</v>
      </c>
      <c r="N738" s="416">
        <v>0</v>
      </c>
      <c r="O738" s="415">
        <v>0</v>
      </c>
      <c r="P738" s="416">
        <v>63.357142857142854</v>
      </c>
      <c r="Q738" s="415">
        <v>8.8051797710263016E-2</v>
      </c>
      <c r="R738" s="416">
        <v>0</v>
      </c>
      <c r="S738" s="415">
        <v>0</v>
      </c>
      <c r="T738" s="416">
        <v>20.528409090909093</v>
      </c>
      <c r="U738" s="415">
        <v>2.8529748076896871E-2</v>
      </c>
      <c r="V738" s="416">
        <v>370.53928571428571</v>
      </c>
      <c r="W738" s="415">
        <v>0.51496403969771698</v>
      </c>
      <c r="X738" s="416">
        <v>719.54400142540374</v>
      </c>
      <c r="Y738" s="415">
        <v>0.16330812408438203</v>
      </c>
      <c r="Z738" s="326"/>
    </row>
    <row r="739" spans="1:26">
      <c r="A739" s="425" t="s">
        <v>305</v>
      </c>
      <c r="B739" s="416">
        <v>0</v>
      </c>
      <c r="C739" s="415">
        <v>0</v>
      </c>
      <c r="D739" s="416">
        <v>5.8636363636363633</v>
      </c>
      <c r="E739" s="415">
        <v>3.2093029803681984E-2</v>
      </c>
      <c r="F739" s="416">
        <v>0</v>
      </c>
      <c r="G739" s="415">
        <v>0</v>
      </c>
      <c r="H739" s="416">
        <v>21.137931034482758</v>
      </c>
      <c r="I739" s="415">
        <v>0.11569275592955235</v>
      </c>
      <c r="J739" s="416">
        <v>0</v>
      </c>
      <c r="K739" s="415">
        <v>0</v>
      </c>
      <c r="L739" s="416">
        <v>0</v>
      </c>
      <c r="M739" s="415">
        <v>0</v>
      </c>
      <c r="N739" s="416">
        <v>0</v>
      </c>
      <c r="O739" s="415">
        <v>0</v>
      </c>
      <c r="P739" s="416">
        <v>0</v>
      </c>
      <c r="Q739" s="415">
        <v>0</v>
      </c>
      <c r="R739" s="416">
        <v>0</v>
      </c>
      <c r="S739" s="415">
        <v>0</v>
      </c>
      <c r="T739" s="416">
        <v>0</v>
      </c>
      <c r="U739" s="415">
        <v>0</v>
      </c>
      <c r="V739" s="416">
        <v>155.7059052059052</v>
      </c>
      <c r="W739" s="415">
        <v>0.85221421426676558</v>
      </c>
      <c r="X739" s="416">
        <v>182.70747260402433</v>
      </c>
      <c r="Y739" s="415">
        <v>4.1467393999608158E-2</v>
      </c>
      <c r="Z739" s="326"/>
    </row>
    <row r="740" spans="1:26" ht="25.5">
      <c r="A740" s="425" t="s">
        <v>304</v>
      </c>
      <c r="B740" s="416">
        <v>0</v>
      </c>
      <c r="C740" s="415">
        <v>0</v>
      </c>
      <c r="D740" s="416">
        <v>610.682346099764</v>
      </c>
      <c r="E740" s="415">
        <v>0.38008558025381106</v>
      </c>
      <c r="F740" s="416">
        <v>43.661896243291594</v>
      </c>
      <c r="G740" s="415">
        <v>2.7174941726417771E-2</v>
      </c>
      <c r="H740" s="416">
        <v>31.685973115137344</v>
      </c>
      <c r="I740" s="415">
        <v>1.9721188199218337E-2</v>
      </c>
      <c r="J740" s="416">
        <v>25.272413793103446</v>
      </c>
      <c r="K740" s="415">
        <v>1.5729421559857751E-2</v>
      </c>
      <c r="L740" s="416">
        <v>0</v>
      </c>
      <c r="M740" s="415">
        <v>0</v>
      </c>
      <c r="N740" s="416">
        <v>15.172413793103448</v>
      </c>
      <c r="O740" s="415">
        <v>9.4432330281585628E-3</v>
      </c>
      <c r="P740" s="416">
        <v>159.28865910987531</v>
      </c>
      <c r="Q740" s="415">
        <v>9.9140449715469273E-2</v>
      </c>
      <c r="R740" s="416">
        <v>292.8848529692288</v>
      </c>
      <c r="S740" s="415">
        <v>0.18229003998451179</v>
      </c>
      <c r="T740" s="416">
        <v>126.61209924126346</v>
      </c>
      <c r="U740" s="415">
        <v>7.8802725368791085E-2</v>
      </c>
      <c r="V740" s="416">
        <v>301.43630501992271</v>
      </c>
      <c r="W740" s="415">
        <v>0.18761242016376403</v>
      </c>
      <c r="X740" s="416">
        <v>1606.6969593846907</v>
      </c>
      <c r="Y740" s="415">
        <v>0.36465687420006432</v>
      </c>
      <c r="Z740" s="326"/>
    </row>
    <row r="741" spans="1:26" ht="25.5">
      <c r="A741" s="425" t="s">
        <v>303</v>
      </c>
      <c r="B741" s="416">
        <v>0</v>
      </c>
      <c r="C741" s="415">
        <v>0</v>
      </c>
      <c r="D741" s="416">
        <v>135.61318897637796</v>
      </c>
      <c r="E741" s="415">
        <v>0.13330957055567269</v>
      </c>
      <c r="F741" s="416">
        <v>0</v>
      </c>
      <c r="G741" s="415">
        <v>0</v>
      </c>
      <c r="H741" s="416">
        <v>40.996062992125985</v>
      </c>
      <c r="I741" s="415">
        <v>4.0299675814758559E-2</v>
      </c>
      <c r="J741" s="416">
        <v>40.996062992125985</v>
      </c>
      <c r="K741" s="415">
        <v>4.0299675814758559E-2</v>
      </c>
      <c r="L741" s="416">
        <v>69.021164021164026</v>
      </c>
      <c r="M741" s="415">
        <v>6.7848723301660196E-2</v>
      </c>
      <c r="N741" s="416">
        <v>0</v>
      </c>
      <c r="O741" s="415">
        <v>0</v>
      </c>
      <c r="P741" s="416">
        <v>0</v>
      </c>
      <c r="Q741" s="415">
        <v>0</v>
      </c>
      <c r="R741" s="416">
        <v>19.34965034965035</v>
      </c>
      <c r="S741" s="415">
        <v>1.9020963948894559E-2</v>
      </c>
      <c r="T741" s="416">
        <v>217.73769173375473</v>
      </c>
      <c r="U741" s="415">
        <v>0.21403905031586806</v>
      </c>
      <c r="V741" s="416">
        <v>493.56639678490069</v>
      </c>
      <c r="W741" s="415">
        <v>0.48518234024838736</v>
      </c>
      <c r="X741" s="416">
        <v>1017.2802178500998</v>
      </c>
      <c r="Y741" s="415">
        <v>0.23088250852783218</v>
      </c>
      <c r="Z741" s="326"/>
    </row>
    <row r="742" spans="1:26" ht="15.75" thickBot="1">
      <c r="A742" s="427" t="s">
        <v>302</v>
      </c>
      <c r="B742" s="416">
        <v>0</v>
      </c>
      <c r="C742" s="415">
        <v>0</v>
      </c>
      <c r="D742" s="416">
        <v>0</v>
      </c>
      <c r="E742" s="415">
        <v>0</v>
      </c>
      <c r="F742" s="416">
        <v>0</v>
      </c>
      <c r="G742" s="415">
        <v>0</v>
      </c>
      <c r="H742" s="416">
        <v>0</v>
      </c>
      <c r="I742" s="415">
        <v>0</v>
      </c>
      <c r="J742" s="416">
        <v>6.7142857142857144</v>
      </c>
      <c r="K742" s="415">
        <v>1.9210501740951725E-2</v>
      </c>
      <c r="L742" s="416">
        <v>69.888888888888886</v>
      </c>
      <c r="M742" s="415">
        <v>0.19996179471728234</v>
      </c>
      <c r="N742" s="416">
        <v>0</v>
      </c>
      <c r="O742" s="415">
        <v>0</v>
      </c>
      <c r="P742" s="416">
        <v>0</v>
      </c>
      <c r="Q742" s="415">
        <v>0</v>
      </c>
      <c r="R742" s="416">
        <v>0</v>
      </c>
      <c r="S742" s="415">
        <v>0</v>
      </c>
      <c r="T742" s="416">
        <v>0</v>
      </c>
      <c r="U742" s="415">
        <v>0</v>
      </c>
      <c r="V742" s="416">
        <v>272.90803571428569</v>
      </c>
      <c r="W742" s="415">
        <v>0.78082770354176601</v>
      </c>
      <c r="X742" s="416">
        <v>349.51121031746027</v>
      </c>
      <c r="Y742" s="415">
        <v>7.9325267100185406E-2</v>
      </c>
      <c r="Z742" s="326"/>
    </row>
    <row r="743" spans="1:26" ht="15.75" customHeight="1">
      <c r="A743" s="426" t="s">
        <v>3</v>
      </c>
      <c r="B743" s="418">
        <v>68.086489505242753</v>
      </c>
      <c r="C743" s="417">
        <v>2.6597284026057908E-2</v>
      </c>
      <c r="D743" s="418">
        <v>944.83491409482201</v>
      </c>
      <c r="E743" s="417">
        <v>0.36909000229745959</v>
      </c>
      <c r="F743" s="418">
        <v>93.318176246106333</v>
      </c>
      <c r="G743" s="417">
        <v>3.6453781894869204E-2</v>
      </c>
      <c r="H743" s="418">
        <v>219.37799224306858</v>
      </c>
      <c r="I743" s="417">
        <v>8.5697747249928791E-2</v>
      </c>
      <c r="J743" s="418">
        <v>22.067329617489364</v>
      </c>
      <c r="K743" s="417">
        <v>8.6203744354863502E-3</v>
      </c>
      <c r="L743" s="418">
        <v>101.04932724540944</v>
      </c>
      <c r="M743" s="417">
        <v>3.947387619655842E-2</v>
      </c>
      <c r="N743" s="418">
        <v>95.6640625</v>
      </c>
      <c r="O743" s="417">
        <v>3.7370178135019465E-2</v>
      </c>
      <c r="P743" s="418">
        <v>65.810979530596939</v>
      </c>
      <c r="Q743" s="417">
        <v>2.5708379552650998E-2</v>
      </c>
      <c r="R743" s="418">
        <v>172.96271281530665</v>
      </c>
      <c r="S743" s="417">
        <v>6.756609765160479E-2</v>
      </c>
      <c r="T743" s="418">
        <v>57.01215252421985</v>
      </c>
      <c r="U743" s="417">
        <v>2.2271208644217836E-2</v>
      </c>
      <c r="V743" s="418">
        <v>719.71970342833049</v>
      </c>
      <c r="W743" s="417">
        <v>0.2811510699161463</v>
      </c>
      <c r="X743" s="418">
        <v>2559.9038397505933</v>
      </c>
      <c r="Y743" s="417">
        <v>1</v>
      </c>
      <c r="Z743" s="326"/>
    </row>
    <row r="744" spans="1:26">
      <c r="A744" s="425" t="s">
        <v>309</v>
      </c>
      <c r="B744" s="416">
        <v>0</v>
      </c>
      <c r="C744" s="415">
        <v>0</v>
      </c>
      <c r="D744" s="416">
        <v>66.261437908496731</v>
      </c>
      <c r="E744" s="415">
        <v>1</v>
      </c>
      <c r="F744" s="416">
        <v>0</v>
      </c>
      <c r="G744" s="415">
        <v>0</v>
      </c>
      <c r="H744" s="416">
        <v>0</v>
      </c>
      <c r="I744" s="415">
        <v>0</v>
      </c>
      <c r="J744" s="416">
        <v>0</v>
      </c>
      <c r="K744" s="415">
        <v>0</v>
      </c>
      <c r="L744" s="416">
        <v>0</v>
      </c>
      <c r="M744" s="415">
        <v>0</v>
      </c>
      <c r="N744" s="416">
        <v>0</v>
      </c>
      <c r="O744" s="415">
        <v>0</v>
      </c>
      <c r="P744" s="416">
        <v>0</v>
      </c>
      <c r="Q744" s="415">
        <v>0</v>
      </c>
      <c r="R744" s="416">
        <v>0</v>
      </c>
      <c r="S744" s="415">
        <v>0</v>
      </c>
      <c r="T744" s="416">
        <v>0</v>
      </c>
      <c r="U744" s="415">
        <v>0</v>
      </c>
      <c r="V744" s="416">
        <v>0</v>
      </c>
      <c r="W744" s="415">
        <v>0</v>
      </c>
      <c r="X744" s="416">
        <v>66.261437908496731</v>
      </c>
      <c r="Y744" s="415">
        <v>2.5884346466292441E-2</v>
      </c>
      <c r="Z744" s="326"/>
    </row>
    <row r="745" spans="1:26">
      <c r="A745" s="425" t="s">
        <v>308</v>
      </c>
      <c r="B745" s="416">
        <v>0</v>
      </c>
      <c r="C745" s="415">
        <v>0</v>
      </c>
      <c r="D745" s="416">
        <v>7.5707070707070709</v>
      </c>
      <c r="E745" s="415">
        <v>0.13442550219000149</v>
      </c>
      <c r="F745" s="416">
        <v>0</v>
      </c>
      <c r="G745" s="415">
        <v>0</v>
      </c>
      <c r="H745" s="416">
        <v>0</v>
      </c>
      <c r="I745" s="415">
        <v>0</v>
      </c>
      <c r="J745" s="416">
        <v>7.5707070707070709</v>
      </c>
      <c r="K745" s="415">
        <v>0.13442550219000149</v>
      </c>
      <c r="L745" s="416">
        <v>0</v>
      </c>
      <c r="M745" s="415">
        <v>0</v>
      </c>
      <c r="N745" s="416">
        <v>0</v>
      </c>
      <c r="O745" s="415">
        <v>0</v>
      </c>
      <c r="P745" s="416">
        <v>0</v>
      </c>
      <c r="Q745" s="415">
        <v>0</v>
      </c>
      <c r="R745" s="416">
        <v>10.894736842105264</v>
      </c>
      <c r="S745" s="415">
        <v>0.19344698685999093</v>
      </c>
      <c r="T745" s="416">
        <v>0</v>
      </c>
      <c r="U745" s="415">
        <v>0</v>
      </c>
      <c r="V745" s="416">
        <v>30.282828282828284</v>
      </c>
      <c r="W745" s="415">
        <v>0.53770200876000596</v>
      </c>
      <c r="X745" s="416">
        <v>56.318979266347696</v>
      </c>
      <c r="Y745" s="415">
        <v>2.2000427669124769E-2</v>
      </c>
      <c r="Z745" s="326"/>
    </row>
    <row r="746" spans="1:26">
      <c r="A746" s="425" t="s">
        <v>307</v>
      </c>
      <c r="B746" s="416">
        <v>0</v>
      </c>
      <c r="C746" s="415">
        <v>0</v>
      </c>
      <c r="D746" s="416">
        <v>95.6640625</v>
      </c>
      <c r="E746" s="415">
        <v>0.33333333333333337</v>
      </c>
      <c r="F746" s="416">
        <v>0</v>
      </c>
      <c r="G746" s="415">
        <v>0</v>
      </c>
      <c r="H746" s="416">
        <v>95.6640625</v>
      </c>
      <c r="I746" s="415">
        <v>0.33333333333333337</v>
      </c>
      <c r="J746" s="416">
        <v>0</v>
      </c>
      <c r="K746" s="415">
        <v>0</v>
      </c>
      <c r="L746" s="416">
        <v>0</v>
      </c>
      <c r="M746" s="415">
        <v>0</v>
      </c>
      <c r="N746" s="416">
        <v>95.6640625</v>
      </c>
      <c r="O746" s="415">
        <v>0.33333333333333337</v>
      </c>
      <c r="P746" s="416">
        <v>0</v>
      </c>
      <c r="Q746" s="415">
        <v>0</v>
      </c>
      <c r="R746" s="416">
        <v>0</v>
      </c>
      <c r="S746" s="415">
        <v>0</v>
      </c>
      <c r="T746" s="416">
        <v>0</v>
      </c>
      <c r="U746" s="415">
        <v>0</v>
      </c>
      <c r="V746" s="416">
        <v>0</v>
      </c>
      <c r="W746" s="415">
        <v>0</v>
      </c>
      <c r="X746" s="416">
        <v>286.9921875</v>
      </c>
      <c r="Y746" s="415">
        <v>0.1121105344050584</v>
      </c>
      <c r="Z746" s="326"/>
    </row>
    <row r="747" spans="1:26">
      <c r="A747" s="425" t="s">
        <v>306</v>
      </c>
      <c r="B747" s="416">
        <v>0</v>
      </c>
      <c r="C747" s="415">
        <v>0</v>
      </c>
      <c r="D747" s="416">
        <v>96.0989554117224</v>
      </c>
      <c r="E747" s="415">
        <v>0.31227100070782077</v>
      </c>
      <c r="F747" s="416">
        <v>72.19</v>
      </c>
      <c r="G747" s="415">
        <v>0.23457948574483412</v>
      </c>
      <c r="H747" s="416">
        <v>0</v>
      </c>
      <c r="I747" s="415">
        <v>0</v>
      </c>
      <c r="J747" s="416">
        <v>0</v>
      </c>
      <c r="K747" s="415">
        <v>0</v>
      </c>
      <c r="L747" s="416">
        <v>0</v>
      </c>
      <c r="M747" s="415">
        <v>0</v>
      </c>
      <c r="N747" s="416">
        <v>0</v>
      </c>
      <c r="O747" s="415">
        <v>0</v>
      </c>
      <c r="P747" s="416">
        <v>0</v>
      </c>
      <c r="Q747" s="415">
        <v>0</v>
      </c>
      <c r="R747" s="416">
        <v>0</v>
      </c>
      <c r="S747" s="415">
        <v>0</v>
      </c>
      <c r="T747" s="416">
        <v>0</v>
      </c>
      <c r="U747" s="415">
        <v>0</v>
      </c>
      <c r="V747" s="416">
        <v>139.45321467098168</v>
      </c>
      <c r="W747" s="415">
        <v>0.45314951354734506</v>
      </c>
      <c r="X747" s="416">
        <v>307.74217008270409</v>
      </c>
      <c r="Y747" s="415">
        <v>0.12021630082506803</v>
      </c>
      <c r="Z747" s="326"/>
    </row>
    <row r="748" spans="1:26">
      <c r="A748" s="425" t="s">
        <v>305</v>
      </c>
      <c r="B748" s="416">
        <v>0</v>
      </c>
      <c r="C748" s="415">
        <v>0</v>
      </c>
      <c r="D748" s="416">
        <v>45.954268292682926</v>
      </c>
      <c r="E748" s="415">
        <v>0.185659483893271</v>
      </c>
      <c r="F748" s="416">
        <v>0</v>
      </c>
      <c r="G748" s="415">
        <v>0</v>
      </c>
      <c r="H748" s="416">
        <v>0</v>
      </c>
      <c r="I748" s="415">
        <v>0</v>
      </c>
      <c r="J748" s="416">
        <v>0</v>
      </c>
      <c r="K748" s="415">
        <v>0</v>
      </c>
      <c r="L748" s="416">
        <v>45.954268292682926</v>
      </c>
      <c r="M748" s="415">
        <v>0.185659483893271</v>
      </c>
      <c r="N748" s="416">
        <v>0</v>
      </c>
      <c r="O748" s="415">
        <v>0</v>
      </c>
      <c r="P748" s="416">
        <v>56.266129032258064</v>
      </c>
      <c r="Q748" s="415">
        <v>0.22732035270953371</v>
      </c>
      <c r="R748" s="416">
        <v>0</v>
      </c>
      <c r="S748" s="415">
        <v>0</v>
      </c>
      <c r="T748" s="416">
        <v>45.954268292682926</v>
      </c>
      <c r="U748" s="415">
        <v>0.185659483893271</v>
      </c>
      <c r="V748" s="416">
        <v>53.390165728580364</v>
      </c>
      <c r="W748" s="415">
        <v>0.21570119561065318</v>
      </c>
      <c r="X748" s="416">
        <v>247.51909963888721</v>
      </c>
      <c r="Y748" s="415">
        <v>9.6690780253293626E-2</v>
      </c>
      <c r="Z748" s="326"/>
    </row>
    <row r="749" spans="1:26" ht="25.5">
      <c r="A749" s="425" t="s">
        <v>304</v>
      </c>
      <c r="B749" s="416">
        <v>0</v>
      </c>
      <c r="C749" s="415">
        <v>0</v>
      </c>
      <c r="D749" s="416">
        <v>455.05964308772741</v>
      </c>
      <c r="E749" s="415">
        <v>0.65810300561865942</v>
      </c>
      <c r="F749" s="416">
        <v>16.52593534974779</v>
      </c>
      <c r="G749" s="415">
        <v>2.3899653352103603E-2</v>
      </c>
      <c r="H749" s="416">
        <v>79.676755021878932</v>
      </c>
      <c r="I749" s="415">
        <v>0.11522777893914778</v>
      </c>
      <c r="J749" s="416">
        <v>14.496622546782291</v>
      </c>
      <c r="K749" s="415">
        <v>2.0964880130048047E-2</v>
      </c>
      <c r="L749" s="416">
        <v>11.057884231536926</v>
      </c>
      <c r="M749" s="415">
        <v>1.5991808896036758E-2</v>
      </c>
      <c r="N749" s="416">
        <v>0</v>
      </c>
      <c r="O749" s="415">
        <v>0</v>
      </c>
      <c r="P749" s="416">
        <v>0</v>
      </c>
      <c r="Q749" s="415">
        <v>0</v>
      </c>
      <c r="R749" s="416">
        <v>49.079700753672938</v>
      </c>
      <c r="S749" s="415">
        <v>7.0978604830114062E-2</v>
      </c>
      <c r="T749" s="416">
        <v>11.057884231536926</v>
      </c>
      <c r="U749" s="415">
        <v>1.5991808896036758E-2</v>
      </c>
      <c r="V749" s="416">
        <v>54.517334064922473</v>
      </c>
      <c r="W749" s="415">
        <v>7.8842459337852916E-2</v>
      </c>
      <c r="X749" s="416">
        <v>691.47175928780609</v>
      </c>
      <c r="Y749" s="415">
        <v>0.27011630224171812</v>
      </c>
      <c r="Z749" s="326"/>
    </row>
    <row r="750" spans="1:26" ht="25.5">
      <c r="A750" s="425" t="s">
        <v>303</v>
      </c>
      <c r="B750" s="416">
        <v>68.086489505242753</v>
      </c>
      <c r="C750" s="415">
        <v>8.2524587125837351E-2</v>
      </c>
      <c r="D750" s="416">
        <v>172.72583982348539</v>
      </c>
      <c r="E750" s="415">
        <v>0.2093532611385267</v>
      </c>
      <c r="F750" s="416">
        <v>4.6022408963585431</v>
      </c>
      <c r="G750" s="415">
        <v>5.578170244720685E-3</v>
      </c>
      <c r="H750" s="416">
        <v>44.037174721189594</v>
      </c>
      <c r="I750" s="415">
        <v>5.3375488859279459E-2</v>
      </c>
      <c r="J750" s="416">
        <v>0</v>
      </c>
      <c r="K750" s="415">
        <v>0</v>
      </c>
      <c r="L750" s="416">
        <v>44.037174721189594</v>
      </c>
      <c r="M750" s="415">
        <v>5.3375488859279459E-2</v>
      </c>
      <c r="N750" s="416">
        <v>0</v>
      </c>
      <c r="O750" s="415">
        <v>0</v>
      </c>
      <c r="P750" s="416">
        <v>9.5448504983388709</v>
      </c>
      <c r="Q750" s="415">
        <v>1.1568886166360585E-2</v>
      </c>
      <c r="R750" s="416">
        <v>53.582025219528461</v>
      </c>
      <c r="S750" s="415">
        <v>6.4944375025640044E-2</v>
      </c>
      <c r="T750" s="416">
        <v>0</v>
      </c>
      <c r="U750" s="415">
        <v>0</v>
      </c>
      <c r="V750" s="416">
        <v>428.42910185748843</v>
      </c>
      <c r="W750" s="415">
        <v>0.5192797425803557</v>
      </c>
      <c r="X750" s="416">
        <v>825.04489724282166</v>
      </c>
      <c r="Y750" s="415">
        <v>0.32229526923292723</v>
      </c>
      <c r="Z750" s="326"/>
    </row>
    <row r="751" spans="1:26" ht="15.75" thickBot="1">
      <c r="A751" s="424" t="s">
        <v>302</v>
      </c>
      <c r="B751" s="422">
        <v>0</v>
      </c>
      <c r="C751" s="420">
        <v>0</v>
      </c>
      <c r="D751" s="422">
        <v>5.5</v>
      </c>
      <c r="E751" s="420">
        <v>7.0016146771815682E-2</v>
      </c>
      <c r="F751" s="422">
        <v>0</v>
      </c>
      <c r="G751" s="420">
        <v>0</v>
      </c>
      <c r="H751" s="422">
        <v>0</v>
      </c>
      <c r="I751" s="420">
        <v>0</v>
      </c>
      <c r="J751" s="422">
        <v>0</v>
      </c>
      <c r="K751" s="420">
        <v>0</v>
      </c>
      <c r="L751" s="422">
        <v>0</v>
      </c>
      <c r="M751" s="420">
        <v>0</v>
      </c>
      <c r="N751" s="422">
        <v>0</v>
      </c>
      <c r="O751" s="420">
        <v>0</v>
      </c>
      <c r="P751" s="422">
        <v>0</v>
      </c>
      <c r="Q751" s="420">
        <v>0</v>
      </c>
      <c r="R751" s="422">
        <v>59.40625</v>
      </c>
      <c r="S751" s="420">
        <v>0.75625394893875919</v>
      </c>
      <c r="T751" s="422">
        <v>0</v>
      </c>
      <c r="U751" s="420">
        <v>0</v>
      </c>
      <c r="V751" s="422">
        <v>13.647058823529411</v>
      </c>
      <c r="W751" s="420">
        <v>0.173729904289425</v>
      </c>
      <c r="X751" s="422">
        <v>78.55330882352942</v>
      </c>
      <c r="Y751" s="420">
        <v>3.0686038906517176E-2</v>
      </c>
      <c r="Z751" s="326"/>
    </row>
    <row r="755" spans="1:22" ht="15.75" thickBot="1"/>
    <row r="756" spans="1:22" s="421" customFormat="1" ht="14.25" customHeight="1">
      <c r="A756" s="858" t="s">
        <v>310</v>
      </c>
      <c r="B756" s="755" t="s">
        <v>331</v>
      </c>
      <c r="C756" s="756"/>
      <c r="D756" s="756"/>
      <c r="E756" s="756"/>
      <c r="F756" s="756"/>
      <c r="G756" s="756"/>
      <c r="H756" s="756"/>
      <c r="I756" s="756"/>
      <c r="J756" s="756"/>
      <c r="K756" s="756"/>
      <c r="L756" s="756"/>
      <c r="M756" s="756"/>
      <c r="N756" s="756"/>
      <c r="O756" s="756"/>
      <c r="P756" s="756"/>
      <c r="Q756" s="756"/>
      <c r="R756" s="756"/>
      <c r="S756" s="756"/>
      <c r="T756" s="756"/>
      <c r="U756" s="757"/>
      <c r="V756" s="397"/>
    </row>
    <row r="757" spans="1:22" s="421" customFormat="1" ht="14.25" customHeight="1">
      <c r="A757" s="859"/>
      <c r="B757" s="767" t="s">
        <v>91</v>
      </c>
      <c r="C757" s="759"/>
      <c r="D757" s="768" t="s">
        <v>90</v>
      </c>
      <c r="E757" s="759"/>
      <c r="F757" s="768" t="s">
        <v>89</v>
      </c>
      <c r="G757" s="759"/>
      <c r="H757" s="768" t="s">
        <v>88</v>
      </c>
      <c r="I757" s="759"/>
      <c r="J757" s="768" t="s">
        <v>76</v>
      </c>
      <c r="K757" s="759"/>
      <c r="L757" s="768" t="s">
        <v>0</v>
      </c>
      <c r="M757" s="759"/>
      <c r="N757" s="768" t="s">
        <v>75</v>
      </c>
      <c r="O757" s="759"/>
      <c r="P757" s="768" t="s">
        <v>74</v>
      </c>
      <c r="Q757" s="759"/>
      <c r="R757" s="768" t="s">
        <v>73</v>
      </c>
      <c r="S757" s="759"/>
      <c r="T757" s="769" t="s">
        <v>9</v>
      </c>
      <c r="U757" s="762"/>
      <c r="V757" s="397"/>
    </row>
    <row r="758" spans="1:22" s="421" customFormat="1" ht="15" customHeight="1" thickBot="1">
      <c r="A758" s="860"/>
      <c r="B758" s="411" t="s">
        <v>7</v>
      </c>
      <c r="C758" s="411" t="s">
        <v>8</v>
      </c>
      <c r="D758" s="412" t="s">
        <v>7</v>
      </c>
      <c r="E758" s="412" t="s">
        <v>8</v>
      </c>
      <c r="F758" s="411" t="s">
        <v>7</v>
      </c>
      <c r="G758" s="411" t="s">
        <v>8</v>
      </c>
      <c r="H758" s="412" t="s">
        <v>7</v>
      </c>
      <c r="I758" s="412" t="s">
        <v>8</v>
      </c>
      <c r="J758" s="411" t="s">
        <v>7</v>
      </c>
      <c r="K758" s="411" t="s">
        <v>8</v>
      </c>
      <c r="L758" s="412" t="s">
        <v>7</v>
      </c>
      <c r="M758" s="412" t="s">
        <v>8</v>
      </c>
      <c r="N758" s="411" t="s">
        <v>7</v>
      </c>
      <c r="O758" s="411" t="s">
        <v>8</v>
      </c>
      <c r="P758" s="412" t="s">
        <v>7</v>
      </c>
      <c r="Q758" s="412" t="s">
        <v>8</v>
      </c>
      <c r="R758" s="411" t="s">
        <v>7</v>
      </c>
      <c r="S758" s="411" t="s">
        <v>8</v>
      </c>
      <c r="T758" s="412" t="s">
        <v>7</v>
      </c>
      <c r="U758" s="419" t="s">
        <v>8</v>
      </c>
      <c r="V758" s="397"/>
    </row>
    <row r="759" spans="1:22" s="421" customFormat="1" ht="15.75" customHeight="1">
      <c r="A759" s="395" t="s">
        <v>5</v>
      </c>
      <c r="B759" s="418">
        <v>105.06654300000001</v>
      </c>
      <c r="C759" s="417">
        <v>2.8105937600904508E-2</v>
      </c>
      <c r="D759" s="418">
        <v>14.850269000000001</v>
      </c>
      <c r="E759" s="417">
        <v>3.9725370413172022E-3</v>
      </c>
      <c r="F759" s="418">
        <v>6.9052629999999997</v>
      </c>
      <c r="G759" s="417">
        <v>1.8471997407950756E-3</v>
      </c>
      <c r="H759" s="418">
        <v>148.86741299999997</v>
      </c>
      <c r="I759" s="417">
        <v>3.9822936028132944E-2</v>
      </c>
      <c r="J759" s="418">
        <v>290.71750500000002</v>
      </c>
      <c r="K759" s="417">
        <v>7.7768696120711273E-2</v>
      </c>
      <c r="L759" s="418">
        <v>2701.4594604999984</v>
      </c>
      <c r="M759" s="417">
        <v>0.72265679311620745</v>
      </c>
      <c r="N759" s="418">
        <v>155.33290399999998</v>
      </c>
      <c r="O759" s="417">
        <v>4.155249409120932E-2</v>
      </c>
      <c r="P759" s="418">
        <v>247.71982200000002</v>
      </c>
      <c r="Q759" s="417">
        <v>6.6266555088227971E-2</v>
      </c>
      <c r="R759" s="418">
        <v>67.313805000000002</v>
      </c>
      <c r="S759" s="417">
        <v>1.800685117249412E-2</v>
      </c>
      <c r="T759" s="423">
        <v>3738.232984499999</v>
      </c>
      <c r="U759" s="399">
        <v>1</v>
      </c>
      <c r="V759" s="397"/>
    </row>
    <row r="760" spans="1:22" s="421" customFormat="1" ht="14.25">
      <c r="A760" s="391" t="s">
        <v>309</v>
      </c>
      <c r="B760" s="416">
        <v>0</v>
      </c>
      <c r="C760" s="415">
        <v>0</v>
      </c>
      <c r="D760" s="416">
        <v>0</v>
      </c>
      <c r="E760" s="415">
        <v>0</v>
      </c>
      <c r="F760" s="416">
        <v>0</v>
      </c>
      <c r="G760" s="415">
        <v>0</v>
      </c>
      <c r="H760" s="416">
        <v>0</v>
      </c>
      <c r="I760" s="415">
        <v>0</v>
      </c>
      <c r="J760" s="416">
        <v>0</v>
      </c>
      <c r="K760" s="415">
        <v>0</v>
      </c>
      <c r="L760" s="416">
        <v>61.903957000000005</v>
      </c>
      <c r="M760" s="415">
        <v>0.32919438886327973</v>
      </c>
      <c r="N760" s="416">
        <v>0</v>
      </c>
      <c r="O760" s="415">
        <v>0</v>
      </c>
      <c r="P760" s="416">
        <v>126.14286</v>
      </c>
      <c r="Q760" s="415">
        <v>0.67080561113672021</v>
      </c>
      <c r="R760" s="416">
        <v>0</v>
      </c>
      <c r="S760" s="415">
        <v>0</v>
      </c>
      <c r="T760" s="312">
        <v>188.046817</v>
      </c>
      <c r="U760" s="311">
        <v>5.0303664265899647E-2</v>
      </c>
      <c r="V760" s="397"/>
    </row>
    <row r="761" spans="1:22" s="421" customFormat="1" ht="14.25">
      <c r="A761" s="391" t="s">
        <v>308</v>
      </c>
      <c r="B761" s="416">
        <v>6.9052629999999997</v>
      </c>
      <c r="C761" s="415">
        <v>2.2802420057950027E-2</v>
      </c>
      <c r="D761" s="416">
        <v>0</v>
      </c>
      <c r="E761" s="415">
        <v>0</v>
      </c>
      <c r="F761" s="416">
        <v>6.9052629999999997</v>
      </c>
      <c r="G761" s="415">
        <v>2.2802420057950027E-2</v>
      </c>
      <c r="H761" s="416">
        <v>13.810525999999999</v>
      </c>
      <c r="I761" s="415">
        <v>4.5604840115900054E-2</v>
      </c>
      <c r="J761" s="416">
        <v>20.715789000000001</v>
      </c>
      <c r="K761" s="415">
        <v>6.8407260173850071E-2</v>
      </c>
      <c r="L761" s="416">
        <v>247.588165</v>
      </c>
      <c r="M761" s="415">
        <v>0.81758063953640003</v>
      </c>
      <c r="N761" s="416">
        <v>6.9052629999999997</v>
      </c>
      <c r="O761" s="415">
        <v>2.2802420057950027E-2</v>
      </c>
      <c r="P761" s="416">
        <v>0</v>
      </c>
      <c r="Q761" s="415">
        <v>0</v>
      </c>
      <c r="R761" s="416">
        <v>0</v>
      </c>
      <c r="S761" s="415">
        <v>0</v>
      </c>
      <c r="T761" s="312">
        <v>302.83026899999993</v>
      </c>
      <c r="U761" s="311">
        <v>8.1008933968438696E-2</v>
      </c>
      <c r="V761" s="397"/>
    </row>
    <row r="762" spans="1:22" s="421" customFormat="1" ht="14.25">
      <c r="A762" s="391" t="s">
        <v>307</v>
      </c>
      <c r="B762" s="416">
        <v>0</v>
      </c>
      <c r="C762" s="415">
        <v>0</v>
      </c>
      <c r="D762" s="416">
        <v>0</v>
      </c>
      <c r="E762" s="415">
        <v>0</v>
      </c>
      <c r="F762" s="416">
        <v>0</v>
      </c>
      <c r="G762" s="415">
        <v>0</v>
      </c>
      <c r="H762" s="416">
        <v>0</v>
      </c>
      <c r="I762" s="415">
        <v>0</v>
      </c>
      <c r="J762" s="416">
        <v>0</v>
      </c>
      <c r="K762" s="415">
        <v>0</v>
      </c>
      <c r="L762" s="416">
        <v>89.726029999999994</v>
      </c>
      <c r="M762" s="415">
        <v>1</v>
      </c>
      <c r="N762" s="416">
        <v>0</v>
      </c>
      <c r="O762" s="415">
        <v>0</v>
      </c>
      <c r="P762" s="416">
        <v>0</v>
      </c>
      <c r="Q762" s="415">
        <v>0</v>
      </c>
      <c r="R762" s="416">
        <v>0</v>
      </c>
      <c r="S762" s="415">
        <v>0</v>
      </c>
      <c r="T762" s="312">
        <v>89.726029999999994</v>
      </c>
      <c r="U762" s="311">
        <v>2.4002257315698355E-2</v>
      </c>
      <c r="V762" s="397"/>
    </row>
    <row r="763" spans="1:22" s="421" customFormat="1" ht="14.25">
      <c r="A763" s="391" t="s">
        <v>306</v>
      </c>
      <c r="B763" s="416">
        <v>0</v>
      </c>
      <c r="C763" s="415">
        <v>0</v>
      </c>
      <c r="D763" s="416">
        <v>0</v>
      </c>
      <c r="E763" s="415">
        <v>0</v>
      </c>
      <c r="F763" s="416">
        <v>0</v>
      </c>
      <c r="G763" s="415">
        <v>0</v>
      </c>
      <c r="H763" s="416">
        <v>0</v>
      </c>
      <c r="I763" s="415">
        <v>0</v>
      </c>
      <c r="J763" s="416">
        <v>0</v>
      </c>
      <c r="K763" s="415">
        <v>0</v>
      </c>
      <c r="L763" s="416">
        <v>36.258502500000006</v>
      </c>
      <c r="M763" s="415">
        <v>0.33377858928581255</v>
      </c>
      <c r="N763" s="416">
        <v>72.371899999999997</v>
      </c>
      <c r="O763" s="415">
        <v>0.66622141071418739</v>
      </c>
      <c r="P763" s="416">
        <v>0</v>
      </c>
      <c r="Q763" s="415">
        <v>0</v>
      </c>
      <c r="R763" s="416">
        <v>0</v>
      </c>
      <c r="S763" s="415">
        <v>0</v>
      </c>
      <c r="T763" s="312">
        <v>108.6304025</v>
      </c>
      <c r="U763" s="311">
        <v>2.9059291636026715E-2</v>
      </c>
      <c r="V763" s="397"/>
    </row>
    <row r="764" spans="1:22" s="421" customFormat="1" ht="14.25">
      <c r="A764" s="391" t="s">
        <v>305</v>
      </c>
      <c r="B764" s="416">
        <v>0</v>
      </c>
      <c r="C764" s="415">
        <v>0</v>
      </c>
      <c r="D764" s="416">
        <v>0</v>
      </c>
      <c r="E764" s="415">
        <v>0</v>
      </c>
      <c r="F764" s="416">
        <v>0</v>
      </c>
      <c r="G764" s="415">
        <v>0</v>
      </c>
      <c r="H764" s="416">
        <v>54.263157</v>
      </c>
      <c r="I764" s="415">
        <v>0.22613666256257645</v>
      </c>
      <c r="J764" s="416">
        <v>5.7886179999999996</v>
      </c>
      <c r="K764" s="415">
        <v>2.4123527412340865E-2</v>
      </c>
      <c r="L764" s="416">
        <v>125.64243</v>
      </c>
      <c r="M764" s="415">
        <v>0.52360314746250625</v>
      </c>
      <c r="N764" s="416">
        <v>0</v>
      </c>
      <c r="O764" s="415">
        <v>0</v>
      </c>
      <c r="P764" s="416">
        <v>54.263157</v>
      </c>
      <c r="Q764" s="415">
        <v>0.22613666256257645</v>
      </c>
      <c r="R764" s="416">
        <v>0</v>
      </c>
      <c r="S764" s="415">
        <v>0</v>
      </c>
      <c r="T764" s="312">
        <v>239.95736199999999</v>
      </c>
      <c r="U764" s="311">
        <v>6.4190049950055506E-2</v>
      </c>
      <c r="V764" s="397"/>
    </row>
    <row r="765" spans="1:22" s="421" customFormat="1" ht="28.5">
      <c r="A765" s="391" t="s">
        <v>304</v>
      </c>
      <c r="B765" s="416">
        <v>52.521659999999997</v>
      </c>
      <c r="C765" s="415">
        <v>6.2883326910963905E-2</v>
      </c>
      <c r="D765" s="416">
        <v>14.850269000000001</v>
      </c>
      <c r="E765" s="415">
        <v>1.7779984871817707E-2</v>
      </c>
      <c r="F765" s="416">
        <v>0</v>
      </c>
      <c r="G765" s="415">
        <v>0</v>
      </c>
      <c r="H765" s="416">
        <v>80.793729999999996</v>
      </c>
      <c r="I765" s="415">
        <v>9.6733015215934762E-2</v>
      </c>
      <c r="J765" s="416">
        <v>151.59369299999997</v>
      </c>
      <c r="K765" s="415">
        <v>0.18150065619706801</v>
      </c>
      <c r="L765" s="416">
        <v>526.72265099999993</v>
      </c>
      <c r="M765" s="415">
        <v>0.63063643940885628</v>
      </c>
      <c r="N765" s="416">
        <v>8.7419360000000008</v>
      </c>
      <c r="O765" s="415">
        <v>1.0466577395358872E-2</v>
      </c>
      <c r="P765" s="416">
        <v>0</v>
      </c>
      <c r="Q765" s="415">
        <v>0</v>
      </c>
      <c r="R765" s="416">
        <v>0</v>
      </c>
      <c r="S765" s="415">
        <v>0</v>
      </c>
      <c r="T765" s="312">
        <v>835.22393900000031</v>
      </c>
      <c r="U765" s="311">
        <v>0.22342747026820592</v>
      </c>
      <c r="V765" s="397"/>
    </row>
    <row r="766" spans="1:22" s="421" customFormat="1" ht="28.5">
      <c r="A766" s="391" t="s">
        <v>303</v>
      </c>
      <c r="B766" s="416">
        <v>45.639620000000001</v>
      </c>
      <c r="C766" s="415">
        <v>2.3204798904224076E-2</v>
      </c>
      <c r="D766" s="416">
        <v>0</v>
      </c>
      <c r="E766" s="415">
        <v>0</v>
      </c>
      <c r="F766" s="416">
        <v>0</v>
      </c>
      <c r="G766" s="415">
        <v>0</v>
      </c>
      <c r="H766" s="416">
        <v>0</v>
      </c>
      <c r="I766" s="415">
        <v>0</v>
      </c>
      <c r="J766" s="416">
        <v>112.61940499999997</v>
      </c>
      <c r="K766" s="415">
        <v>5.7259693348418912E-2</v>
      </c>
      <c r="L766" s="416">
        <v>1606.6177249999998</v>
      </c>
      <c r="M766" s="415">
        <v>0.81686134162788759</v>
      </c>
      <c r="N766" s="416">
        <v>67.313805000000002</v>
      </c>
      <c r="O766" s="415">
        <v>3.4224722039823144E-2</v>
      </c>
      <c r="P766" s="416">
        <v>67.313805000000002</v>
      </c>
      <c r="Q766" s="415">
        <v>3.4224722039823144E-2</v>
      </c>
      <c r="R766" s="416">
        <v>67.313805000000002</v>
      </c>
      <c r="S766" s="415">
        <v>3.4224722039823144E-2</v>
      </c>
      <c r="T766" s="312">
        <v>1966.8181649999997</v>
      </c>
      <c r="U766" s="311">
        <v>0.5261357901326924</v>
      </c>
      <c r="V766" s="397"/>
    </row>
    <row r="767" spans="1:22" s="421" customFormat="1" thickBot="1">
      <c r="A767" s="409" t="s">
        <v>302</v>
      </c>
      <c r="B767" s="416">
        <v>0</v>
      </c>
      <c r="C767" s="415">
        <v>0</v>
      </c>
      <c r="D767" s="416">
        <v>0</v>
      </c>
      <c r="E767" s="415">
        <v>0</v>
      </c>
      <c r="F767" s="416">
        <v>0</v>
      </c>
      <c r="G767" s="415">
        <v>0</v>
      </c>
      <c r="H767" s="416">
        <v>0</v>
      </c>
      <c r="I767" s="415">
        <v>0</v>
      </c>
      <c r="J767" s="416">
        <v>0</v>
      </c>
      <c r="K767" s="415">
        <v>0</v>
      </c>
      <c r="L767" s="416">
        <v>7</v>
      </c>
      <c r="M767" s="415">
        <v>1</v>
      </c>
      <c r="N767" s="416">
        <v>0</v>
      </c>
      <c r="O767" s="415">
        <v>0</v>
      </c>
      <c r="P767" s="416">
        <v>0</v>
      </c>
      <c r="Q767" s="415">
        <v>0</v>
      </c>
      <c r="R767" s="416">
        <v>0</v>
      </c>
      <c r="S767" s="415">
        <v>0</v>
      </c>
      <c r="T767" s="312">
        <v>7</v>
      </c>
      <c r="U767" s="311">
        <v>1.8725424629830218E-3</v>
      </c>
      <c r="V767" s="397"/>
    </row>
    <row r="768" spans="1:22" s="421" customFormat="1" ht="15" customHeight="1">
      <c r="A768" s="395" t="s">
        <v>4</v>
      </c>
      <c r="B768" s="418">
        <v>83.700542339455197</v>
      </c>
      <c r="C768" s="417">
        <v>4.7116975519794588E-2</v>
      </c>
      <c r="D768" s="418">
        <v>15.172413793103448</v>
      </c>
      <c r="E768" s="417">
        <v>8.5409034312656524E-3</v>
      </c>
      <c r="F768" s="418">
        <v>64.345713341776332</v>
      </c>
      <c r="G768" s="417">
        <v>3.6221693618573615E-2</v>
      </c>
      <c r="H768" s="418">
        <v>12.868055555555555</v>
      </c>
      <c r="I768" s="417">
        <v>7.2437267627197344E-3</v>
      </c>
      <c r="J768" s="418">
        <v>64.697946400031412</v>
      </c>
      <c r="K768" s="417">
        <v>3.6419973772073219E-2</v>
      </c>
      <c r="L768" s="418">
        <v>1164.7281014253749</v>
      </c>
      <c r="M768" s="417">
        <v>0.65565244750161344</v>
      </c>
      <c r="N768" s="418">
        <v>234.31363636363636</v>
      </c>
      <c r="O768" s="417">
        <v>0.13190057746251116</v>
      </c>
      <c r="P768" s="418">
        <v>69.021164021164026</v>
      </c>
      <c r="Q768" s="417">
        <v>3.8853613186206747E-2</v>
      </c>
      <c r="R768" s="418">
        <v>67.59375</v>
      </c>
      <c r="S768" s="417">
        <v>3.8050088745241517E-2</v>
      </c>
      <c r="T768" s="423">
        <v>1776.441323240098</v>
      </c>
      <c r="U768" s="399">
        <v>1</v>
      </c>
      <c r="V768" s="397"/>
    </row>
    <row r="769" spans="1:22" s="421" customFormat="1" ht="14.25">
      <c r="A769" s="391" t="s">
        <v>309</v>
      </c>
      <c r="B769" s="416">
        <v>0</v>
      </c>
      <c r="C769" s="415">
        <v>0</v>
      </c>
      <c r="D769" s="416">
        <v>0</v>
      </c>
      <c r="E769" s="415">
        <v>0</v>
      </c>
      <c r="F769" s="416">
        <v>0</v>
      </c>
      <c r="G769" s="415">
        <v>0</v>
      </c>
      <c r="H769" s="416">
        <v>0</v>
      </c>
      <c r="I769" s="415">
        <v>0</v>
      </c>
      <c r="J769" s="416">
        <v>0</v>
      </c>
      <c r="K769" s="415">
        <v>0</v>
      </c>
      <c r="L769" s="416">
        <v>64.839285714285722</v>
      </c>
      <c r="M769" s="415">
        <v>1</v>
      </c>
      <c r="N769" s="416">
        <v>0</v>
      </c>
      <c r="O769" s="415">
        <v>0</v>
      </c>
      <c r="P769" s="416">
        <v>0</v>
      </c>
      <c r="Q769" s="415">
        <v>0</v>
      </c>
      <c r="R769" s="416">
        <v>0</v>
      </c>
      <c r="S769" s="415">
        <v>0</v>
      </c>
      <c r="T769" s="312">
        <v>64.839285714285722</v>
      </c>
      <c r="U769" s="311">
        <v>3.64995369484108E-2</v>
      </c>
      <c r="V769" s="397"/>
    </row>
    <row r="770" spans="1:22" s="421" customFormat="1" ht="14.25">
      <c r="A770" s="391" t="s">
        <v>308</v>
      </c>
      <c r="B770" s="416">
        <v>76.986256625169489</v>
      </c>
      <c r="C770" s="415">
        <v>0.67861522307884048</v>
      </c>
      <c r="D770" s="416">
        <v>0</v>
      </c>
      <c r="E770" s="415">
        <v>0</v>
      </c>
      <c r="F770" s="416">
        <v>0</v>
      </c>
      <c r="G770" s="415">
        <v>0</v>
      </c>
      <c r="H770" s="416">
        <v>0</v>
      </c>
      <c r="I770" s="415">
        <v>0</v>
      </c>
      <c r="J770" s="416">
        <v>0</v>
      </c>
      <c r="K770" s="415">
        <v>0</v>
      </c>
      <c r="L770" s="416">
        <v>36.459852461342038</v>
      </c>
      <c r="M770" s="415">
        <v>0.32138477692115958</v>
      </c>
      <c r="N770" s="416">
        <v>0</v>
      </c>
      <c r="O770" s="415">
        <v>0</v>
      </c>
      <c r="P770" s="416">
        <v>0</v>
      </c>
      <c r="Q770" s="415">
        <v>0</v>
      </c>
      <c r="R770" s="416">
        <v>0</v>
      </c>
      <c r="S770" s="415">
        <v>0</v>
      </c>
      <c r="T770" s="312">
        <v>113.44610908651153</v>
      </c>
      <c r="U770" s="311">
        <v>6.3861444564684067E-2</v>
      </c>
      <c r="V770" s="397"/>
    </row>
    <row r="771" spans="1:22" s="421" customFormat="1" ht="14.25">
      <c r="A771" s="391" t="s">
        <v>307</v>
      </c>
      <c r="B771" s="416">
        <v>0</v>
      </c>
      <c r="C771" s="415">
        <v>0</v>
      </c>
      <c r="D771" s="416">
        <v>0</v>
      </c>
      <c r="E771" s="415">
        <v>0</v>
      </c>
      <c r="F771" s="416">
        <v>4</v>
      </c>
      <c r="G771" s="415">
        <v>1</v>
      </c>
      <c r="H771" s="416">
        <v>0</v>
      </c>
      <c r="I771" s="415">
        <v>0</v>
      </c>
      <c r="J771" s="416">
        <v>0</v>
      </c>
      <c r="K771" s="415">
        <v>0</v>
      </c>
      <c r="L771" s="416">
        <v>0</v>
      </c>
      <c r="M771" s="415">
        <v>0</v>
      </c>
      <c r="N771" s="416">
        <v>0</v>
      </c>
      <c r="O771" s="415">
        <v>0</v>
      </c>
      <c r="P771" s="416">
        <v>0</v>
      </c>
      <c r="Q771" s="415">
        <v>0</v>
      </c>
      <c r="R771" s="416">
        <v>0</v>
      </c>
      <c r="S771" s="415">
        <v>0</v>
      </c>
      <c r="T771" s="312">
        <v>4</v>
      </c>
      <c r="U771" s="311">
        <v>2.2516927227882173E-3</v>
      </c>
      <c r="V771" s="397"/>
    </row>
    <row r="772" spans="1:22" s="421" customFormat="1" ht="14.25">
      <c r="A772" s="391" t="s">
        <v>306</v>
      </c>
      <c r="B772" s="416">
        <v>0</v>
      </c>
      <c r="C772" s="415">
        <v>0</v>
      </c>
      <c r="D772" s="416">
        <v>0</v>
      </c>
      <c r="E772" s="415">
        <v>0</v>
      </c>
      <c r="F772" s="416">
        <v>0</v>
      </c>
      <c r="G772" s="415">
        <v>0</v>
      </c>
      <c r="H772" s="416">
        <v>7.6875</v>
      </c>
      <c r="I772" s="415">
        <v>2.074678798276643E-2</v>
      </c>
      <c r="J772" s="416">
        <v>0</v>
      </c>
      <c r="K772" s="415">
        <v>0</v>
      </c>
      <c r="L772" s="416">
        <v>134.40178571428572</v>
      </c>
      <c r="M772" s="415">
        <v>0.36271939547570625</v>
      </c>
      <c r="N772" s="416">
        <v>228.45</v>
      </c>
      <c r="O772" s="415">
        <v>0.61653381654152728</v>
      </c>
      <c r="P772" s="416">
        <v>0</v>
      </c>
      <c r="Q772" s="415">
        <v>0</v>
      </c>
      <c r="R772" s="416">
        <v>0</v>
      </c>
      <c r="S772" s="415">
        <v>0</v>
      </c>
      <c r="T772" s="312">
        <v>370.53928571428571</v>
      </c>
      <c r="U772" s="311">
        <v>0.2085851532875003</v>
      </c>
      <c r="V772" s="397"/>
    </row>
    <row r="773" spans="1:22" s="421" customFormat="1" ht="14.25">
      <c r="A773" s="391" t="s">
        <v>305</v>
      </c>
      <c r="B773" s="416">
        <v>0</v>
      </c>
      <c r="C773" s="415">
        <v>0</v>
      </c>
      <c r="D773" s="416">
        <v>0</v>
      </c>
      <c r="E773" s="415">
        <v>0</v>
      </c>
      <c r="F773" s="416">
        <v>0</v>
      </c>
      <c r="G773" s="415">
        <v>0</v>
      </c>
      <c r="H773" s="416">
        <v>0</v>
      </c>
      <c r="I773" s="415">
        <v>0</v>
      </c>
      <c r="J773" s="416">
        <v>5.8636363636363633</v>
      </c>
      <c r="K773" s="415">
        <v>3.7658407084062109E-2</v>
      </c>
      <c r="L773" s="416">
        <v>143.97863247863245</v>
      </c>
      <c r="M773" s="415">
        <v>0.9246831858318757</v>
      </c>
      <c r="N773" s="416">
        <v>5.8636363636363633</v>
      </c>
      <c r="O773" s="415">
        <v>3.7658407084062109E-2</v>
      </c>
      <c r="P773" s="416">
        <v>0</v>
      </c>
      <c r="Q773" s="415">
        <v>0</v>
      </c>
      <c r="R773" s="416">
        <v>0</v>
      </c>
      <c r="S773" s="415">
        <v>0</v>
      </c>
      <c r="T773" s="312">
        <v>155.7059052059052</v>
      </c>
      <c r="U773" s="311">
        <v>8.7650463411822185E-2</v>
      </c>
      <c r="V773" s="397"/>
    </row>
    <row r="774" spans="1:22" s="421" customFormat="1" ht="28.5">
      <c r="A774" s="391" t="s">
        <v>304</v>
      </c>
      <c r="B774" s="416">
        <v>0</v>
      </c>
      <c r="C774" s="415">
        <v>0</v>
      </c>
      <c r="D774" s="416">
        <v>15.172413793103448</v>
      </c>
      <c r="E774" s="415">
        <v>5.0333730676869408E-2</v>
      </c>
      <c r="F774" s="416">
        <v>0</v>
      </c>
      <c r="G774" s="415">
        <v>0</v>
      </c>
      <c r="H774" s="416">
        <v>0</v>
      </c>
      <c r="I774" s="415">
        <v>0</v>
      </c>
      <c r="J774" s="416">
        <v>58.834310036395038</v>
      </c>
      <c r="K774" s="415">
        <v>0.19517990718638395</v>
      </c>
      <c r="L774" s="416">
        <v>227.42958119042419</v>
      </c>
      <c r="M774" s="415">
        <v>0.75448636213674647</v>
      </c>
      <c r="N774" s="416">
        <v>0</v>
      </c>
      <c r="O774" s="415">
        <v>0</v>
      </c>
      <c r="P774" s="416">
        <v>0</v>
      </c>
      <c r="Q774" s="415">
        <v>0</v>
      </c>
      <c r="R774" s="416">
        <v>0</v>
      </c>
      <c r="S774" s="415">
        <v>0</v>
      </c>
      <c r="T774" s="312">
        <v>301.43630501992271</v>
      </c>
      <c r="U774" s="311">
        <v>0.16968548359938235</v>
      </c>
      <c r="V774" s="397"/>
    </row>
    <row r="775" spans="1:22" s="421" customFormat="1" ht="28.5">
      <c r="A775" s="391" t="s">
        <v>303</v>
      </c>
      <c r="B775" s="416">
        <v>0</v>
      </c>
      <c r="C775" s="415">
        <v>0</v>
      </c>
      <c r="D775" s="416">
        <v>0</v>
      </c>
      <c r="E775" s="415">
        <v>0</v>
      </c>
      <c r="F775" s="416">
        <v>60.345713341776332</v>
      </c>
      <c r="G775" s="415">
        <v>0.12226463092882592</v>
      </c>
      <c r="H775" s="416">
        <v>5.1805555555555554</v>
      </c>
      <c r="I775" s="415">
        <v>1.0496167464604108E-2</v>
      </c>
      <c r="J775" s="416">
        <v>0</v>
      </c>
      <c r="K775" s="415">
        <v>0</v>
      </c>
      <c r="L775" s="416">
        <v>359.01896386640476</v>
      </c>
      <c r="M775" s="415">
        <v>0.72739750154196059</v>
      </c>
      <c r="N775" s="416">
        <v>0</v>
      </c>
      <c r="O775" s="415">
        <v>0</v>
      </c>
      <c r="P775" s="416">
        <v>69.021164021164026</v>
      </c>
      <c r="Q775" s="415">
        <v>0.1398417000646093</v>
      </c>
      <c r="R775" s="416">
        <v>0</v>
      </c>
      <c r="S775" s="415">
        <v>0</v>
      </c>
      <c r="T775" s="312">
        <v>493.56639678490069</v>
      </c>
      <c r="U775" s="311">
        <v>0.27783996596334065</v>
      </c>
      <c r="V775" s="397"/>
    </row>
    <row r="776" spans="1:22" s="421" customFormat="1" thickBot="1">
      <c r="A776" s="409" t="s">
        <v>302</v>
      </c>
      <c r="B776" s="416">
        <v>6.7142857142857144</v>
      </c>
      <c r="C776" s="415">
        <v>2.4602740980903436E-2</v>
      </c>
      <c r="D776" s="416">
        <v>0</v>
      </c>
      <c r="E776" s="415">
        <v>0</v>
      </c>
      <c r="F776" s="416">
        <v>0</v>
      </c>
      <c r="G776" s="415">
        <v>0</v>
      </c>
      <c r="H776" s="416">
        <v>0</v>
      </c>
      <c r="I776" s="415">
        <v>0</v>
      </c>
      <c r="J776" s="416">
        <v>0</v>
      </c>
      <c r="K776" s="415">
        <v>0</v>
      </c>
      <c r="L776" s="416">
        <v>198.60000000000002</v>
      </c>
      <c r="M776" s="415">
        <v>0.72771767046067992</v>
      </c>
      <c r="N776" s="416">
        <v>0</v>
      </c>
      <c r="O776" s="415">
        <v>0</v>
      </c>
      <c r="P776" s="416">
        <v>0</v>
      </c>
      <c r="Q776" s="415">
        <v>0</v>
      </c>
      <c r="R776" s="416">
        <v>67.59375</v>
      </c>
      <c r="S776" s="415">
        <v>0.24767958855841679</v>
      </c>
      <c r="T776" s="312">
        <v>272.90803571428569</v>
      </c>
      <c r="U776" s="311">
        <v>0.15362625950207101</v>
      </c>
      <c r="V776" s="397"/>
    </row>
    <row r="777" spans="1:22" s="421" customFormat="1" ht="15.75" customHeight="1">
      <c r="A777" s="395" t="s">
        <v>3</v>
      </c>
      <c r="B777" s="418">
        <v>0</v>
      </c>
      <c r="C777" s="417">
        <v>0</v>
      </c>
      <c r="D777" s="418">
        <v>11.057884231536926</v>
      </c>
      <c r="E777" s="417">
        <v>1.5364153821082749E-2</v>
      </c>
      <c r="F777" s="418">
        <v>9.5448504983388709</v>
      </c>
      <c r="G777" s="417">
        <v>1.3261899671320233E-2</v>
      </c>
      <c r="H777" s="418">
        <v>0</v>
      </c>
      <c r="I777" s="417">
        <v>0</v>
      </c>
      <c r="J777" s="418">
        <v>0</v>
      </c>
      <c r="K777" s="417">
        <v>0</v>
      </c>
      <c r="L777" s="418">
        <v>174.67335393529092</v>
      </c>
      <c r="M777" s="417">
        <v>0.24269636235224293</v>
      </c>
      <c r="N777" s="418">
        <v>124.52249571673329</v>
      </c>
      <c r="O777" s="417">
        <v>0.17301526569799297</v>
      </c>
      <c r="P777" s="418">
        <v>186.52181775203377</v>
      </c>
      <c r="Q777" s="417">
        <v>0.25915897100433843</v>
      </c>
      <c r="R777" s="418">
        <v>213.39930129439691</v>
      </c>
      <c r="S777" s="417">
        <v>0.29650334745302298</v>
      </c>
      <c r="T777" s="423">
        <v>719.71970342833049</v>
      </c>
      <c r="U777" s="399">
        <v>1</v>
      </c>
      <c r="V777" s="397"/>
    </row>
    <row r="778" spans="1:22" s="421" customFormat="1" ht="14.25">
      <c r="A778" s="391" t="s">
        <v>309</v>
      </c>
      <c r="B778" s="416">
        <v>0</v>
      </c>
      <c r="C778" s="415">
        <v>0</v>
      </c>
      <c r="D778" s="416">
        <v>0</v>
      </c>
      <c r="E778" s="415">
        <v>0</v>
      </c>
      <c r="F778" s="416">
        <v>0</v>
      </c>
      <c r="G778" s="415">
        <v>0</v>
      </c>
      <c r="H778" s="416">
        <v>0</v>
      </c>
      <c r="I778" s="415">
        <v>0</v>
      </c>
      <c r="J778" s="416">
        <v>0</v>
      </c>
      <c r="K778" s="415">
        <v>0</v>
      </c>
      <c r="L778" s="416">
        <v>0</v>
      </c>
      <c r="M778" s="415">
        <v>0</v>
      </c>
      <c r="N778" s="416">
        <v>0</v>
      </c>
      <c r="O778" s="415">
        <v>0</v>
      </c>
      <c r="P778" s="416">
        <v>0</v>
      </c>
      <c r="Q778" s="415">
        <v>0</v>
      </c>
      <c r="R778" s="416">
        <v>0</v>
      </c>
      <c r="S778" s="415">
        <v>0</v>
      </c>
      <c r="T778" s="312">
        <v>0</v>
      </c>
      <c r="U778" s="311">
        <v>0</v>
      </c>
      <c r="V778" s="397"/>
    </row>
    <row r="779" spans="1:22" s="421" customFormat="1" ht="14.25">
      <c r="A779" s="391" t="s">
        <v>308</v>
      </c>
      <c r="B779" s="416">
        <v>0</v>
      </c>
      <c r="C779" s="415">
        <v>0</v>
      </c>
      <c r="D779" s="416">
        <v>0</v>
      </c>
      <c r="E779" s="415">
        <v>0</v>
      </c>
      <c r="F779" s="416">
        <v>0</v>
      </c>
      <c r="G779" s="415">
        <v>0</v>
      </c>
      <c r="H779" s="416">
        <v>0</v>
      </c>
      <c r="I779" s="415">
        <v>0</v>
      </c>
      <c r="J779" s="416">
        <v>0</v>
      </c>
      <c r="K779" s="415">
        <v>0</v>
      </c>
      <c r="L779" s="416">
        <v>30.282828282828284</v>
      </c>
      <c r="M779" s="415">
        <v>1</v>
      </c>
      <c r="N779" s="416">
        <v>0</v>
      </c>
      <c r="O779" s="415">
        <v>0</v>
      </c>
      <c r="P779" s="416">
        <v>0</v>
      </c>
      <c r="Q779" s="415">
        <v>0</v>
      </c>
      <c r="R779" s="416">
        <v>0</v>
      </c>
      <c r="S779" s="415">
        <v>0</v>
      </c>
      <c r="T779" s="312">
        <v>30.282828282828284</v>
      </c>
      <c r="U779" s="311">
        <v>4.2075863893371708E-2</v>
      </c>
      <c r="V779" s="397"/>
    </row>
    <row r="780" spans="1:22" s="421" customFormat="1" ht="14.25">
      <c r="A780" s="391" t="s">
        <v>307</v>
      </c>
      <c r="B780" s="416">
        <v>0</v>
      </c>
      <c r="C780" s="415">
        <v>0</v>
      </c>
      <c r="D780" s="416">
        <v>0</v>
      </c>
      <c r="E780" s="415">
        <v>0</v>
      </c>
      <c r="F780" s="416">
        <v>0</v>
      </c>
      <c r="G780" s="415">
        <v>0</v>
      </c>
      <c r="H780" s="416">
        <v>0</v>
      </c>
      <c r="I780" s="415">
        <v>0</v>
      </c>
      <c r="J780" s="416">
        <v>0</v>
      </c>
      <c r="K780" s="415">
        <v>0</v>
      </c>
      <c r="L780" s="416">
        <v>0</v>
      </c>
      <c r="M780" s="415">
        <v>0</v>
      </c>
      <c r="N780" s="416">
        <v>0</v>
      </c>
      <c r="O780" s="415">
        <v>0</v>
      </c>
      <c r="P780" s="416">
        <v>0</v>
      </c>
      <c r="Q780" s="415">
        <v>0</v>
      </c>
      <c r="R780" s="416">
        <v>0</v>
      </c>
      <c r="S780" s="415">
        <v>0</v>
      </c>
      <c r="T780" s="312">
        <v>0</v>
      </c>
      <c r="U780" s="311">
        <v>0</v>
      </c>
      <c r="V780" s="397"/>
    </row>
    <row r="781" spans="1:22" s="421" customFormat="1" ht="14.25">
      <c r="A781" s="391" t="s">
        <v>306</v>
      </c>
      <c r="B781" s="416">
        <v>0</v>
      </c>
      <c r="C781" s="415">
        <v>0</v>
      </c>
      <c r="D781" s="416">
        <v>0</v>
      </c>
      <c r="E781" s="415">
        <v>0</v>
      </c>
      <c r="F781" s="416">
        <v>0</v>
      </c>
      <c r="G781" s="415">
        <v>0</v>
      </c>
      <c r="H781" s="416">
        <v>0</v>
      </c>
      <c r="I781" s="415">
        <v>0</v>
      </c>
      <c r="J781" s="416">
        <v>0</v>
      </c>
      <c r="K781" s="415">
        <v>0</v>
      </c>
      <c r="L781" s="416">
        <v>21.777777777777779</v>
      </c>
      <c r="M781" s="415">
        <v>0.1561654769247097</v>
      </c>
      <c r="N781" s="416">
        <v>117.67543689320388</v>
      </c>
      <c r="O781" s="415">
        <v>0.84383452307529017</v>
      </c>
      <c r="P781" s="416">
        <v>0</v>
      </c>
      <c r="Q781" s="415">
        <v>0</v>
      </c>
      <c r="R781" s="416">
        <v>0</v>
      </c>
      <c r="S781" s="415">
        <v>0</v>
      </c>
      <c r="T781" s="312">
        <v>139.45321467098168</v>
      </c>
      <c r="U781" s="311">
        <v>0.19376045147396526</v>
      </c>
      <c r="V781" s="397"/>
    </row>
    <row r="782" spans="1:22" s="421" customFormat="1" ht="14.25">
      <c r="A782" s="391" t="s">
        <v>305</v>
      </c>
      <c r="B782" s="416">
        <v>0</v>
      </c>
      <c r="C782" s="415">
        <v>0</v>
      </c>
      <c r="D782" s="416">
        <v>0</v>
      </c>
      <c r="E782" s="415">
        <v>0</v>
      </c>
      <c r="F782" s="416">
        <v>0</v>
      </c>
      <c r="G782" s="415">
        <v>0</v>
      </c>
      <c r="H782" s="416">
        <v>0</v>
      </c>
      <c r="I782" s="415">
        <v>0</v>
      </c>
      <c r="J782" s="416">
        <v>0</v>
      </c>
      <c r="K782" s="415">
        <v>0</v>
      </c>
      <c r="L782" s="416">
        <v>7.4358974358974361</v>
      </c>
      <c r="M782" s="415">
        <v>0.13927466480810932</v>
      </c>
      <c r="N782" s="416">
        <v>0</v>
      </c>
      <c r="O782" s="415">
        <v>0</v>
      </c>
      <c r="P782" s="416">
        <v>45.954268292682926</v>
      </c>
      <c r="Q782" s="415">
        <v>0.86072533519189065</v>
      </c>
      <c r="R782" s="416">
        <v>0</v>
      </c>
      <c r="S782" s="415">
        <v>0</v>
      </c>
      <c r="T782" s="312">
        <v>53.390165728580364</v>
      </c>
      <c r="U782" s="311">
        <v>7.4181887023879345E-2</v>
      </c>
      <c r="V782" s="397"/>
    </row>
    <row r="783" spans="1:22" s="421" customFormat="1" ht="28.5">
      <c r="A783" s="391" t="s">
        <v>304</v>
      </c>
      <c r="B783" s="416">
        <v>0</v>
      </c>
      <c r="C783" s="415">
        <v>0</v>
      </c>
      <c r="D783" s="416">
        <v>11.057884231536926</v>
      </c>
      <c r="E783" s="415">
        <v>0.20283244625220562</v>
      </c>
      <c r="F783" s="416">
        <v>0</v>
      </c>
      <c r="G783" s="415">
        <v>0</v>
      </c>
      <c r="H783" s="416">
        <v>0</v>
      </c>
      <c r="I783" s="415">
        <v>0</v>
      </c>
      <c r="J783" s="416">
        <v>0</v>
      </c>
      <c r="K783" s="415">
        <v>0</v>
      </c>
      <c r="L783" s="416">
        <v>25.554506778319215</v>
      </c>
      <c r="M783" s="415">
        <v>0.46874094664804034</v>
      </c>
      <c r="N783" s="416">
        <v>6.8470588235294114</v>
      </c>
      <c r="O783" s="415">
        <v>0.12559416084754857</v>
      </c>
      <c r="P783" s="416">
        <v>11.057884231536926</v>
      </c>
      <c r="Q783" s="415">
        <v>0.20283244625220562</v>
      </c>
      <c r="R783" s="416">
        <v>0</v>
      </c>
      <c r="S783" s="415">
        <v>0</v>
      </c>
      <c r="T783" s="312">
        <v>54.517334064922473</v>
      </c>
      <c r="U783" s="311">
        <v>7.5748008294386368E-2</v>
      </c>
      <c r="V783" s="397"/>
    </row>
    <row r="784" spans="1:22" s="421" customFormat="1" ht="28.5">
      <c r="A784" s="391" t="s">
        <v>303</v>
      </c>
      <c r="B784" s="416">
        <v>0</v>
      </c>
      <c r="C784" s="415">
        <v>0</v>
      </c>
      <c r="D784" s="416">
        <v>0</v>
      </c>
      <c r="E784" s="415">
        <v>0</v>
      </c>
      <c r="F784" s="416">
        <v>9.5448504983388709</v>
      </c>
      <c r="G784" s="415">
        <v>2.2278716494646168E-2</v>
      </c>
      <c r="H784" s="416">
        <v>0</v>
      </c>
      <c r="I784" s="415">
        <v>0</v>
      </c>
      <c r="J784" s="416">
        <v>0</v>
      </c>
      <c r="K784" s="415">
        <v>0</v>
      </c>
      <c r="L784" s="416">
        <v>75.975284836938783</v>
      </c>
      <c r="M784" s="415">
        <v>0.17733455665719697</v>
      </c>
      <c r="N784" s="416">
        <v>0</v>
      </c>
      <c r="O784" s="415">
        <v>0</v>
      </c>
      <c r="P784" s="416">
        <v>129.50966522781391</v>
      </c>
      <c r="Q784" s="415">
        <v>0.30228960793352849</v>
      </c>
      <c r="R784" s="416">
        <v>213.39930129439691</v>
      </c>
      <c r="S784" s="415">
        <v>0.49809711891462854</v>
      </c>
      <c r="T784" s="312">
        <v>428.42910185748843</v>
      </c>
      <c r="U784" s="311">
        <v>0.5952721591707143</v>
      </c>
      <c r="V784" s="397"/>
    </row>
    <row r="785" spans="1:22" s="421" customFormat="1" thickBot="1">
      <c r="A785" s="408" t="s">
        <v>302</v>
      </c>
      <c r="B785" s="422">
        <v>0</v>
      </c>
      <c r="C785" s="420">
        <v>0</v>
      </c>
      <c r="D785" s="422">
        <v>0</v>
      </c>
      <c r="E785" s="420">
        <v>0</v>
      </c>
      <c r="F785" s="422">
        <v>0</v>
      </c>
      <c r="G785" s="420">
        <v>0</v>
      </c>
      <c r="H785" s="422">
        <v>0</v>
      </c>
      <c r="I785" s="420">
        <v>0</v>
      </c>
      <c r="J785" s="422">
        <v>0</v>
      </c>
      <c r="K785" s="420">
        <v>0</v>
      </c>
      <c r="L785" s="422">
        <v>13.647058823529411</v>
      </c>
      <c r="M785" s="420">
        <v>1</v>
      </c>
      <c r="N785" s="422">
        <v>0</v>
      </c>
      <c r="O785" s="420">
        <v>0</v>
      </c>
      <c r="P785" s="422">
        <v>0</v>
      </c>
      <c r="Q785" s="420">
        <v>0</v>
      </c>
      <c r="R785" s="422">
        <v>0</v>
      </c>
      <c r="S785" s="420">
        <v>0</v>
      </c>
      <c r="T785" s="309">
        <v>13.647058823529411</v>
      </c>
      <c r="U785" s="308">
        <v>1.8961630143683267E-2</v>
      </c>
      <c r="V785" s="397"/>
    </row>
    <row r="790" spans="1:22" ht="15.75" thickBot="1"/>
    <row r="791" spans="1:22" ht="30.75" customHeight="1">
      <c r="A791" s="858" t="s">
        <v>310</v>
      </c>
      <c r="B791" s="833" t="s">
        <v>332</v>
      </c>
      <c r="C791" s="799"/>
      <c r="D791" s="799"/>
      <c r="E791" s="799"/>
      <c r="F791" s="799"/>
      <c r="G791" s="800"/>
      <c r="H791" s="326"/>
    </row>
    <row r="792" spans="1:22">
      <c r="A792" s="859"/>
      <c r="B792" s="834" t="s">
        <v>27</v>
      </c>
      <c r="C792" s="810"/>
      <c r="D792" s="835" t="s">
        <v>26</v>
      </c>
      <c r="E792" s="810"/>
      <c r="F792" s="829" t="s">
        <v>9</v>
      </c>
      <c r="G792" s="813"/>
      <c r="H792" s="326"/>
    </row>
    <row r="793" spans="1:22" ht="15.75" thickBot="1">
      <c r="A793" s="860"/>
      <c r="B793" s="411" t="s">
        <v>7</v>
      </c>
      <c r="C793" s="411" t="s">
        <v>8</v>
      </c>
      <c r="D793" s="412" t="s">
        <v>7</v>
      </c>
      <c r="E793" s="412" t="s">
        <v>8</v>
      </c>
      <c r="F793" s="411" t="s">
        <v>7</v>
      </c>
      <c r="G793" s="410" t="s">
        <v>6</v>
      </c>
      <c r="H793" s="326"/>
    </row>
    <row r="794" spans="1:22" ht="15.75" customHeight="1">
      <c r="A794" s="395" t="s">
        <v>5</v>
      </c>
      <c r="B794" s="418">
        <v>3423.889658999999</v>
      </c>
      <c r="C794" s="417">
        <v>0.63807449433610397</v>
      </c>
      <c r="D794" s="418">
        <v>1942.0820094999999</v>
      </c>
      <c r="E794" s="417">
        <v>0.36192550566389542</v>
      </c>
      <c r="F794" s="418">
        <v>5365.9716685000021</v>
      </c>
      <c r="G794" s="417">
        <v>1</v>
      </c>
      <c r="H794" s="326"/>
    </row>
    <row r="795" spans="1:22">
      <c r="A795" s="391" t="s">
        <v>309</v>
      </c>
      <c r="B795" s="416">
        <v>52.237290000000002</v>
      </c>
      <c r="C795" s="415">
        <v>0.21739802374861189</v>
      </c>
      <c r="D795" s="416">
        <v>188.046817</v>
      </c>
      <c r="E795" s="415">
        <v>0.78260197625138817</v>
      </c>
      <c r="F795" s="416">
        <v>240.28410700000001</v>
      </c>
      <c r="G795" s="415">
        <v>4.4779235121673457E-2</v>
      </c>
      <c r="H795" s="326"/>
    </row>
    <row r="796" spans="1:22">
      <c r="A796" s="391" t="s">
        <v>308</v>
      </c>
      <c r="B796" s="416">
        <v>192.81169599999993</v>
      </c>
      <c r="C796" s="415">
        <v>0.4658920992515852</v>
      </c>
      <c r="D796" s="416">
        <v>221.04313500000001</v>
      </c>
      <c r="E796" s="415">
        <v>0.53410790074841508</v>
      </c>
      <c r="F796" s="416">
        <v>413.85483099999982</v>
      </c>
      <c r="G796" s="415">
        <v>7.7125795022262633E-2</v>
      </c>
      <c r="H796" s="326"/>
    </row>
    <row r="797" spans="1:22">
      <c r="A797" s="391" t="s">
        <v>307</v>
      </c>
      <c r="B797" s="416">
        <v>188.82705999999999</v>
      </c>
      <c r="C797" s="415">
        <v>1</v>
      </c>
      <c r="D797" s="416">
        <v>0</v>
      </c>
      <c r="E797" s="415">
        <v>0</v>
      </c>
      <c r="F797" s="416">
        <v>188.82705999999999</v>
      </c>
      <c r="G797" s="415">
        <v>3.5189723626100414E-2</v>
      </c>
      <c r="H797" s="326"/>
    </row>
    <row r="798" spans="1:22">
      <c r="A798" s="391" t="s">
        <v>306</v>
      </c>
      <c r="B798" s="416">
        <v>249.96584399999998</v>
      </c>
      <c r="C798" s="415">
        <v>0.73012966735179474</v>
      </c>
      <c r="D798" s="416">
        <v>92.392308499999999</v>
      </c>
      <c r="E798" s="415">
        <v>0.26987033264820531</v>
      </c>
      <c r="F798" s="416">
        <v>342.35815249999996</v>
      </c>
      <c r="G798" s="415">
        <v>6.3801707062628304E-2</v>
      </c>
      <c r="H798" s="326"/>
    </row>
    <row r="799" spans="1:22">
      <c r="A799" s="391" t="s">
        <v>305</v>
      </c>
      <c r="B799" s="416">
        <v>215.58743299999998</v>
      </c>
      <c r="C799" s="415">
        <v>0.56236227532633776</v>
      </c>
      <c r="D799" s="416">
        <v>167.77297799999997</v>
      </c>
      <c r="E799" s="415">
        <v>0.43763772467366224</v>
      </c>
      <c r="F799" s="416">
        <v>383.36041099999994</v>
      </c>
      <c r="G799" s="415">
        <v>7.1442869005524226E-2</v>
      </c>
      <c r="H799" s="326"/>
    </row>
    <row r="800" spans="1:22" ht="28.5">
      <c r="A800" s="391" t="s">
        <v>304</v>
      </c>
      <c r="B800" s="416">
        <v>938.94659599999989</v>
      </c>
      <c r="C800" s="415">
        <v>0.70744105899676091</v>
      </c>
      <c r="D800" s="416">
        <v>388.29697300000004</v>
      </c>
      <c r="E800" s="415">
        <v>0.29255894100323965</v>
      </c>
      <c r="F800" s="416">
        <v>1327.2435689999993</v>
      </c>
      <c r="G800" s="415">
        <v>0.24734449806944575</v>
      </c>
      <c r="H800" s="326"/>
    </row>
    <row r="801" spans="1:8" ht="28.5">
      <c r="A801" s="391" t="s">
        <v>303</v>
      </c>
      <c r="B801" s="416">
        <v>1585.5137400000001</v>
      </c>
      <c r="C801" s="415">
        <v>0.64372136161565541</v>
      </c>
      <c r="D801" s="416">
        <v>877.52979800000003</v>
      </c>
      <c r="E801" s="415">
        <v>0.35627863838434543</v>
      </c>
      <c r="F801" s="416">
        <v>2463.0435379999981</v>
      </c>
      <c r="G801" s="415">
        <v>0.45901165532775068</v>
      </c>
      <c r="H801" s="326"/>
    </row>
    <row r="802" spans="1:8" ht="15.75" thickBot="1">
      <c r="A802" s="409" t="s">
        <v>302</v>
      </c>
      <c r="B802" s="416">
        <v>0</v>
      </c>
      <c r="C802" s="415">
        <v>0</v>
      </c>
      <c r="D802" s="416">
        <v>7</v>
      </c>
      <c r="E802" s="415">
        <v>1</v>
      </c>
      <c r="F802" s="416">
        <v>7</v>
      </c>
      <c r="G802" s="415">
        <v>1.3045167646136254E-3</v>
      </c>
      <c r="H802" s="326"/>
    </row>
    <row r="803" spans="1:8" ht="15" customHeight="1">
      <c r="A803" s="395" t="s">
        <v>4</v>
      </c>
      <c r="B803" s="418">
        <v>1770.0028857566722</v>
      </c>
      <c r="C803" s="417">
        <v>0.56294680602183444</v>
      </c>
      <c r="D803" s="418">
        <v>1374.1714248939538</v>
      </c>
      <c r="E803" s="417">
        <v>0.437053193978166</v>
      </c>
      <c r="F803" s="418">
        <v>3144.1743106506246</v>
      </c>
      <c r="G803" s="417">
        <v>1</v>
      </c>
      <c r="H803" s="326"/>
    </row>
    <row r="804" spans="1:8">
      <c r="A804" s="391" t="s">
        <v>309</v>
      </c>
      <c r="B804" s="416">
        <v>79.678571428571431</v>
      </c>
      <c r="C804" s="415">
        <v>0.76117366086659843</v>
      </c>
      <c r="D804" s="416">
        <v>25</v>
      </c>
      <c r="E804" s="415">
        <v>0.23882633913340157</v>
      </c>
      <c r="F804" s="416">
        <v>104.67857142857143</v>
      </c>
      <c r="G804" s="415">
        <v>3.3292865180528201E-2</v>
      </c>
      <c r="H804" s="326"/>
    </row>
    <row r="805" spans="1:8">
      <c r="A805" s="391" t="s">
        <v>308</v>
      </c>
      <c r="B805" s="416">
        <v>189.61595587328981</v>
      </c>
      <c r="C805" s="415">
        <v>0.85917217416353053</v>
      </c>
      <c r="D805" s="416">
        <v>31.080153213221735</v>
      </c>
      <c r="E805" s="415">
        <v>0.14082782583646958</v>
      </c>
      <c r="F805" s="416">
        <v>220.69610908651151</v>
      </c>
      <c r="G805" s="415">
        <v>7.0192071838677039E-2</v>
      </c>
      <c r="H805" s="326"/>
    </row>
    <row r="806" spans="1:8">
      <c r="A806" s="391" t="s">
        <v>307</v>
      </c>
      <c r="B806" s="416">
        <v>0</v>
      </c>
      <c r="C806" s="415">
        <v>0</v>
      </c>
      <c r="D806" s="416">
        <v>4</v>
      </c>
      <c r="E806" s="415">
        <v>1</v>
      </c>
      <c r="F806" s="416">
        <v>4</v>
      </c>
      <c r="G806" s="415">
        <v>1.2721940976523911E-3</v>
      </c>
      <c r="H806" s="326"/>
    </row>
    <row r="807" spans="1:8">
      <c r="A807" s="391" t="s">
        <v>306</v>
      </c>
      <c r="B807" s="416">
        <v>126.71428571428571</v>
      </c>
      <c r="C807" s="415">
        <v>0.27884542219596131</v>
      </c>
      <c r="D807" s="416">
        <v>327.71055194805194</v>
      </c>
      <c r="E807" s="415">
        <v>0.72115457780403869</v>
      </c>
      <c r="F807" s="416">
        <v>454.42483766233761</v>
      </c>
      <c r="G807" s="415">
        <v>0.14452914907516798</v>
      </c>
      <c r="H807" s="326"/>
    </row>
    <row r="808" spans="1:8">
      <c r="A808" s="391" t="s">
        <v>305</v>
      </c>
      <c r="B808" s="416">
        <v>90.288280684832401</v>
      </c>
      <c r="C808" s="415">
        <v>0.51055373262826886</v>
      </c>
      <c r="D808" s="416">
        <v>86.555555555555543</v>
      </c>
      <c r="E808" s="415">
        <v>0.48944626737173103</v>
      </c>
      <c r="F808" s="416">
        <v>176.84383624038796</v>
      </c>
      <c r="G808" s="415">
        <v>5.624492116780689E-2</v>
      </c>
      <c r="H808" s="326"/>
    </row>
    <row r="809" spans="1:8" ht="28.5">
      <c r="A809" s="391" t="s">
        <v>304</v>
      </c>
      <c r="B809" s="416">
        <v>502.39432373034612</v>
      </c>
      <c r="C809" s="415">
        <v>0.5275296796453437</v>
      </c>
      <c r="D809" s="416">
        <v>449.95839331128821</v>
      </c>
      <c r="E809" s="415">
        <v>0.47247032035465608</v>
      </c>
      <c r="F809" s="416">
        <v>952.35271704163449</v>
      </c>
      <c r="G809" s="415">
        <v>0.30289437637589622</v>
      </c>
      <c r="H809" s="326"/>
    </row>
    <row r="810" spans="1:8" ht="28.5">
      <c r="A810" s="391" t="s">
        <v>303</v>
      </c>
      <c r="B810" s="416">
        <v>635.48289689677495</v>
      </c>
      <c r="C810" s="415">
        <v>0.72077425613677226</v>
      </c>
      <c r="D810" s="416">
        <v>246.1841319769469</v>
      </c>
      <c r="E810" s="415">
        <v>0.27922574386322774</v>
      </c>
      <c r="F810" s="416">
        <v>881.66702887372185</v>
      </c>
      <c r="G810" s="415">
        <v>0.2804128975569673</v>
      </c>
      <c r="H810" s="326"/>
    </row>
    <row r="811" spans="1:8" ht="15.75" thickBot="1">
      <c r="A811" s="409" t="s">
        <v>302</v>
      </c>
      <c r="B811" s="416">
        <v>145.82857142857142</v>
      </c>
      <c r="C811" s="415">
        <v>0.41723574845028766</v>
      </c>
      <c r="D811" s="416">
        <v>203.68263888888887</v>
      </c>
      <c r="E811" s="415">
        <v>0.58276425154971245</v>
      </c>
      <c r="F811" s="416">
        <v>349.51121031746027</v>
      </c>
      <c r="G811" s="415">
        <v>0.1111615247073041</v>
      </c>
      <c r="H811" s="326"/>
    </row>
    <row r="812" spans="1:8" ht="15.75" customHeight="1">
      <c r="A812" s="395" t="s">
        <v>3</v>
      </c>
      <c r="B812" s="418">
        <v>613.02357118133739</v>
      </c>
      <c r="C812" s="417">
        <v>0.42170918560083703</v>
      </c>
      <c r="D812" s="418">
        <v>840.64068872308405</v>
      </c>
      <c r="E812" s="417">
        <v>0.57829081439916241</v>
      </c>
      <c r="F812" s="418">
        <v>1453.6642599044221</v>
      </c>
      <c r="G812" s="417">
        <v>1</v>
      </c>
      <c r="H812" s="326"/>
    </row>
    <row r="813" spans="1:8">
      <c r="A813" s="391" t="s">
        <v>309</v>
      </c>
      <c r="B813" s="416">
        <v>0</v>
      </c>
      <c r="C813" s="415">
        <v>0</v>
      </c>
      <c r="D813" s="416">
        <v>0</v>
      </c>
      <c r="E813" s="415">
        <v>0</v>
      </c>
      <c r="F813" s="416">
        <v>0</v>
      </c>
      <c r="G813" s="415">
        <v>0</v>
      </c>
      <c r="H813" s="326"/>
    </row>
    <row r="814" spans="1:8">
      <c r="A814" s="391" t="s">
        <v>308</v>
      </c>
      <c r="B814" s="416">
        <v>12.570707070707071</v>
      </c>
      <c r="C814" s="415">
        <v>0.25786979731829801</v>
      </c>
      <c r="D814" s="416">
        <v>36.177565124933551</v>
      </c>
      <c r="E814" s="415">
        <v>0.74213020268170193</v>
      </c>
      <c r="F814" s="416">
        <v>48.748272195640624</v>
      </c>
      <c r="G814" s="415">
        <v>3.3534753202810255E-2</v>
      </c>
      <c r="H814" s="326"/>
    </row>
    <row r="815" spans="1:8">
      <c r="A815" s="391" t="s">
        <v>307</v>
      </c>
      <c r="B815" s="416">
        <v>95.6640625</v>
      </c>
      <c r="C815" s="415">
        <v>0.5</v>
      </c>
      <c r="D815" s="416">
        <v>95.6640625</v>
      </c>
      <c r="E815" s="415">
        <v>0.5</v>
      </c>
      <c r="F815" s="416">
        <v>191.328125</v>
      </c>
      <c r="G815" s="415">
        <v>0.13161782282009171</v>
      </c>
      <c r="H815" s="326"/>
    </row>
    <row r="816" spans="1:8">
      <c r="A816" s="391" t="s">
        <v>306</v>
      </c>
      <c r="B816" s="416">
        <v>0</v>
      </c>
      <c r="C816" s="415">
        <v>0</v>
      </c>
      <c r="D816" s="416">
        <v>139.45321467098168</v>
      </c>
      <c r="E816" s="415">
        <v>1</v>
      </c>
      <c r="F816" s="416">
        <v>139.45321467098168</v>
      </c>
      <c r="G816" s="415">
        <v>9.5932202859655272E-2</v>
      </c>
      <c r="H816" s="326"/>
    </row>
    <row r="817" spans="1:14">
      <c r="A817" s="391" t="s">
        <v>305</v>
      </c>
      <c r="B817" s="416">
        <v>148.17466561762393</v>
      </c>
      <c r="C817" s="415">
        <v>0.73512162130665404</v>
      </c>
      <c r="D817" s="416">
        <v>53.390165728580364</v>
      </c>
      <c r="E817" s="415">
        <v>0.26487837869334629</v>
      </c>
      <c r="F817" s="416">
        <v>201.56483134620424</v>
      </c>
      <c r="G817" s="415">
        <v>0.1386598246279076</v>
      </c>
      <c r="H817" s="326"/>
    </row>
    <row r="818" spans="1:14" ht="28.5">
      <c r="A818" s="391" t="s">
        <v>304</v>
      </c>
      <c r="B818" s="416">
        <v>154.43274454898634</v>
      </c>
      <c r="C818" s="415">
        <v>0.70233037816098021</v>
      </c>
      <c r="D818" s="416">
        <v>65.453436301344198</v>
      </c>
      <c r="E818" s="415">
        <v>0.29766962183901974</v>
      </c>
      <c r="F818" s="416">
        <v>219.88618085033053</v>
      </c>
      <c r="G818" s="415">
        <v>0.15126338791929023</v>
      </c>
      <c r="H818" s="326"/>
    </row>
    <row r="819" spans="1:14" ht="28.5">
      <c r="A819" s="391" t="s">
        <v>303</v>
      </c>
      <c r="B819" s="416">
        <v>202.18139144402011</v>
      </c>
      <c r="C819" s="415">
        <v>0.34881092658534057</v>
      </c>
      <c r="D819" s="416">
        <v>377.44893557371483</v>
      </c>
      <c r="E819" s="415">
        <v>0.65118907341465926</v>
      </c>
      <c r="F819" s="416">
        <v>579.630327017735</v>
      </c>
      <c r="G819" s="415">
        <v>0.39873741344913127</v>
      </c>
      <c r="H819" s="326"/>
    </row>
    <row r="820" spans="1:14" ht="15.75" thickBot="1">
      <c r="A820" s="408" t="s">
        <v>302</v>
      </c>
      <c r="B820" s="414">
        <v>0</v>
      </c>
      <c r="C820" s="413">
        <v>0</v>
      </c>
      <c r="D820" s="414">
        <v>73.053308823529406</v>
      </c>
      <c r="E820" s="413">
        <v>1</v>
      </c>
      <c r="F820" s="414">
        <v>73.053308823529406</v>
      </c>
      <c r="G820" s="420">
        <v>5.0254595121113202E-2</v>
      </c>
      <c r="H820" s="326"/>
    </row>
    <row r="825" spans="1:14" ht="15.75" thickBot="1"/>
    <row r="826" spans="1:14" ht="15" customHeight="1">
      <c r="A826" s="858" t="s">
        <v>310</v>
      </c>
      <c r="B826" s="833" t="s">
        <v>333</v>
      </c>
      <c r="C826" s="799"/>
      <c r="D826" s="799"/>
      <c r="E826" s="799"/>
      <c r="F826" s="799"/>
      <c r="G826" s="799"/>
      <c r="H826" s="799"/>
      <c r="I826" s="799"/>
      <c r="J826" s="799"/>
      <c r="K826" s="799"/>
      <c r="L826" s="799"/>
      <c r="M826" s="800"/>
      <c r="N826" s="326"/>
    </row>
    <row r="827" spans="1:14" ht="41.25" customHeight="1">
      <c r="A827" s="859"/>
      <c r="B827" s="848" t="s">
        <v>156</v>
      </c>
      <c r="C827" s="810"/>
      <c r="D827" s="781" t="s">
        <v>155</v>
      </c>
      <c r="E827" s="810"/>
      <c r="F827" s="781" t="s">
        <v>154</v>
      </c>
      <c r="G827" s="810"/>
      <c r="H827" s="781" t="s">
        <v>153</v>
      </c>
      <c r="I827" s="810"/>
      <c r="J827" s="781" t="s">
        <v>152</v>
      </c>
      <c r="K827" s="810"/>
      <c r="L827" s="836" t="s">
        <v>9</v>
      </c>
      <c r="M827" s="813"/>
      <c r="N827" s="326"/>
    </row>
    <row r="828" spans="1:14" ht="15.75" thickBot="1">
      <c r="A828" s="860"/>
      <c r="B828" s="411" t="s">
        <v>7</v>
      </c>
      <c r="C828" s="411" t="s">
        <v>8</v>
      </c>
      <c r="D828" s="412" t="s">
        <v>7</v>
      </c>
      <c r="E828" s="412" t="s">
        <v>8</v>
      </c>
      <c r="F828" s="411" t="s">
        <v>7</v>
      </c>
      <c r="G828" s="411" t="s">
        <v>8</v>
      </c>
      <c r="H828" s="412" t="s">
        <v>7</v>
      </c>
      <c r="I828" s="412" t="s">
        <v>8</v>
      </c>
      <c r="J828" s="411" t="s">
        <v>7</v>
      </c>
      <c r="K828" s="411" t="s">
        <v>8</v>
      </c>
      <c r="L828" s="412" t="s">
        <v>7</v>
      </c>
      <c r="M828" s="419" t="s">
        <v>6</v>
      </c>
      <c r="N828" s="326"/>
    </row>
    <row r="829" spans="1:14" ht="15.75" customHeight="1">
      <c r="A829" s="395" t="s">
        <v>5</v>
      </c>
      <c r="B829" s="418">
        <v>124048.34277349837</v>
      </c>
      <c r="C829" s="417">
        <v>0.61672393579881901</v>
      </c>
      <c r="D829" s="418">
        <v>32082.951797500096</v>
      </c>
      <c r="E829" s="417">
        <v>0.15950494671844334</v>
      </c>
      <c r="F829" s="418">
        <v>37016.710244100017</v>
      </c>
      <c r="G829" s="417">
        <v>0.18403382682628647</v>
      </c>
      <c r="H829" s="418">
        <v>6975.1781198000072</v>
      </c>
      <c r="I829" s="417">
        <v>3.4678087645197406E-2</v>
      </c>
      <c r="J829" s="418">
        <v>1017.6121159999998</v>
      </c>
      <c r="K829" s="417">
        <v>5.0592030112163767E-3</v>
      </c>
      <c r="L829" s="418">
        <v>201140.79505090602</v>
      </c>
      <c r="M829" s="417">
        <v>1</v>
      </c>
      <c r="N829" s="326"/>
    </row>
    <row r="830" spans="1:14">
      <c r="A830" s="391" t="s">
        <v>309</v>
      </c>
      <c r="B830" s="416">
        <v>2229.3443849999999</v>
      </c>
      <c r="C830" s="415">
        <v>0.56547446147315772</v>
      </c>
      <c r="D830" s="416">
        <v>246.34462400000001</v>
      </c>
      <c r="E830" s="415">
        <v>6.2485452911846789E-2</v>
      </c>
      <c r="F830" s="416">
        <v>1307.1117056000003</v>
      </c>
      <c r="G830" s="415">
        <v>0.331549621845178</v>
      </c>
      <c r="H830" s="416">
        <v>159.63088379999999</v>
      </c>
      <c r="I830" s="415">
        <v>4.049046376981779E-2</v>
      </c>
      <c r="J830" s="416">
        <v>0</v>
      </c>
      <c r="K830" s="415">
        <v>0</v>
      </c>
      <c r="L830" s="416">
        <v>3942.4315983999991</v>
      </c>
      <c r="M830" s="415">
        <v>1.9600358034789624E-2</v>
      </c>
      <c r="N830" s="326"/>
    </row>
    <row r="831" spans="1:14">
      <c r="A831" s="391" t="s">
        <v>308</v>
      </c>
      <c r="B831" s="416">
        <v>4389.7507280000054</v>
      </c>
      <c r="C831" s="415">
        <v>0.53246322333317198</v>
      </c>
      <c r="D831" s="416">
        <v>621.35857199999987</v>
      </c>
      <c r="E831" s="415">
        <v>7.5368878233218972E-2</v>
      </c>
      <c r="F831" s="416">
        <v>2807.3746750000032</v>
      </c>
      <c r="G831" s="415">
        <v>0.3405258888664659</v>
      </c>
      <c r="H831" s="416">
        <v>400.58465899999993</v>
      </c>
      <c r="I831" s="415">
        <v>4.8589683552746649E-2</v>
      </c>
      <c r="J831" s="416">
        <v>25.164085999999998</v>
      </c>
      <c r="K831" s="415">
        <v>3.0523260143971269E-3</v>
      </c>
      <c r="L831" s="416">
        <v>8244.2327200000036</v>
      </c>
      <c r="M831" s="415">
        <v>4.0987372640709202E-2</v>
      </c>
      <c r="N831" s="326"/>
    </row>
    <row r="832" spans="1:14">
      <c r="A832" s="391" t="s">
        <v>307</v>
      </c>
      <c r="B832" s="416">
        <v>8426.6832349999986</v>
      </c>
      <c r="C832" s="415">
        <v>0.54676370992990742</v>
      </c>
      <c r="D832" s="416">
        <v>4491.3477609999982</v>
      </c>
      <c r="E832" s="415">
        <v>0.29142022975184756</v>
      </c>
      <c r="F832" s="416">
        <v>2367.5828569999994</v>
      </c>
      <c r="G832" s="415">
        <v>0.15362015520923628</v>
      </c>
      <c r="H832" s="416">
        <v>64.032352000000003</v>
      </c>
      <c r="I832" s="415">
        <v>4.1547267600664396E-3</v>
      </c>
      <c r="J832" s="416">
        <v>62.282352000000003</v>
      </c>
      <c r="K832" s="415">
        <v>4.0411783489426954E-3</v>
      </c>
      <c r="L832" s="416">
        <v>15411.92855699999</v>
      </c>
      <c r="M832" s="415">
        <v>7.662258943094781E-2</v>
      </c>
      <c r="N832" s="326"/>
    </row>
    <row r="833" spans="1:14">
      <c r="A833" s="391" t="s">
        <v>306</v>
      </c>
      <c r="B833" s="416">
        <v>10811.15379049999</v>
      </c>
      <c r="C833" s="415">
        <v>0.62685769827859383</v>
      </c>
      <c r="D833" s="416">
        <v>3966.6762675000018</v>
      </c>
      <c r="E833" s="415">
        <v>0.22999779700168141</v>
      </c>
      <c r="F833" s="416">
        <v>2072.6845355000005</v>
      </c>
      <c r="G833" s="415">
        <v>0.12017942602230602</v>
      </c>
      <c r="H833" s="416">
        <v>310.35031399999997</v>
      </c>
      <c r="I833" s="415">
        <v>1.7994886324254351E-2</v>
      </c>
      <c r="J833" s="416">
        <v>85.718838999999988</v>
      </c>
      <c r="K833" s="415">
        <v>4.9701923731646693E-3</v>
      </c>
      <c r="L833" s="416">
        <v>17246.583746499986</v>
      </c>
      <c r="M833" s="415">
        <v>8.5743838002306325E-2</v>
      </c>
      <c r="N833" s="326"/>
    </row>
    <row r="834" spans="1:14">
      <c r="A834" s="391" t="s">
        <v>305</v>
      </c>
      <c r="B834" s="416">
        <v>10400.573557999991</v>
      </c>
      <c r="C834" s="415">
        <v>0.39063871408238299</v>
      </c>
      <c r="D834" s="416">
        <v>8354.3042330000117</v>
      </c>
      <c r="E834" s="415">
        <v>0.31378218176456996</v>
      </c>
      <c r="F834" s="416">
        <v>6830.8230440000088</v>
      </c>
      <c r="G834" s="415">
        <v>0.25656122858532021</v>
      </c>
      <c r="H834" s="416">
        <v>719.84752499999991</v>
      </c>
      <c r="I834" s="415">
        <v>2.7037000405144989E-2</v>
      </c>
      <c r="J834" s="416">
        <v>318.98521299999999</v>
      </c>
      <c r="K834" s="415">
        <v>1.1980875162578715E-2</v>
      </c>
      <c r="L834" s="416">
        <v>26624.533573000095</v>
      </c>
      <c r="M834" s="415">
        <v>0.13236764608721857</v>
      </c>
      <c r="N834" s="326"/>
    </row>
    <row r="835" spans="1:14" ht="28.5">
      <c r="A835" s="391" t="s">
        <v>304</v>
      </c>
      <c r="B835" s="416">
        <v>50756.672619999066</v>
      </c>
      <c r="C835" s="415">
        <v>0.67960979923888953</v>
      </c>
      <c r="D835" s="416">
        <v>7490.5756840000195</v>
      </c>
      <c r="E835" s="415">
        <v>0.10029555473226871</v>
      </c>
      <c r="F835" s="416">
        <v>12617.426889999984</v>
      </c>
      <c r="G835" s="415">
        <v>0.16894186543358194</v>
      </c>
      <c r="H835" s="416">
        <v>3615.9605789999991</v>
      </c>
      <c r="I835" s="415">
        <v>4.8416141490363385E-2</v>
      </c>
      <c r="J835" s="416">
        <v>204.38595099999998</v>
      </c>
      <c r="K835" s="415">
        <v>2.7366391048972995E-3</v>
      </c>
      <c r="L835" s="416">
        <v>74685.021723999002</v>
      </c>
      <c r="M835" s="415">
        <v>0.37130718164406795</v>
      </c>
      <c r="N835" s="326"/>
    </row>
    <row r="836" spans="1:14" ht="28.5">
      <c r="A836" s="391" t="s">
        <v>303</v>
      </c>
      <c r="B836" s="416">
        <v>35355.864459000186</v>
      </c>
      <c r="C836" s="415">
        <v>0.6811624375842189</v>
      </c>
      <c r="D836" s="416">
        <v>6185.1279779999977</v>
      </c>
      <c r="E836" s="415">
        <v>0.1191620376062492</v>
      </c>
      <c r="F836" s="416">
        <v>8597.2815350000055</v>
      </c>
      <c r="G836" s="415">
        <v>0.16563433921321244</v>
      </c>
      <c r="H836" s="416">
        <v>1514.1051370000005</v>
      </c>
      <c r="I836" s="415">
        <v>2.9170593384124352E-2</v>
      </c>
      <c r="J836" s="416">
        <v>252.80900500000001</v>
      </c>
      <c r="K836" s="415">
        <v>4.8705922121840464E-3</v>
      </c>
      <c r="L836" s="416">
        <v>51905.188114000761</v>
      </c>
      <c r="M836" s="415">
        <v>0.25805400690031211</v>
      </c>
      <c r="N836" s="326"/>
    </row>
    <row r="837" spans="1:14" ht="15.75" thickBot="1">
      <c r="A837" s="409" t="s">
        <v>302</v>
      </c>
      <c r="B837" s="416">
        <v>1678.299998</v>
      </c>
      <c r="C837" s="415">
        <v>0.54474783566179719</v>
      </c>
      <c r="D837" s="416">
        <v>727.21667799999989</v>
      </c>
      <c r="E837" s="415">
        <v>0.23604225220148156</v>
      </c>
      <c r="F837" s="416">
        <v>416.42500199999995</v>
      </c>
      <c r="G837" s="415">
        <v>0.13516452292515557</v>
      </c>
      <c r="H837" s="416">
        <v>190.66667000000001</v>
      </c>
      <c r="I837" s="415">
        <v>6.1887181039812E-2</v>
      </c>
      <c r="J837" s="416">
        <v>68.266670000000005</v>
      </c>
      <c r="K837" s="415">
        <v>2.2158208171753895E-2</v>
      </c>
      <c r="L837" s="416">
        <v>3080.8750179999993</v>
      </c>
      <c r="M837" s="415">
        <v>1.5317007259617679E-2</v>
      </c>
      <c r="N837" s="326"/>
    </row>
    <row r="838" spans="1:14" ht="15" customHeight="1">
      <c r="A838" s="395" t="s">
        <v>4</v>
      </c>
      <c r="B838" s="418">
        <v>111416.70759251986</v>
      </c>
      <c r="C838" s="417">
        <v>0.594103650476978</v>
      </c>
      <c r="D838" s="418">
        <v>31813.733353110492</v>
      </c>
      <c r="E838" s="417">
        <v>0.16963932545474947</v>
      </c>
      <c r="F838" s="418">
        <v>36712.036693612776</v>
      </c>
      <c r="G838" s="417">
        <v>0.19575838747531268</v>
      </c>
      <c r="H838" s="418">
        <v>7060.5019471108635</v>
      </c>
      <c r="I838" s="417">
        <v>3.7648482634394333E-2</v>
      </c>
      <c r="J838" s="418">
        <v>534.51072037733331</v>
      </c>
      <c r="K838" s="417">
        <v>2.8501539585663767E-3</v>
      </c>
      <c r="L838" s="418">
        <v>187537.49030673117</v>
      </c>
      <c r="M838" s="417">
        <v>1</v>
      </c>
      <c r="N838" s="326"/>
    </row>
    <row r="839" spans="1:14">
      <c r="A839" s="391" t="s">
        <v>309</v>
      </c>
      <c r="B839" s="416">
        <v>2451.4504771544252</v>
      </c>
      <c r="C839" s="415">
        <v>0.41524343111692003</v>
      </c>
      <c r="D839" s="416">
        <v>1145.8698669751302</v>
      </c>
      <c r="E839" s="415">
        <v>0.19409526711245434</v>
      </c>
      <c r="F839" s="416">
        <v>1840.4723828802776</v>
      </c>
      <c r="G839" s="415">
        <v>0.31175178706047257</v>
      </c>
      <c r="H839" s="416">
        <v>386.17531810294975</v>
      </c>
      <c r="I839" s="415">
        <v>6.5413013885507701E-2</v>
      </c>
      <c r="J839" s="416">
        <v>79.678571428571431</v>
      </c>
      <c r="K839" s="415">
        <v>1.3496500824646434E-2</v>
      </c>
      <c r="L839" s="416">
        <v>5903.6466165413476</v>
      </c>
      <c r="M839" s="415">
        <v>3.147982095145619E-2</v>
      </c>
      <c r="N839" s="326"/>
    </row>
    <row r="840" spans="1:14">
      <c r="A840" s="391" t="s">
        <v>308</v>
      </c>
      <c r="B840" s="416">
        <v>4000.1132653981604</v>
      </c>
      <c r="C840" s="415">
        <v>0.48599098485863906</v>
      </c>
      <c r="D840" s="416">
        <v>393.241846554321</v>
      </c>
      <c r="E840" s="415">
        <v>4.777664521345535E-2</v>
      </c>
      <c r="F840" s="416">
        <v>2994.1910904751026</v>
      </c>
      <c r="G840" s="415">
        <v>0.36377716838728458</v>
      </c>
      <c r="H840" s="416">
        <v>760.92625233690148</v>
      </c>
      <c r="I840" s="415">
        <v>9.2448206898760113E-2</v>
      </c>
      <c r="J840" s="416">
        <v>82.365955873289792</v>
      </c>
      <c r="K840" s="415">
        <v>1.0006994641862704E-2</v>
      </c>
      <c r="L840" s="416">
        <v>8230.8384106377598</v>
      </c>
      <c r="M840" s="415">
        <v>4.3889029319820944E-2</v>
      </c>
      <c r="N840" s="326"/>
    </row>
    <row r="841" spans="1:14">
      <c r="A841" s="391" t="s">
        <v>307</v>
      </c>
      <c r="B841" s="416">
        <v>6192.137418325874</v>
      </c>
      <c r="C841" s="415">
        <v>0.38053327520835079</v>
      </c>
      <c r="D841" s="416">
        <v>7729.965632556462</v>
      </c>
      <c r="E841" s="415">
        <v>0.47503938312143873</v>
      </c>
      <c r="F841" s="416">
        <v>2053.2724185831139</v>
      </c>
      <c r="G841" s="415">
        <v>0.12618235442030115</v>
      </c>
      <c r="H841" s="416">
        <v>296.88722539486548</v>
      </c>
      <c r="I841" s="415">
        <v>1.8244987249907064E-2</v>
      </c>
      <c r="J841" s="416">
        <v>0</v>
      </c>
      <c r="K841" s="415">
        <v>0</v>
      </c>
      <c r="L841" s="416">
        <v>16272.262694860352</v>
      </c>
      <c r="M841" s="415">
        <v>8.6768051914557914E-2</v>
      </c>
      <c r="N841" s="326"/>
    </row>
    <row r="842" spans="1:14">
      <c r="A842" s="391" t="s">
        <v>306</v>
      </c>
      <c r="B842" s="416">
        <v>11138.566936569532</v>
      </c>
      <c r="C842" s="415">
        <v>0.65537510291963474</v>
      </c>
      <c r="D842" s="416">
        <v>3081.0498614190692</v>
      </c>
      <c r="E842" s="415">
        <v>0.18128394626768185</v>
      </c>
      <c r="F842" s="416">
        <v>2266.3268649033885</v>
      </c>
      <c r="G842" s="415">
        <v>0.13334697459680875</v>
      </c>
      <c r="H842" s="416">
        <v>433.57094947735192</v>
      </c>
      <c r="I842" s="415">
        <v>2.551060717728169E-2</v>
      </c>
      <c r="J842" s="416">
        <v>76.19805194805194</v>
      </c>
      <c r="K842" s="415">
        <v>4.4833690385946779E-3</v>
      </c>
      <c r="L842" s="416">
        <v>16995.712664317365</v>
      </c>
      <c r="M842" s="415">
        <v>9.0625680425389307E-2</v>
      </c>
      <c r="N842" s="326"/>
    </row>
    <row r="843" spans="1:14">
      <c r="A843" s="391" t="s">
        <v>305</v>
      </c>
      <c r="B843" s="416">
        <v>8340.3209973999819</v>
      </c>
      <c r="C843" s="415">
        <v>0.35751533860808321</v>
      </c>
      <c r="D843" s="416">
        <v>6730.4927722268349</v>
      </c>
      <c r="E843" s="415">
        <v>0.28850860814734364</v>
      </c>
      <c r="F843" s="416">
        <v>7374.5473460713483</v>
      </c>
      <c r="G843" s="415">
        <v>0.31611658500121859</v>
      </c>
      <c r="H843" s="416">
        <v>850.34198720731638</v>
      </c>
      <c r="I843" s="415">
        <v>3.6450671812735563E-2</v>
      </c>
      <c r="J843" s="416">
        <v>32.865203761755481</v>
      </c>
      <c r="K843" s="415">
        <v>1.4087964306134691E-3</v>
      </c>
      <c r="L843" s="416">
        <v>23328.568306667366</v>
      </c>
      <c r="M843" s="415">
        <v>0.12439415856803779</v>
      </c>
      <c r="N843" s="326"/>
    </row>
    <row r="844" spans="1:14" ht="28.5">
      <c r="A844" s="391" t="s">
        <v>304</v>
      </c>
      <c r="B844" s="416">
        <v>42760.844545371547</v>
      </c>
      <c r="C844" s="415">
        <v>0.66378173263005413</v>
      </c>
      <c r="D844" s="416">
        <v>6972.010027171068</v>
      </c>
      <c r="E844" s="415">
        <v>0.10822735016001098</v>
      </c>
      <c r="F844" s="416">
        <v>12032.722542508787</v>
      </c>
      <c r="G844" s="415">
        <v>0.18678539917630602</v>
      </c>
      <c r="H844" s="416">
        <v>2517.7489448527313</v>
      </c>
      <c r="I844" s="415">
        <v>3.9083319675049112E-2</v>
      </c>
      <c r="J844" s="416">
        <v>136.71209924126347</v>
      </c>
      <c r="K844" s="415">
        <v>2.1221983585841095E-3</v>
      </c>
      <c r="L844" s="416">
        <v>64420.038159145122</v>
      </c>
      <c r="M844" s="415">
        <v>0.34350485363636613</v>
      </c>
      <c r="N844" s="326"/>
    </row>
    <row r="845" spans="1:14" ht="28.5">
      <c r="A845" s="391" t="s">
        <v>303</v>
      </c>
      <c r="B845" s="416">
        <v>35409.142999919401</v>
      </c>
      <c r="C845" s="415">
        <v>0.71625077348330846</v>
      </c>
      <c r="D845" s="416">
        <v>4923.4453104932072</v>
      </c>
      <c r="E845" s="415">
        <v>9.9590704916285452E-2</v>
      </c>
      <c r="F845" s="416">
        <v>7368.6428378730934</v>
      </c>
      <c r="G845" s="415">
        <v>0.14905178959459306</v>
      </c>
      <c r="H845" s="416">
        <v>1608.8734919609813</v>
      </c>
      <c r="I845" s="415">
        <v>3.2544048949630533E-2</v>
      </c>
      <c r="J845" s="416">
        <v>126.69083812440113</v>
      </c>
      <c r="K845" s="415">
        <v>2.5626830561829039E-3</v>
      </c>
      <c r="L845" s="416">
        <v>49436.795478371067</v>
      </c>
      <c r="M845" s="415">
        <v>0.26361020080578873</v>
      </c>
      <c r="N845" s="326"/>
    </row>
    <row r="846" spans="1:14" ht="15.75" thickBot="1">
      <c r="A846" s="409" t="s">
        <v>302</v>
      </c>
      <c r="B846" s="416">
        <v>1124.1309523809523</v>
      </c>
      <c r="C846" s="415">
        <v>0.38110940140756255</v>
      </c>
      <c r="D846" s="416">
        <v>837.65803571428569</v>
      </c>
      <c r="E846" s="415">
        <v>0.28398769013445002</v>
      </c>
      <c r="F846" s="416">
        <v>781.86121031746029</v>
      </c>
      <c r="G846" s="415">
        <v>0.26507112647041514</v>
      </c>
      <c r="H846" s="416">
        <v>205.97777777777779</v>
      </c>
      <c r="I846" s="415">
        <v>6.9831781987572436E-2</v>
      </c>
      <c r="J846" s="416">
        <v>0</v>
      </c>
      <c r="K846" s="415">
        <v>0</v>
      </c>
      <c r="L846" s="416">
        <v>2949.6279761904757</v>
      </c>
      <c r="M846" s="415">
        <v>1.572820437858129E-2</v>
      </c>
      <c r="N846" s="326"/>
    </row>
    <row r="847" spans="1:14" ht="15.75" customHeight="1">
      <c r="A847" s="395" t="s">
        <v>3</v>
      </c>
      <c r="B847" s="418">
        <v>72992.814652312256</v>
      </c>
      <c r="C847" s="417">
        <v>0.55605819733433404</v>
      </c>
      <c r="D847" s="418">
        <v>26738.383286148743</v>
      </c>
      <c r="E847" s="417">
        <v>0.2036926138627724</v>
      </c>
      <c r="F847" s="418">
        <v>25017.387078839594</v>
      </c>
      <c r="G847" s="417">
        <v>0.19058208985826705</v>
      </c>
      <c r="H847" s="418">
        <v>6076.5608645060165</v>
      </c>
      <c r="I847" s="417">
        <v>4.6291152031942381E-2</v>
      </c>
      <c r="J847" s="418">
        <v>443.15481447049586</v>
      </c>
      <c r="K847" s="417">
        <v>3.3759469126964149E-3</v>
      </c>
      <c r="L847" s="418">
        <v>131268.30069627549</v>
      </c>
      <c r="M847" s="417">
        <v>1</v>
      </c>
      <c r="N847" s="326"/>
    </row>
    <row r="848" spans="1:14">
      <c r="A848" s="391" t="s">
        <v>309</v>
      </c>
      <c r="B848" s="416">
        <v>958.41746880570429</v>
      </c>
      <c r="C848" s="415">
        <v>0.39473513422716289</v>
      </c>
      <c r="D848" s="416">
        <v>346.48425430778366</v>
      </c>
      <c r="E848" s="415">
        <v>0.14270348056386281</v>
      </c>
      <c r="F848" s="416">
        <v>1015.5174093879976</v>
      </c>
      <c r="G848" s="415">
        <v>0.41825239413082582</v>
      </c>
      <c r="H848" s="416">
        <v>89.673202614379079</v>
      </c>
      <c r="I848" s="415">
        <v>3.6932928314292242E-2</v>
      </c>
      <c r="J848" s="416">
        <v>17.90909090909091</v>
      </c>
      <c r="K848" s="415">
        <v>7.37606276385557E-3</v>
      </c>
      <c r="L848" s="416">
        <v>2428.0014260249573</v>
      </c>
      <c r="M848" s="415">
        <v>1.8496479448170747E-2</v>
      </c>
      <c r="N848" s="326"/>
    </row>
    <row r="849" spans="1:14">
      <c r="A849" s="391" t="s">
        <v>308</v>
      </c>
      <c r="B849" s="416">
        <v>3540.0100157483466</v>
      </c>
      <c r="C849" s="415">
        <v>0.54428150007567822</v>
      </c>
      <c r="D849" s="416">
        <v>694.17561915079295</v>
      </c>
      <c r="E849" s="415">
        <v>0.10673047410219966</v>
      </c>
      <c r="F849" s="416">
        <v>1719.3852176180899</v>
      </c>
      <c r="G849" s="415">
        <v>0.26435788635905572</v>
      </c>
      <c r="H849" s="416">
        <v>545.43491518963185</v>
      </c>
      <c r="I849" s="415">
        <v>8.3861382457220482E-2</v>
      </c>
      <c r="J849" s="416">
        <v>5</v>
      </c>
      <c r="K849" s="415">
        <v>7.687570058479325E-4</v>
      </c>
      <c r="L849" s="416">
        <v>6504.005767706848</v>
      </c>
      <c r="M849" s="415">
        <v>4.9547421069734227E-2</v>
      </c>
      <c r="N849" s="326"/>
    </row>
    <row r="850" spans="1:14">
      <c r="A850" s="391" t="s">
        <v>307</v>
      </c>
      <c r="B850" s="416">
        <v>5014.8903356481478</v>
      </c>
      <c r="C850" s="415">
        <v>0.34745550393390501</v>
      </c>
      <c r="D850" s="416">
        <v>7281.9074074074042</v>
      </c>
      <c r="E850" s="415">
        <v>0.50452525150059302</v>
      </c>
      <c r="F850" s="416">
        <v>1823.3365162037039</v>
      </c>
      <c r="G850" s="415">
        <v>0.12632944405089738</v>
      </c>
      <c r="H850" s="416">
        <v>313.05295138888891</v>
      </c>
      <c r="I850" s="415">
        <v>2.1689800514603768E-2</v>
      </c>
      <c r="J850" s="416">
        <v>0</v>
      </c>
      <c r="K850" s="415">
        <v>0</v>
      </c>
      <c r="L850" s="416">
        <v>14433.187210648157</v>
      </c>
      <c r="M850" s="415">
        <v>0.10995180964552301</v>
      </c>
      <c r="N850" s="326"/>
    </row>
    <row r="851" spans="1:14">
      <c r="A851" s="391" t="s">
        <v>306</v>
      </c>
      <c r="B851" s="416">
        <v>7512.7149694354575</v>
      </c>
      <c r="C851" s="415">
        <v>0.63242743438720195</v>
      </c>
      <c r="D851" s="416">
        <v>2208.0483009708728</v>
      </c>
      <c r="E851" s="415">
        <v>0.18587558927328293</v>
      </c>
      <c r="F851" s="416">
        <v>1824.828827759799</v>
      </c>
      <c r="G851" s="415">
        <v>0.15361581245011049</v>
      </c>
      <c r="H851" s="416">
        <v>242.61013304566703</v>
      </c>
      <c r="I851" s="415">
        <v>2.0423149902882399E-2</v>
      </c>
      <c r="J851" s="416">
        <v>90.970873786407765</v>
      </c>
      <c r="K851" s="415">
        <v>7.6580139865233161E-3</v>
      </c>
      <c r="L851" s="416">
        <v>11879.173104998192</v>
      </c>
      <c r="M851" s="415">
        <v>9.0495367442013683E-2</v>
      </c>
      <c r="N851" s="326"/>
    </row>
    <row r="852" spans="1:14">
      <c r="A852" s="391" t="s">
        <v>305</v>
      </c>
      <c r="B852" s="416">
        <v>9063.1962786195672</v>
      </c>
      <c r="C852" s="415">
        <v>0.43302065815912322</v>
      </c>
      <c r="D852" s="416">
        <v>5654.9314062351268</v>
      </c>
      <c r="E852" s="415">
        <v>0.27018085497598837</v>
      </c>
      <c r="F852" s="416">
        <v>5302.5464131293111</v>
      </c>
      <c r="G852" s="415">
        <v>0.25334463329997275</v>
      </c>
      <c r="H852" s="416">
        <v>760.45194829429693</v>
      </c>
      <c r="I852" s="415">
        <v>3.633281162911535E-2</v>
      </c>
      <c r="J852" s="416">
        <v>149.04462305986698</v>
      </c>
      <c r="K852" s="415">
        <v>7.1210419358028231E-3</v>
      </c>
      <c r="L852" s="416">
        <v>20930.170669338117</v>
      </c>
      <c r="M852" s="415">
        <v>0.15944573486759531</v>
      </c>
      <c r="N852" s="326"/>
    </row>
    <row r="853" spans="1:14" ht="28.5">
      <c r="A853" s="391" t="s">
        <v>304</v>
      </c>
      <c r="B853" s="416">
        <v>23462.754232943036</v>
      </c>
      <c r="C853" s="415">
        <v>0.60821918158068788</v>
      </c>
      <c r="D853" s="416">
        <v>5349.4974042713538</v>
      </c>
      <c r="E853" s="415">
        <v>0.13867369963435938</v>
      </c>
      <c r="F853" s="416">
        <v>7446.1209544768917</v>
      </c>
      <c r="G853" s="415">
        <v>0.19302395396206087</v>
      </c>
      <c r="H853" s="416">
        <v>2233.339178705357</v>
      </c>
      <c r="I853" s="415">
        <v>5.7894299790134773E-2</v>
      </c>
      <c r="J853" s="416">
        <v>84.437985298587819</v>
      </c>
      <c r="K853" s="415">
        <v>2.1888650327556761E-3</v>
      </c>
      <c r="L853" s="416">
        <v>38576.149755695282</v>
      </c>
      <c r="M853" s="415">
        <v>0.2938725461598804</v>
      </c>
      <c r="N853" s="326"/>
    </row>
    <row r="854" spans="1:14" ht="28.5">
      <c r="A854" s="391" t="s">
        <v>303</v>
      </c>
      <c r="B854" s="416">
        <v>22380.422972629189</v>
      </c>
      <c r="C854" s="415">
        <v>0.65613129264872672</v>
      </c>
      <c r="D854" s="416">
        <v>4488.5464208951817</v>
      </c>
      <c r="E854" s="415">
        <v>0.13159160436143411</v>
      </c>
      <c r="F854" s="416">
        <v>5423.5815970749036</v>
      </c>
      <c r="G854" s="415">
        <v>0.15900421580176016</v>
      </c>
      <c r="H854" s="416">
        <v>1721.3284501284861</v>
      </c>
      <c r="I854" s="415">
        <v>5.0464527075162434E-2</v>
      </c>
      <c r="J854" s="416">
        <v>95.792241416542424</v>
      </c>
      <c r="K854" s="415">
        <v>2.8083601129085889E-3</v>
      </c>
      <c r="L854" s="416">
        <v>34109.671682144573</v>
      </c>
      <c r="M854" s="415">
        <v>0.25984698134446388</v>
      </c>
      <c r="N854" s="326"/>
    </row>
    <row r="855" spans="1:14" ht="15.75" thickBot="1">
      <c r="A855" s="408" t="s">
        <v>302</v>
      </c>
      <c r="B855" s="414">
        <v>1060.4083784829722</v>
      </c>
      <c r="C855" s="413">
        <v>0.44037970339609755</v>
      </c>
      <c r="D855" s="414">
        <v>714.7924729102167</v>
      </c>
      <c r="E855" s="413">
        <v>0.29684799139392976</v>
      </c>
      <c r="F855" s="414">
        <v>462.07014318885456</v>
      </c>
      <c r="G855" s="413">
        <v>0.19189428972336967</v>
      </c>
      <c r="H855" s="414">
        <v>170.6700851393189</v>
      </c>
      <c r="I855" s="413">
        <v>7.0878015486603274E-2</v>
      </c>
      <c r="J855" s="414">
        <v>0</v>
      </c>
      <c r="K855" s="413">
        <v>0</v>
      </c>
      <c r="L855" s="414">
        <v>2407.9410797213618</v>
      </c>
      <c r="M855" s="413">
        <v>1.8343660022633955E-2</v>
      </c>
      <c r="N855" s="326"/>
    </row>
    <row r="859" spans="1:14" ht="15.75" thickBot="1"/>
    <row r="860" spans="1:14" ht="15" customHeight="1">
      <c r="A860" s="858" t="s">
        <v>310</v>
      </c>
      <c r="B860" s="833" t="s">
        <v>334</v>
      </c>
      <c r="C860" s="799"/>
      <c r="D860" s="799"/>
      <c r="E860" s="799"/>
      <c r="F860" s="799"/>
      <c r="G860" s="800"/>
      <c r="H860" s="326"/>
    </row>
    <row r="861" spans="1:14">
      <c r="A861" s="859"/>
      <c r="B861" s="834" t="s">
        <v>27</v>
      </c>
      <c r="C861" s="810"/>
      <c r="D861" s="835" t="s">
        <v>26</v>
      </c>
      <c r="E861" s="810"/>
      <c r="F861" s="829" t="s">
        <v>9</v>
      </c>
      <c r="G861" s="813"/>
      <c r="H861" s="326"/>
    </row>
    <row r="862" spans="1:14" ht="15.75" thickBot="1">
      <c r="A862" s="860"/>
      <c r="B862" s="411" t="s">
        <v>7</v>
      </c>
      <c r="C862" s="411" t="s">
        <v>8</v>
      </c>
      <c r="D862" s="412" t="s">
        <v>7</v>
      </c>
      <c r="E862" s="412" t="s">
        <v>8</v>
      </c>
      <c r="F862" s="411" t="s">
        <v>7</v>
      </c>
      <c r="G862" s="410" t="s">
        <v>6</v>
      </c>
      <c r="H862" s="326"/>
    </row>
    <row r="863" spans="1:14" ht="15.75" customHeight="1">
      <c r="A863" s="395" t="s">
        <v>5</v>
      </c>
      <c r="B863" s="400">
        <v>71985.991083699555</v>
      </c>
      <c r="C863" s="399">
        <v>0.46106061748539146</v>
      </c>
      <c r="D863" s="400">
        <v>84145.303487299359</v>
      </c>
      <c r="E863" s="399">
        <v>0.53893938251459128</v>
      </c>
      <c r="F863" s="400">
        <v>156131.29457100161</v>
      </c>
      <c r="G863" s="399">
        <v>1</v>
      </c>
      <c r="H863" s="326"/>
    </row>
    <row r="864" spans="1:14">
      <c r="A864" s="391" t="s">
        <v>309</v>
      </c>
      <c r="B864" s="398">
        <v>1159.5283211999999</v>
      </c>
      <c r="C864" s="311">
        <v>0.46836590419261342</v>
      </c>
      <c r="D864" s="398">
        <v>1316.1606878000002</v>
      </c>
      <c r="E864" s="311">
        <v>0.53163409580738674</v>
      </c>
      <c r="F864" s="398">
        <v>2475.6890089999997</v>
      </c>
      <c r="G864" s="311">
        <v>1.5856456041067193E-2</v>
      </c>
      <c r="H864" s="326"/>
    </row>
    <row r="865" spans="1:8">
      <c r="A865" s="391" t="s">
        <v>308</v>
      </c>
      <c r="B865" s="398">
        <v>2345.5500290000004</v>
      </c>
      <c r="C865" s="311">
        <v>0.46807001974592688</v>
      </c>
      <c r="D865" s="398">
        <v>2665.5592710000024</v>
      </c>
      <c r="E865" s="311">
        <v>0.53192998025407257</v>
      </c>
      <c r="F865" s="398">
        <v>5011.1093000000055</v>
      </c>
      <c r="G865" s="311">
        <v>3.209548293165003E-2</v>
      </c>
      <c r="H865" s="326"/>
    </row>
    <row r="866" spans="1:8">
      <c r="A866" s="391" t="s">
        <v>307</v>
      </c>
      <c r="B866" s="398">
        <v>6053.8952549999967</v>
      </c>
      <c r="C866" s="311">
        <v>0.46863916465865091</v>
      </c>
      <c r="D866" s="398">
        <v>6864.1357409999991</v>
      </c>
      <c r="E866" s="311">
        <v>0.53136083534134926</v>
      </c>
      <c r="F866" s="398">
        <v>12918.030995999994</v>
      </c>
      <c r="G866" s="311">
        <v>8.2738255847391612E-2</v>
      </c>
      <c r="H866" s="326"/>
    </row>
    <row r="867" spans="1:8">
      <c r="A867" s="391" t="s">
        <v>306</v>
      </c>
      <c r="B867" s="398">
        <v>7120.9840144999989</v>
      </c>
      <c r="C867" s="311">
        <v>0.48186939398758677</v>
      </c>
      <c r="D867" s="398">
        <v>7656.8460434999952</v>
      </c>
      <c r="E867" s="311">
        <v>0.51813060601241356</v>
      </c>
      <c r="F867" s="398">
        <v>14777.830057999989</v>
      </c>
      <c r="G867" s="311">
        <v>9.4650019386598283E-2</v>
      </c>
      <c r="H867" s="326"/>
    </row>
    <row r="868" spans="1:8">
      <c r="A868" s="391" t="s">
        <v>305</v>
      </c>
      <c r="B868" s="398">
        <v>8877.7407630000071</v>
      </c>
      <c r="C868" s="311">
        <v>0.47335636424462429</v>
      </c>
      <c r="D868" s="398">
        <v>9877.1370279999919</v>
      </c>
      <c r="E868" s="311">
        <v>0.52664363575537609</v>
      </c>
      <c r="F868" s="398">
        <v>18754.877790999992</v>
      </c>
      <c r="G868" s="311">
        <v>0.1201224766792099</v>
      </c>
      <c r="H868" s="326"/>
    </row>
    <row r="869" spans="1:8" ht="28.5">
      <c r="A869" s="391" t="s">
        <v>304</v>
      </c>
      <c r="B869" s="398">
        <v>26768.322021000058</v>
      </c>
      <c r="C869" s="311">
        <v>0.45956371846603372</v>
      </c>
      <c r="D869" s="398">
        <v>31478.926283000052</v>
      </c>
      <c r="E869" s="311">
        <v>0.54043628153398904</v>
      </c>
      <c r="F869" s="398">
        <v>58247.248303998778</v>
      </c>
      <c r="G869" s="311">
        <v>0.37306581274460965</v>
      </c>
      <c r="H869" s="326"/>
    </row>
    <row r="870" spans="1:8" ht="28.5">
      <c r="A870" s="391" t="s">
        <v>303</v>
      </c>
      <c r="B870" s="398">
        <v>18141.437338000058</v>
      </c>
      <c r="C870" s="311">
        <v>0.43671169786115926</v>
      </c>
      <c r="D870" s="398">
        <v>23399.555099000063</v>
      </c>
      <c r="E870" s="311">
        <v>0.56328830213883196</v>
      </c>
      <c r="F870" s="398">
        <v>41540.992437000488</v>
      </c>
      <c r="G870" s="311">
        <v>0.26606448470911437</v>
      </c>
      <c r="H870" s="326"/>
    </row>
    <row r="871" spans="1:8" ht="15.75" thickBot="1">
      <c r="A871" s="409" t="s">
        <v>302</v>
      </c>
      <c r="B871" s="398">
        <v>1518.5333420000002</v>
      </c>
      <c r="C871" s="311">
        <v>0.63127117643810504</v>
      </c>
      <c r="D871" s="398">
        <v>886.98333399999979</v>
      </c>
      <c r="E871" s="311">
        <v>0.36872882356189485</v>
      </c>
      <c r="F871" s="398">
        <v>2405.5166760000002</v>
      </c>
      <c r="G871" s="311">
        <v>1.5407011660343837E-2</v>
      </c>
      <c r="H871" s="326"/>
    </row>
    <row r="872" spans="1:8" ht="15" customHeight="1">
      <c r="A872" s="395" t="s">
        <v>4</v>
      </c>
      <c r="B872" s="400">
        <v>49183.45956232048</v>
      </c>
      <c r="C872" s="399">
        <v>0.34338691717768588</v>
      </c>
      <c r="D872" s="400">
        <v>94046.981383309554</v>
      </c>
      <c r="E872" s="399">
        <v>0.65661308282231434</v>
      </c>
      <c r="F872" s="400">
        <v>143230.44094562999</v>
      </c>
      <c r="G872" s="399">
        <v>1</v>
      </c>
      <c r="H872" s="326"/>
    </row>
    <row r="873" spans="1:8">
      <c r="A873" s="391" t="s">
        <v>309</v>
      </c>
      <c r="B873" s="398">
        <v>1405.7206477732796</v>
      </c>
      <c r="C873" s="311">
        <v>0.39076882604221375</v>
      </c>
      <c r="D873" s="398">
        <v>2191.5996963562757</v>
      </c>
      <c r="E873" s="311">
        <v>0.60923117395778559</v>
      </c>
      <c r="F873" s="398">
        <v>3597.3203441295577</v>
      </c>
      <c r="G873" s="311">
        <v>2.5115613136282206E-2</v>
      </c>
      <c r="H873" s="326"/>
    </row>
    <row r="874" spans="1:8">
      <c r="A874" s="391" t="s">
        <v>308</v>
      </c>
      <c r="B874" s="398">
        <v>1602.8321038779325</v>
      </c>
      <c r="C874" s="311">
        <v>0.36483099204006914</v>
      </c>
      <c r="D874" s="398">
        <v>2790.5230080745469</v>
      </c>
      <c r="E874" s="311">
        <v>0.63516900795993048</v>
      </c>
      <c r="F874" s="398">
        <v>4393.3551119524809</v>
      </c>
      <c r="G874" s="311">
        <v>3.0673333705788078E-2</v>
      </c>
      <c r="H874" s="326"/>
    </row>
    <row r="875" spans="1:8">
      <c r="A875" s="391" t="s">
        <v>307</v>
      </c>
      <c r="B875" s="398">
        <v>5795.3914698770395</v>
      </c>
      <c r="C875" s="311">
        <v>0.41627270310355419</v>
      </c>
      <c r="D875" s="398">
        <v>8126.7115810052974</v>
      </c>
      <c r="E875" s="311">
        <v>0.58372729689644398</v>
      </c>
      <c r="F875" s="398">
        <v>13922.103050882362</v>
      </c>
      <c r="G875" s="311">
        <v>9.7200727435916831E-2</v>
      </c>
      <c r="H875" s="326"/>
    </row>
    <row r="876" spans="1:8">
      <c r="A876" s="391" t="s">
        <v>306</v>
      </c>
      <c r="B876" s="398">
        <v>4106.1582851599605</v>
      </c>
      <c r="C876" s="311">
        <v>0.2887671548041148</v>
      </c>
      <c r="D876" s="398">
        <v>10113.458512828636</v>
      </c>
      <c r="E876" s="311">
        <v>0.71123284519588603</v>
      </c>
      <c r="F876" s="398">
        <v>14219.616797988583</v>
      </c>
      <c r="G876" s="311">
        <v>9.9277895844685174E-2</v>
      </c>
      <c r="H876" s="326"/>
    </row>
    <row r="877" spans="1:8">
      <c r="A877" s="391" t="s">
        <v>305</v>
      </c>
      <c r="B877" s="398">
        <v>3875.2414493256288</v>
      </c>
      <c r="C877" s="311">
        <v>0.25713551428361858</v>
      </c>
      <c r="D877" s="398">
        <v>11195.572320301186</v>
      </c>
      <c r="E877" s="311">
        <v>0.74286448571638219</v>
      </c>
      <c r="F877" s="398">
        <v>15070.813769626802</v>
      </c>
      <c r="G877" s="311">
        <v>0.10522074546532784</v>
      </c>
      <c r="H877" s="326"/>
    </row>
    <row r="878" spans="1:8" ht="28.5">
      <c r="A878" s="391" t="s">
        <v>304</v>
      </c>
      <c r="B878" s="398">
        <v>18576.041762536988</v>
      </c>
      <c r="C878" s="311">
        <v>0.37351649975050516</v>
      </c>
      <c r="D878" s="398">
        <v>31156.81281000578</v>
      </c>
      <c r="E878" s="311">
        <v>0.62648350024949973</v>
      </c>
      <c r="F878" s="398">
        <v>49732.854572542528</v>
      </c>
      <c r="G878" s="311">
        <v>0.34722265912328676</v>
      </c>
      <c r="H878" s="326"/>
    </row>
    <row r="879" spans="1:8" ht="28.5">
      <c r="A879" s="391" t="s">
        <v>303</v>
      </c>
      <c r="B879" s="398">
        <v>13047.419280277552</v>
      </c>
      <c r="C879" s="311">
        <v>0.3234957097189104</v>
      </c>
      <c r="D879" s="398">
        <v>27285.169030135068</v>
      </c>
      <c r="E879" s="311">
        <v>0.67650429028109016</v>
      </c>
      <c r="F879" s="398">
        <v>40332.588310412597</v>
      </c>
      <c r="G879" s="311">
        <v>0.28159229311960837</v>
      </c>
      <c r="H879" s="326"/>
    </row>
    <row r="880" spans="1:8" ht="15.75" thickBot="1">
      <c r="A880" s="409" t="s">
        <v>302</v>
      </c>
      <c r="B880" s="398">
        <v>774.65456349206352</v>
      </c>
      <c r="C880" s="311">
        <v>0.39487150156969714</v>
      </c>
      <c r="D880" s="398">
        <v>1187.1344246031747</v>
      </c>
      <c r="E880" s="311">
        <v>0.6051284984303027</v>
      </c>
      <c r="F880" s="398">
        <v>1961.7889880952384</v>
      </c>
      <c r="G880" s="311">
        <v>1.3696732169105936E-2</v>
      </c>
      <c r="H880" s="326"/>
    </row>
    <row r="881" spans="1:24" ht="15.75" customHeight="1">
      <c r="A881" s="395" t="s">
        <v>3</v>
      </c>
      <c r="B881" s="400">
        <v>24086.400367298891</v>
      </c>
      <c r="C881" s="399">
        <v>0.24151319612305858</v>
      </c>
      <c r="D881" s="400">
        <v>75644.797571162213</v>
      </c>
      <c r="E881" s="399">
        <v>0.75848680387695155</v>
      </c>
      <c r="F881" s="400">
        <v>99731.1979384601</v>
      </c>
      <c r="G881" s="399">
        <v>1</v>
      </c>
      <c r="H881" s="326"/>
    </row>
    <row r="882" spans="1:24">
      <c r="A882" s="391" t="s">
        <v>309</v>
      </c>
      <c r="B882" s="398">
        <v>385.44824717765891</v>
      </c>
      <c r="C882" s="311">
        <v>0.29538488634836146</v>
      </c>
      <c r="D882" s="398">
        <v>919.45347593582926</v>
      </c>
      <c r="E882" s="311">
        <v>0.7046151136516382</v>
      </c>
      <c r="F882" s="398">
        <v>1304.9017231134887</v>
      </c>
      <c r="G882" s="311">
        <v>1.3084187797670779E-2</v>
      </c>
      <c r="H882" s="326"/>
    </row>
    <row r="883" spans="1:24">
      <c r="A883" s="391" t="s">
        <v>308</v>
      </c>
      <c r="B883" s="398">
        <v>1010.4705044486567</v>
      </c>
      <c r="C883" s="311">
        <v>0.23864577313760754</v>
      </c>
      <c r="D883" s="398">
        <v>3223.7151304504841</v>
      </c>
      <c r="E883" s="311">
        <v>0.76135422686239296</v>
      </c>
      <c r="F883" s="398">
        <v>4234.1856348991387</v>
      </c>
      <c r="G883" s="311">
        <v>4.2455978895509457E-2</v>
      </c>
      <c r="H883" s="326"/>
    </row>
    <row r="884" spans="1:24">
      <c r="A884" s="391" t="s">
        <v>307</v>
      </c>
      <c r="B884" s="398">
        <v>3977.20775462963</v>
      </c>
      <c r="C884" s="311">
        <v>0.32343442884353374</v>
      </c>
      <c r="D884" s="398">
        <v>8319.5899884259215</v>
      </c>
      <c r="E884" s="311">
        <v>0.67656557115646554</v>
      </c>
      <c r="F884" s="398">
        <v>12296.79774305556</v>
      </c>
      <c r="G884" s="311">
        <v>0.12329940878323142</v>
      </c>
      <c r="H884" s="326"/>
    </row>
    <row r="885" spans="1:24">
      <c r="A885" s="391" t="s">
        <v>306</v>
      </c>
      <c r="B885" s="398">
        <v>1875.0832578209286</v>
      </c>
      <c r="C885" s="311">
        <v>0.1928946529877329</v>
      </c>
      <c r="D885" s="398">
        <v>7845.6800125854061</v>
      </c>
      <c r="E885" s="311">
        <v>0.80710534701226766</v>
      </c>
      <c r="F885" s="398">
        <v>9720.763270406329</v>
      </c>
      <c r="G885" s="311">
        <v>9.7469633087176988E-2</v>
      </c>
      <c r="H885" s="326"/>
    </row>
    <row r="886" spans="1:24">
      <c r="A886" s="391" t="s">
        <v>305</v>
      </c>
      <c r="B886" s="398">
        <v>2318.023768305251</v>
      </c>
      <c r="C886" s="311">
        <v>0.15749447334191605</v>
      </c>
      <c r="D886" s="398">
        <v>12400.103916549395</v>
      </c>
      <c r="E886" s="311">
        <v>0.84250552665808642</v>
      </c>
      <c r="F886" s="398">
        <v>14718.127684854609</v>
      </c>
      <c r="G886" s="311">
        <v>0.14757796947286789</v>
      </c>
      <c r="H886" s="326"/>
    </row>
    <row r="887" spans="1:24" ht="28.5">
      <c r="A887" s="391" t="s">
        <v>304</v>
      </c>
      <c r="B887" s="398">
        <v>7930.0857876778509</v>
      </c>
      <c r="C887" s="311">
        <v>0.27523311567344505</v>
      </c>
      <c r="D887" s="398">
        <v>20882.165849536465</v>
      </c>
      <c r="E887" s="311">
        <v>0.72476688432655034</v>
      </c>
      <c r="F887" s="398">
        <v>28812.251637214446</v>
      </c>
      <c r="G887" s="311">
        <v>0.28889908306318818</v>
      </c>
      <c r="H887" s="326"/>
    </row>
    <row r="888" spans="1:24" ht="28.5">
      <c r="A888" s="391" t="s">
        <v>303</v>
      </c>
      <c r="B888" s="398">
        <v>6239.0892709230484</v>
      </c>
      <c r="C888" s="311">
        <v>0.2322042643149049</v>
      </c>
      <c r="D888" s="398">
        <v>20629.880122601273</v>
      </c>
      <c r="E888" s="311">
        <v>0.76779573568508919</v>
      </c>
      <c r="F888" s="398">
        <v>26868.96939352448</v>
      </c>
      <c r="G888" s="311">
        <v>0.26941388400953714</v>
      </c>
      <c r="H888" s="326"/>
    </row>
    <row r="889" spans="1:24" ht="15.75" thickBot="1">
      <c r="A889" s="408" t="s">
        <v>302</v>
      </c>
      <c r="B889" s="351">
        <v>350.99177631578948</v>
      </c>
      <c r="C889" s="352">
        <v>0.19771947272351123</v>
      </c>
      <c r="D889" s="351">
        <v>1424.2090750773991</v>
      </c>
      <c r="E889" s="352">
        <v>0.80228052727648869</v>
      </c>
      <c r="F889" s="351">
        <v>1775.2008513931887</v>
      </c>
      <c r="G889" s="352">
        <v>1.7799854890829546E-2</v>
      </c>
      <c r="H889" s="326"/>
    </row>
    <row r="893" spans="1:24" ht="15.75" thickBot="1"/>
    <row r="894" spans="1:24" ht="15" customHeight="1">
      <c r="A894" s="775" t="s">
        <v>310</v>
      </c>
      <c r="B894" s="861" t="s">
        <v>335</v>
      </c>
      <c r="C894" s="862"/>
      <c r="D894" s="862"/>
      <c r="E894" s="862"/>
      <c r="F894" s="862"/>
      <c r="G894" s="862"/>
      <c r="H894" s="862"/>
      <c r="I894" s="862"/>
      <c r="J894" s="862"/>
      <c r="K894" s="862"/>
      <c r="L894" s="862"/>
      <c r="M894" s="862"/>
      <c r="N894" s="862"/>
      <c r="O894" s="862"/>
      <c r="P894" s="862"/>
      <c r="Q894" s="862"/>
      <c r="R894" s="862"/>
      <c r="S894" s="862"/>
      <c r="T894" s="862"/>
      <c r="U894" s="862"/>
      <c r="V894" s="862"/>
      <c r="W894" s="863"/>
      <c r="X894" s="326"/>
    </row>
    <row r="895" spans="1:24" ht="15.75" customHeight="1">
      <c r="A895" s="776"/>
      <c r="B895" s="864" t="s">
        <v>69</v>
      </c>
      <c r="C895" s="865"/>
      <c r="D895" s="866" t="s">
        <v>68</v>
      </c>
      <c r="E895" s="865"/>
      <c r="F895" s="866" t="s">
        <v>67</v>
      </c>
      <c r="G895" s="865"/>
      <c r="H895" s="866" t="s">
        <v>66</v>
      </c>
      <c r="I895" s="865"/>
      <c r="J895" s="866" t="s">
        <v>65</v>
      </c>
      <c r="K895" s="865"/>
      <c r="L895" s="866" t="s">
        <v>64</v>
      </c>
      <c r="M895" s="865"/>
      <c r="N895" s="866" t="s">
        <v>63</v>
      </c>
      <c r="O895" s="865"/>
      <c r="P895" s="866" t="s">
        <v>62</v>
      </c>
      <c r="Q895" s="865"/>
      <c r="R895" s="866" t="s">
        <v>61</v>
      </c>
      <c r="S895" s="865"/>
      <c r="T895" s="866" t="s">
        <v>60</v>
      </c>
      <c r="U895" s="865"/>
      <c r="V895" s="867" t="s">
        <v>9</v>
      </c>
      <c r="W895" s="868"/>
      <c r="X895" s="326"/>
    </row>
    <row r="896" spans="1:24" ht="15.75" customHeight="1" thickBot="1">
      <c r="A896" s="754"/>
      <c r="B896" s="318" t="s">
        <v>7</v>
      </c>
      <c r="C896" s="318" t="s">
        <v>8</v>
      </c>
      <c r="D896" s="323" t="s">
        <v>7</v>
      </c>
      <c r="E896" s="323" t="s">
        <v>8</v>
      </c>
      <c r="F896" s="318" t="s">
        <v>7</v>
      </c>
      <c r="G896" s="318" t="s">
        <v>8</v>
      </c>
      <c r="H896" s="323" t="s">
        <v>7</v>
      </c>
      <c r="I896" s="323" t="s">
        <v>8</v>
      </c>
      <c r="J896" s="318" t="s">
        <v>7</v>
      </c>
      <c r="K896" s="318" t="s">
        <v>8</v>
      </c>
      <c r="L896" s="323" t="s">
        <v>7</v>
      </c>
      <c r="M896" s="323" t="s">
        <v>8</v>
      </c>
      <c r="N896" s="318" t="s">
        <v>7</v>
      </c>
      <c r="O896" s="318" t="s">
        <v>8</v>
      </c>
      <c r="P896" s="323" t="s">
        <v>7</v>
      </c>
      <c r="Q896" s="323" t="s">
        <v>8</v>
      </c>
      <c r="R896" s="318" t="s">
        <v>7</v>
      </c>
      <c r="S896" s="318" t="s">
        <v>8</v>
      </c>
      <c r="T896" s="323" t="s">
        <v>7</v>
      </c>
      <c r="U896" s="323" t="s">
        <v>8</v>
      </c>
      <c r="V896" s="318" t="s">
        <v>7</v>
      </c>
      <c r="W896" s="318" t="s">
        <v>6</v>
      </c>
      <c r="X896" s="326"/>
    </row>
    <row r="897" spans="1:24" ht="15.75" customHeight="1">
      <c r="A897" s="406" t="s">
        <v>5</v>
      </c>
      <c r="B897" s="400">
        <v>0</v>
      </c>
      <c r="C897" s="399">
        <v>0</v>
      </c>
      <c r="D897" s="400">
        <v>35119.345610099961</v>
      </c>
      <c r="E897" s="399">
        <v>0.22493469811158989</v>
      </c>
      <c r="F897" s="400">
        <v>18008.306613000008</v>
      </c>
      <c r="G897" s="399">
        <v>0.11534078842093137</v>
      </c>
      <c r="H897" s="400">
        <v>17758.62312199999</v>
      </c>
      <c r="I897" s="399">
        <v>0.11374159915086179</v>
      </c>
      <c r="J897" s="400">
        <v>5566.9093445000026</v>
      </c>
      <c r="K897" s="399">
        <v>3.5655307667793776E-2</v>
      </c>
      <c r="L897" s="400">
        <v>0</v>
      </c>
      <c r="M897" s="399">
        <v>0</v>
      </c>
      <c r="N897" s="400">
        <v>0</v>
      </c>
      <c r="O897" s="399">
        <v>0</v>
      </c>
      <c r="P897" s="400">
        <v>0</v>
      </c>
      <c r="Q897" s="399">
        <v>0</v>
      </c>
      <c r="R897" s="400">
        <v>0</v>
      </c>
      <c r="S897" s="399">
        <v>0</v>
      </c>
      <c r="T897" s="400">
        <v>79678.109881399214</v>
      </c>
      <c r="U897" s="399">
        <v>0.5103276066488075</v>
      </c>
      <c r="V897" s="400">
        <v>156131.29457100161</v>
      </c>
      <c r="W897" s="399">
        <v>1</v>
      </c>
      <c r="X897" s="326"/>
    </row>
    <row r="898" spans="1:24" ht="30">
      <c r="A898" s="405" t="s">
        <v>309</v>
      </c>
      <c r="B898" s="398">
        <v>0</v>
      </c>
      <c r="C898" s="311">
        <v>0</v>
      </c>
      <c r="D898" s="398">
        <v>664.02045460000022</v>
      </c>
      <c r="E898" s="311">
        <v>0.26821642467452594</v>
      </c>
      <c r="F898" s="398">
        <v>282.85473000000002</v>
      </c>
      <c r="G898" s="311">
        <v>0.11425293280849237</v>
      </c>
      <c r="H898" s="398">
        <v>262.21657500000003</v>
      </c>
      <c r="I898" s="311">
        <v>0.10591660505287644</v>
      </c>
      <c r="J898" s="398">
        <v>52.237290000000002</v>
      </c>
      <c r="K898" s="311">
        <v>2.1100101753531678E-2</v>
      </c>
      <c r="L898" s="398">
        <v>0</v>
      </c>
      <c r="M898" s="311">
        <v>0</v>
      </c>
      <c r="N898" s="398">
        <v>0</v>
      </c>
      <c r="O898" s="311">
        <v>0</v>
      </c>
      <c r="P898" s="398">
        <v>0</v>
      </c>
      <c r="Q898" s="311">
        <v>0</v>
      </c>
      <c r="R898" s="398">
        <v>0</v>
      </c>
      <c r="S898" s="311">
        <v>0</v>
      </c>
      <c r="T898" s="398">
        <v>1214.3599594</v>
      </c>
      <c r="U898" s="311">
        <v>0.49051393571057383</v>
      </c>
      <c r="V898" s="398">
        <v>2475.6890089999997</v>
      </c>
      <c r="W898" s="311">
        <v>1.5856456041067193E-2</v>
      </c>
      <c r="X898" s="326"/>
    </row>
    <row r="899" spans="1:24">
      <c r="A899" s="405" t="s">
        <v>308</v>
      </c>
      <c r="B899" s="398">
        <v>0</v>
      </c>
      <c r="C899" s="311">
        <v>0</v>
      </c>
      <c r="D899" s="398">
        <v>680.3809819999999</v>
      </c>
      <c r="E899" s="311">
        <v>0.13577452441518273</v>
      </c>
      <c r="F899" s="398">
        <v>790.72512399999994</v>
      </c>
      <c r="G899" s="311">
        <v>0.15779442767293042</v>
      </c>
      <c r="H899" s="398">
        <v>647.87318399999992</v>
      </c>
      <c r="I899" s="311">
        <v>0.12928737834554899</v>
      </c>
      <c r="J899" s="398">
        <v>243.44479000000001</v>
      </c>
      <c r="K899" s="311">
        <v>4.8581017779835645E-2</v>
      </c>
      <c r="L899" s="398">
        <v>0</v>
      </c>
      <c r="M899" s="311">
        <v>0</v>
      </c>
      <c r="N899" s="398">
        <v>0</v>
      </c>
      <c r="O899" s="311">
        <v>0</v>
      </c>
      <c r="P899" s="398">
        <v>0</v>
      </c>
      <c r="Q899" s="311">
        <v>0</v>
      </c>
      <c r="R899" s="398">
        <v>0</v>
      </c>
      <c r="S899" s="311">
        <v>0</v>
      </c>
      <c r="T899" s="398">
        <v>2648.6852200000017</v>
      </c>
      <c r="U899" s="311">
        <v>0.52856265178650141</v>
      </c>
      <c r="V899" s="398">
        <v>5011.1093000000055</v>
      </c>
      <c r="W899" s="311">
        <v>3.209548293165003E-2</v>
      </c>
      <c r="X899" s="326"/>
    </row>
    <row r="900" spans="1:24">
      <c r="A900" s="405" t="s">
        <v>307</v>
      </c>
      <c r="B900" s="398">
        <v>0</v>
      </c>
      <c r="C900" s="311">
        <v>0</v>
      </c>
      <c r="D900" s="398">
        <v>3570.5387789999995</v>
      </c>
      <c r="E900" s="311">
        <v>0.27639961385025313</v>
      </c>
      <c r="F900" s="398">
        <v>1631.8385360000002</v>
      </c>
      <c r="G900" s="311">
        <v>0.12632254377662439</v>
      </c>
      <c r="H900" s="398">
        <v>1173.8333860000002</v>
      </c>
      <c r="I900" s="311">
        <v>9.086782547305175E-2</v>
      </c>
      <c r="J900" s="398">
        <v>672.295884</v>
      </c>
      <c r="K900" s="311">
        <v>5.2043216509402496E-2</v>
      </c>
      <c r="L900" s="398">
        <v>0</v>
      </c>
      <c r="M900" s="311">
        <v>0</v>
      </c>
      <c r="N900" s="398">
        <v>0</v>
      </c>
      <c r="O900" s="311">
        <v>0</v>
      </c>
      <c r="P900" s="398">
        <v>0</v>
      </c>
      <c r="Q900" s="311">
        <v>0</v>
      </c>
      <c r="R900" s="398">
        <v>0</v>
      </c>
      <c r="S900" s="311">
        <v>0</v>
      </c>
      <c r="T900" s="398">
        <v>5869.5244110000003</v>
      </c>
      <c r="U900" s="311">
        <v>0.45436680039066873</v>
      </c>
      <c r="V900" s="398">
        <v>12918.030995999994</v>
      </c>
      <c r="W900" s="311">
        <v>8.2738255847391612E-2</v>
      </c>
      <c r="X900" s="326"/>
    </row>
    <row r="901" spans="1:24">
      <c r="A901" s="405" t="s">
        <v>306</v>
      </c>
      <c r="B901" s="398">
        <v>0</v>
      </c>
      <c r="C901" s="311">
        <v>0</v>
      </c>
      <c r="D901" s="398">
        <v>6994.1003844999996</v>
      </c>
      <c r="E901" s="311">
        <v>0.47328331406231988</v>
      </c>
      <c r="F901" s="398">
        <v>1594.9138280000006</v>
      </c>
      <c r="G901" s="311">
        <v>0.1079261178224602</v>
      </c>
      <c r="H901" s="398">
        <v>957.69103199999995</v>
      </c>
      <c r="I901" s="311">
        <v>6.4805930792359689E-2</v>
      </c>
      <c r="J901" s="398">
        <v>367.7916985</v>
      </c>
      <c r="K901" s="311">
        <v>2.4888072000861568E-2</v>
      </c>
      <c r="L901" s="398">
        <v>0</v>
      </c>
      <c r="M901" s="311">
        <v>0</v>
      </c>
      <c r="N901" s="398">
        <v>0</v>
      </c>
      <c r="O901" s="311">
        <v>0</v>
      </c>
      <c r="P901" s="398">
        <v>0</v>
      </c>
      <c r="Q901" s="311">
        <v>0</v>
      </c>
      <c r="R901" s="398">
        <v>0</v>
      </c>
      <c r="S901" s="311">
        <v>0</v>
      </c>
      <c r="T901" s="398">
        <v>4863.3331149999985</v>
      </c>
      <c r="U901" s="311">
        <v>0.32909656532199932</v>
      </c>
      <c r="V901" s="398">
        <v>14777.830057999989</v>
      </c>
      <c r="W901" s="311">
        <v>9.4650019386598283E-2</v>
      </c>
      <c r="X901" s="326"/>
    </row>
    <row r="902" spans="1:24">
      <c r="A902" s="405" t="s">
        <v>305</v>
      </c>
      <c r="B902" s="398">
        <v>0</v>
      </c>
      <c r="C902" s="311">
        <v>0</v>
      </c>
      <c r="D902" s="398">
        <v>4753.0744349999995</v>
      </c>
      <c r="E902" s="311">
        <v>0.25343137331883248</v>
      </c>
      <c r="F902" s="398">
        <v>2913.8971929999998</v>
      </c>
      <c r="G902" s="311">
        <v>0.15536743163414843</v>
      </c>
      <c r="H902" s="398">
        <v>2513.7846990000003</v>
      </c>
      <c r="I902" s="311">
        <v>0.1340336485800139</v>
      </c>
      <c r="J902" s="398">
        <v>638.71558499999992</v>
      </c>
      <c r="K902" s="311">
        <v>3.4055971578044832E-2</v>
      </c>
      <c r="L902" s="398">
        <v>0</v>
      </c>
      <c r="M902" s="311">
        <v>0</v>
      </c>
      <c r="N902" s="398">
        <v>0</v>
      </c>
      <c r="O902" s="311">
        <v>0</v>
      </c>
      <c r="P902" s="398">
        <v>0</v>
      </c>
      <c r="Q902" s="311">
        <v>0</v>
      </c>
      <c r="R902" s="398">
        <v>0</v>
      </c>
      <c r="S902" s="311">
        <v>0</v>
      </c>
      <c r="T902" s="398">
        <v>7935.4058790000054</v>
      </c>
      <c r="U902" s="311">
        <v>0.42311157488896106</v>
      </c>
      <c r="V902" s="398">
        <v>18754.877790999992</v>
      </c>
      <c r="W902" s="311">
        <v>0.1201224766792099</v>
      </c>
      <c r="X902" s="326"/>
    </row>
    <row r="903" spans="1:24" ht="30">
      <c r="A903" s="405" t="s">
        <v>304</v>
      </c>
      <c r="B903" s="398">
        <v>0</v>
      </c>
      <c r="C903" s="311">
        <v>0</v>
      </c>
      <c r="D903" s="398">
        <v>9003.0173540000105</v>
      </c>
      <c r="E903" s="311">
        <v>0.15456553942277712</v>
      </c>
      <c r="F903" s="398">
        <v>5491.2735170000105</v>
      </c>
      <c r="G903" s="311">
        <v>9.427524349889374E-2</v>
      </c>
      <c r="H903" s="398">
        <v>8237.6516690000044</v>
      </c>
      <c r="I903" s="311">
        <v>0.14142559363502971</v>
      </c>
      <c r="J903" s="398">
        <v>2921.9776970000007</v>
      </c>
      <c r="K903" s="311">
        <v>5.0165077013593476E-2</v>
      </c>
      <c r="L903" s="398">
        <v>0</v>
      </c>
      <c r="M903" s="311">
        <v>0</v>
      </c>
      <c r="N903" s="398">
        <v>0</v>
      </c>
      <c r="O903" s="311">
        <v>0</v>
      </c>
      <c r="P903" s="398">
        <v>0</v>
      </c>
      <c r="Q903" s="311">
        <v>0</v>
      </c>
      <c r="R903" s="398">
        <v>0</v>
      </c>
      <c r="S903" s="311">
        <v>0</v>
      </c>
      <c r="T903" s="398">
        <v>32593.328067000075</v>
      </c>
      <c r="U903" s="311">
        <v>0.55956854642972864</v>
      </c>
      <c r="V903" s="398">
        <v>58247.248303998778</v>
      </c>
      <c r="W903" s="311">
        <v>0.37306581274460965</v>
      </c>
      <c r="X903" s="326"/>
    </row>
    <row r="904" spans="1:24" ht="30">
      <c r="A904" s="405" t="s">
        <v>303</v>
      </c>
      <c r="B904" s="398">
        <v>0</v>
      </c>
      <c r="C904" s="311">
        <v>0</v>
      </c>
      <c r="D904" s="398">
        <v>8896.7048910000085</v>
      </c>
      <c r="E904" s="311">
        <v>0.21416688357873054</v>
      </c>
      <c r="F904" s="398">
        <v>4959.1953409999969</v>
      </c>
      <c r="G904" s="311">
        <v>0.11938076223193095</v>
      </c>
      <c r="H904" s="398">
        <v>3238.3558989999979</v>
      </c>
      <c r="I904" s="311">
        <v>7.79556700266891E-2</v>
      </c>
      <c r="J904" s="398">
        <v>670.44640000000004</v>
      </c>
      <c r="K904" s="311">
        <v>1.6139392938596109E-2</v>
      </c>
      <c r="L904" s="398">
        <v>0</v>
      </c>
      <c r="M904" s="311">
        <v>0</v>
      </c>
      <c r="N904" s="398">
        <v>0</v>
      </c>
      <c r="O904" s="311">
        <v>0</v>
      </c>
      <c r="P904" s="398">
        <v>0</v>
      </c>
      <c r="Q904" s="311">
        <v>0</v>
      </c>
      <c r="R904" s="398">
        <v>0</v>
      </c>
      <c r="S904" s="311">
        <v>0</v>
      </c>
      <c r="T904" s="398">
        <v>23776.2899060001</v>
      </c>
      <c r="U904" s="311">
        <v>0.57235729122404411</v>
      </c>
      <c r="V904" s="398">
        <v>41540.992437000488</v>
      </c>
      <c r="W904" s="311">
        <v>0.26606448470911437</v>
      </c>
      <c r="X904" s="326"/>
    </row>
    <row r="905" spans="1:24" ht="15.75" thickBot="1">
      <c r="A905" s="407" t="s">
        <v>302</v>
      </c>
      <c r="B905" s="398">
        <v>0</v>
      </c>
      <c r="C905" s="311">
        <v>0</v>
      </c>
      <c r="D905" s="398">
        <v>557.50832999999989</v>
      </c>
      <c r="E905" s="311">
        <v>0.23176240495952388</v>
      </c>
      <c r="F905" s="398">
        <v>343.60834399999999</v>
      </c>
      <c r="G905" s="311">
        <v>0.14284180501769259</v>
      </c>
      <c r="H905" s="398">
        <v>727.21667799999989</v>
      </c>
      <c r="I905" s="311">
        <v>0.30231205015350304</v>
      </c>
      <c r="J905" s="398">
        <v>0</v>
      </c>
      <c r="K905" s="311">
        <v>0</v>
      </c>
      <c r="L905" s="398">
        <v>0</v>
      </c>
      <c r="M905" s="311">
        <v>0</v>
      </c>
      <c r="N905" s="398">
        <v>0</v>
      </c>
      <c r="O905" s="311">
        <v>0</v>
      </c>
      <c r="P905" s="398">
        <v>0</v>
      </c>
      <c r="Q905" s="311">
        <v>0</v>
      </c>
      <c r="R905" s="398">
        <v>0</v>
      </c>
      <c r="S905" s="311">
        <v>0</v>
      </c>
      <c r="T905" s="398">
        <v>777.18332399999986</v>
      </c>
      <c r="U905" s="311">
        <v>0.3230837398692803</v>
      </c>
      <c r="V905" s="398">
        <v>2405.5166760000002</v>
      </c>
      <c r="W905" s="311">
        <v>1.5407011660343837E-2</v>
      </c>
      <c r="X905" s="326"/>
    </row>
    <row r="906" spans="1:24" ht="15" customHeight="1">
      <c r="A906" s="406" t="s">
        <v>4</v>
      </c>
      <c r="B906" s="400">
        <v>1203.5884048352918</v>
      </c>
      <c r="C906" s="399">
        <v>8.4031606471990945E-3</v>
      </c>
      <c r="D906" s="400">
        <v>30046.625680972462</v>
      </c>
      <c r="E906" s="399">
        <v>0.20977821113025899</v>
      </c>
      <c r="F906" s="400">
        <v>15635.100398030952</v>
      </c>
      <c r="G906" s="399">
        <v>0.10916045705651362</v>
      </c>
      <c r="H906" s="400">
        <v>12881.626405338786</v>
      </c>
      <c r="I906" s="399">
        <v>8.9936373303693362E-2</v>
      </c>
      <c r="J906" s="400">
        <v>3858.3059866739472</v>
      </c>
      <c r="K906" s="399">
        <v>2.6937751229423032E-2</v>
      </c>
      <c r="L906" s="400">
        <v>1492.3469145561603</v>
      </c>
      <c r="M906" s="399">
        <v>1.041920212423735E-2</v>
      </c>
      <c r="N906" s="400">
        <v>504.53835139795837</v>
      </c>
      <c r="O906" s="399">
        <v>3.5225636957263869E-3</v>
      </c>
      <c r="P906" s="400">
        <v>0</v>
      </c>
      <c r="Q906" s="399">
        <v>0</v>
      </c>
      <c r="R906" s="400">
        <v>0</v>
      </c>
      <c r="S906" s="399">
        <v>0</v>
      </c>
      <c r="T906" s="400">
        <v>77608.308803824577</v>
      </c>
      <c r="U906" s="399">
        <v>0.54184228081294916</v>
      </c>
      <c r="V906" s="400">
        <v>143230.44094562999</v>
      </c>
      <c r="W906" s="399">
        <v>1</v>
      </c>
      <c r="X906" s="326"/>
    </row>
    <row r="907" spans="1:24" ht="30">
      <c r="A907" s="405" t="s">
        <v>309</v>
      </c>
      <c r="B907" s="398">
        <v>0</v>
      </c>
      <c r="C907" s="311">
        <v>0</v>
      </c>
      <c r="D907" s="398">
        <v>943.64733950260268</v>
      </c>
      <c r="E907" s="311">
        <v>0.26231951820541483</v>
      </c>
      <c r="F907" s="398">
        <v>519.22158762290337</v>
      </c>
      <c r="G907" s="311">
        <v>0.14433565486326996</v>
      </c>
      <c r="H907" s="398">
        <v>637.36538461538453</v>
      </c>
      <c r="I907" s="311">
        <v>0.17717782227971349</v>
      </c>
      <c r="J907" s="398">
        <v>159.35714285714286</v>
      </c>
      <c r="K907" s="311">
        <v>4.4298846811682113E-2</v>
      </c>
      <c r="L907" s="398">
        <v>79.678571428571431</v>
      </c>
      <c r="M907" s="311">
        <v>2.2149423405841057E-2</v>
      </c>
      <c r="N907" s="398">
        <v>0</v>
      </c>
      <c r="O907" s="311">
        <v>0</v>
      </c>
      <c r="P907" s="398">
        <v>0</v>
      </c>
      <c r="Q907" s="311">
        <v>0</v>
      </c>
      <c r="R907" s="398">
        <v>0</v>
      </c>
      <c r="S907" s="311">
        <v>0</v>
      </c>
      <c r="T907" s="398">
        <v>1258.0503181029496</v>
      </c>
      <c r="U907" s="311">
        <v>0.34971873443407764</v>
      </c>
      <c r="V907" s="398">
        <v>3597.3203441295577</v>
      </c>
      <c r="W907" s="311">
        <v>2.5115613136282206E-2</v>
      </c>
      <c r="X907" s="326"/>
    </row>
    <row r="908" spans="1:24">
      <c r="A908" s="405" t="s">
        <v>308</v>
      </c>
      <c r="B908" s="398">
        <v>31.529513438769335</v>
      </c>
      <c r="C908" s="311">
        <v>7.1766366786492454E-3</v>
      </c>
      <c r="D908" s="398">
        <v>859.94839396853854</v>
      </c>
      <c r="E908" s="311">
        <v>0.19573842133293046</v>
      </c>
      <c r="F908" s="398">
        <v>621.14339816177619</v>
      </c>
      <c r="G908" s="311">
        <v>0.14138247019274744</v>
      </c>
      <c r="H908" s="398">
        <v>398.43283696137308</v>
      </c>
      <c r="I908" s="311">
        <v>9.0689877510107042E-2</v>
      </c>
      <c r="J908" s="398">
        <v>237.39967232655479</v>
      </c>
      <c r="K908" s="311">
        <v>5.4036076364664815E-2</v>
      </c>
      <c r="L908" s="398">
        <v>0</v>
      </c>
      <c r="M908" s="311">
        <v>0</v>
      </c>
      <c r="N908" s="398">
        <v>20.320754716981131</v>
      </c>
      <c r="O908" s="311">
        <v>4.6253385394904364E-3</v>
      </c>
      <c r="P908" s="398">
        <v>0</v>
      </c>
      <c r="Q908" s="311">
        <v>0</v>
      </c>
      <c r="R908" s="398">
        <v>0</v>
      </c>
      <c r="S908" s="311">
        <v>0</v>
      </c>
      <c r="T908" s="398">
        <v>2224.5805423784836</v>
      </c>
      <c r="U908" s="311">
        <v>0.50635117938140961</v>
      </c>
      <c r="V908" s="398">
        <v>4393.3551119524809</v>
      </c>
      <c r="W908" s="311">
        <v>3.0673333705788078E-2</v>
      </c>
      <c r="X908" s="326"/>
    </row>
    <row r="909" spans="1:24">
      <c r="A909" s="405" t="s">
        <v>307</v>
      </c>
      <c r="B909" s="398">
        <v>59.612903225806448</v>
      </c>
      <c r="C909" s="311">
        <v>4.2818892381369256E-3</v>
      </c>
      <c r="D909" s="398">
        <v>2758.3470185728256</v>
      </c>
      <c r="E909" s="311">
        <v>0.1981271801028657</v>
      </c>
      <c r="F909" s="398">
        <v>1440.6053917785662</v>
      </c>
      <c r="G909" s="311">
        <v>0.10347613334806213</v>
      </c>
      <c r="H909" s="398">
        <v>1799.5661881977667</v>
      </c>
      <c r="I909" s="311">
        <v>0.12925965147799368</v>
      </c>
      <c r="J909" s="398">
        <v>387.5369141328394</v>
      </c>
      <c r="K909" s="311">
        <v>2.7836090044476281E-2</v>
      </c>
      <c r="L909" s="398">
        <v>240.91228070175438</v>
      </c>
      <c r="M909" s="311">
        <v>1.7304302361595126E-2</v>
      </c>
      <c r="N909" s="398">
        <v>361.36842105263156</v>
      </c>
      <c r="O909" s="311">
        <v>2.5956453542392687E-2</v>
      </c>
      <c r="P909" s="398">
        <v>0</v>
      </c>
      <c r="Q909" s="311">
        <v>0</v>
      </c>
      <c r="R909" s="398">
        <v>0</v>
      </c>
      <c r="S909" s="311">
        <v>0</v>
      </c>
      <c r="T909" s="398">
        <v>6874.1539332201464</v>
      </c>
      <c r="U909" s="311">
        <v>0.49375829988447562</v>
      </c>
      <c r="V909" s="398">
        <v>13922.103050882362</v>
      </c>
      <c r="W909" s="311">
        <v>9.7200727435916831E-2</v>
      </c>
      <c r="X909" s="326"/>
    </row>
    <row r="910" spans="1:24">
      <c r="A910" s="405" t="s">
        <v>306</v>
      </c>
      <c r="B910" s="398">
        <v>0</v>
      </c>
      <c r="C910" s="311">
        <v>0</v>
      </c>
      <c r="D910" s="398">
        <v>6451.4093660912331</v>
      </c>
      <c r="E910" s="311">
        <v>0.45369783572534872</v>
      </c>
      <c r="F910" s="398">
        <v>2512.8192112765278</v>
      </c>
      <c r="G910" s="311">
        <v>0.17671497389662252</v>
      </c>
      <c r="H910" s="398">
        <v>1292.0905507602151</v>
      </c>
      <c r="I910" s="311">
        <v>9.086676308625885E-2</v>
      </c>
      <c r="J910" s="398">
        <v>522.01096571111816</v>
      </c>
      <c r="K910" s="311">
        <v>3.6710621188115175E-2</v>
      </c>
      <c r="L910" s="398">
        <v>82.961128048780495</v>
      </c>
      <c r="M910" s="311">
        <v>5.8342731191262228E-3</v>
      </c>
      <c r="N910" s="398">
        <v>0</v>
      </c>
      <c r="O910" s="311">
        <v>0</v>
      </c>
      <c r="P910" s="398">
        <v>0</v>
      </c>
      <c r="Q910" s="311">
        <v>0</v>
      </c>
      <c r="R910" s="398">
        <v>0</v>
      </c>
      <c r="S910" s="311">
        <v>0</v>
      </c>
      <c r="T910" s="398">
        <v>3358.3255761007263</v>
      </c>
      <c r="U910" s="311">
        <v>0.23617553298452978</v>
      </c>
      <c r="V910" s="398">
        <v>14219.616797988583</v>
      </c>
      <c r="W910" s="311">
        <v>9.9277895844685174E-2</v>
      </c>
      <c r="X910" s="326"/>
    </row>
    <row r="911" spans="1:24">
      <c r="A911" s="405" t="s">
        <v>305</v>
      </c>
      <c r="B911" s="398">
        <v>57.42307692307692</v>
      </c>
      <c r="C911" s="311">
        <v>3.8102174043717139E-3</v>
      </c>
      <c r="D911" s="398">
        <v>3996.2005552933792</v>
      </c>
      <c r="E911" s="311">
        <v>0.26516156435740607</v>
      </c>
      <c r="F911" s="398">
        <v>2014.0670859292525</v>
      </c>
      <c r="G911" s="311">
        <v>0.13364023447680931</v>
      </c>
      <c r="H911" s="398">
        <v>2019.9480891162541</v>
      </c>
      <c r="I911" s="311">
        <v>0.13403045913732858</v>
      </c>
      <c r="J911" s="398">
        <v>395.21837284014936</v>
      </c>
      <c r="K911" s="311">
        <v>2.6224089746013503E-2</v>
      </c>
      <c r="L911" s="398">
        <v>179.87145538978362</v>
      </c>
      <c r="M911" s="311">
        <v>1.1935085798239398E-2</v>
      </c>
      <c r="N911" s="398">
        <v>0</v>
      </c>
      <c r="O911" s="311">
        <v>0</v>
      </c>
      <c r="P911" s="398">
        <v>0</v>
      </c>
      <c r="Q911" s="311">
        <v>0</v>
      </c>
      <c r="R911" s="398">
        <v>0</v>
      </c>
      <c r="S911" s="311">
        <v>0</v>
      </c>
      <c r="T911" s="398">
        <v>6408.0851341349271</v>
      </c>
      <c r="U911" s="311">
        <v>0.42519834907983273</v>
      </c>
      <c r="V911" s="398">
        <v>15070.813769626802</v>
      </c>
      <c r="W911" s="311">
        <v>0.10522074546532784</v>
      </c>
      <c r="X911" s="326"/>
    </row>
    <row r="912" spans="1:24" ht="30">
      <c r="A912" s="405" t="s">
        <v>304</v>
      </c>
      <c r="B912" s="398">
        <v>342.75290611417864</v>
      </c>
      <c r="C912" s="311">
        <v>6.8918808111893956E-3</v>
      </c>
      <c r="D912" s="398">
        <v>6468.1175160822277</v>
      </c>
      <c r="E912" s="311">
        <v>0.13005723423029231</v>
      </c>
      <c r="F912" s="398">
        <v>4077.078184568144</v>
      </c>
      <c r="G912" s="311">
        <v>8.1979573053083815E-2</v>
      </c>
      <c r="H912" s="398">
        <v>3606.6728496902729</v>
      </c>
      <c r="I912" s="311">
        <v>7.2520929689033259E-2</v>
      </c>
      <c r="J912" s="398">
        <v>1136.7267016854605</v>
      </c>
      <c r="K912" s="311">
        <v>2.2856655051388231E-2</v>
      </c>
      <c r="L912" s="398">
        <v>516.8849870002432</v>
      </c>
      <c r="M912" s="311">
        <v>1.0393229816444421E-2</v>
      </c>
      <c r="N912" s="398">
        <v>117.66862007279008</v>
      </c>
      <c r="O912" s="311">
        <v>2.3660137967981198E-3</v>
      </c>
      <c r="P912" s="398">
        <v>0</v>
      </c>
      <c r="Q912" s="311">
        <v>0</v>
      </c>
      <c r="R912" s="398">
        <v>0</v>
      </c>
      <c r="S912" s="311">
        <v>0</v>
      </c>
      <c r="T912" s="398">
        <v>33466.952807329493</v>
      </c>
      <c r="U912" s="311">
        <v>0.67293448355177621</v>
      </c>
      <c r="V912" s="398">
        <v>49732.854572542528</v>
      </c>
      <c r="W912" s="311">
        <v>0.34722265912328676</v>
      </c>
      <c r="X912" s="326"/>
    </row>
    <row r="913" spans="1:24" ht="30">
      <c r="A913" s="405" t="s">
        <v>303</v>
      </c>
      <c r="B913" s="398">
        <v>712.2700051334607</v>
      </c>
      <c r="C913" s="311">
        <v>1.7659913111739846E-2</v>
      </c>
      <c r="D913" s="398">
        <v>7941.7103525726861</v>
      </c>
      <c r="E913" s="311">
        <v>0.19690554673681551</v>
      </c>
      <c r="F913" s="398">
        <v>4181.6766498049137</v>
      </c>
      <c r="G913" s="311">
        <v>0.10367984860335228</v>
      </c>
      <c r="H913" s="398">
        <v>3047.9567559975317</v>
      </c>
      <c r="I913" s="311">
        <v>7.5570571681129767E-2</v>
      </c>
      <c r="J913" s="398">
        <v>953.8562171206803</v>
      </c>
      <c r="K913" s="311">
        <v>2.3649764547206728E-2</v>
      </c>
      <c r="L913" s="398">
        <v>324.44474198702721</v>
      </c>
      <c r="M913" s="311">
        <v>8.0442331022744177E-3</v>
      </c>
      <c r="N913" s="398">
        <v>5.1805555555555554</v>
      </c>
      <c r="O913" s="311">
        <v>1.2844589877754263E-4</v>
      </c>
      <c r="P913" s="398">
        <v>0</v>
      </c>
      <c r="Q913" s="311">
        <v>0</v>
      </c>
      <c r="R913" s="398">
        <v>0</v>
      </c>
      <c r="S913" s="311">
        <v>0</v>
      </c>
      <c r="T913" s="398">
        <v>23165.493032240782</v>
      </c>
      <c r="U913" s="311">
        <v>0.57436167631870494</v>
      </c>
      <c r="V913" s="398">
        <v>40332.588310412597</v>
      </c>
      <c r="W913" s="311">
        <v>0.28159229311960837</v>
      </c>
      <c r="X913" s="326"/>
    </row>
    <row r="914" spans="1:24" ht="15.75" thickBot="1">
      <c r="A914" s="407" t="s">
        <v>302</v>
      </c>
      <c r="B914" s="398">
        <v>0</v>
      </c>
      <c r="C914" s="311">
        <v>0</v>
      </c>
      <c r="D914" s="398">
        <v>627.24513888888885</v>
      </c>
      <c r="E914" s="311">
        <v>0.31973119570718994</v>
      </c>
      <c r="F914" s="398">
        <v>268.48888888888894</v>
      </c>
      <c r="G914" s="311">
        <v>0.1368592088742292</v>
      </c>
      <c r="H914" s="398">
        <v>79.59375</v>
      </c>
      <c r="I914" s="311">
        <v>4.057202404692873E-2</v>
      </c>
      <c r="J914" s="398">
        <v>66.2</v>
      </c>
      <c r="K914" s="311">
        <v>3.3744709753048226E-2</v>
      </c>
      <c r="L914" s="398">
        <v>67.59375</v>
      </c>
      <c r="M914" s="311">
        <v>3.4455158230666215E-2</v>
      </c>
      <c r="N914" s="398">
        <v>0</v>
      </c>
      <c r="O914" s="311">
        <v>0</v>
      </c>
      <c r="P914" s="398">
        <v>0</v>
      </c>
      <c r="Q914" s="311">
        <v>0</v>
      </c>
      <c r="R914" s="398">
        <v>0</v>
      </c>
      <c r="S914" s="311">
        <v>0</v>
      </c>
      <c r="T914" s="398">
        <v>852.66746031746015</v>
      </c>
      <c r="U914" s="311">
        <v>0.43463770338793745</v>
      </c>
      <c r="V914" s="398">
        <v>1961.7889880952384</v>
      </c>
      <c r="W914" s="311">
        <v>1.3696732169105936E-2</v>
      </c>
      <c r="X914" s="326"/>
    </row>
    <row r="915" spans="1:24" ht="15.75" customHeight="1">
      <c r="A915" s="406" t="s">
        <v>3</v>
      </c>
      <c r="B915" s="400">
        <v>2398.976351545753</v>
      </c>
      <c r="C915" s="399">
        <v>2.4054422298487376E-2</v>
      </c>
      <c r="D915" s="400">
        <v>20647.47299331244</v>
      </c>
      <c r="E915" s="399">
        <v>0.20703123415857416</v>
      </c>
      <c r="F915" s="400">
        <v>11994.957705606734</v>
      </c>
      <c r="G915" s="399">
        <v>0.12027287301821357</v>
      </c>
      <c r="H915" s="400">
        <v>9922.5476763913375</v>
      </c>
      <c r="I915" s="399">
        <v>9.949291577259628E-2</v>
      </c>
      <c r="J915" s="400">
        <v>3391.8287270643873</v>
      </c>
      <c r="K915" s="399">
        <v>3.4009706061661281E-2</v>
      </c>
      <c r="L915" s="400">
        <v>665.77628131184088</v>
      </c>
      <c r="M915" s="399">
        <v>6.675707251833707E-3</v>
      </c>
      <c r="N915" s="400">
        <v>314.20005244202162</v>
      </c>
      <c r="O915" s="399">
        <v>3.1504690501752636E-3</v>
      </c>
      <c r="P915" s="400">
        <v>139.76515332761861</v>
      </c>
      <c r="Q915" s="399">
        <v>1.4014185752973885E-3</v>
      </c>
      <c r="R915" s="400">
        <v>164.48776395225187</v>
      </c>
      <c r="S915" s="399">
        <v>1.6493110215496489E-3</v>
      </c>
      <c r="T915" s="400">
        <v>50091.185233506738</v>
      </c>
      <c r="U915" s="399">
        <v>0.50226194279162162</v>
      </c>
      <c r="V915" s="400">
        <v>99731.1979384601</v>
      </c>
      <c r="W915" s="399">
        <v>1</v>
      </c>
      <c r="X915" s="326"/>
    </row>
    <row r="916" spans="1:24" ht="30">
      <c r="A916" s="405" t="s">
        <v>309</v>
      </c>
      <c r="B916" s="398">
        <v>54.555555555555557</v>
      </c>
      <c r="C916" s="311">
        <v>4.1808171902314825E-2</v>
      </c>
      <c r="D916" s="398">
        <v>281.75163398692808</v>
      </c>
      <c r="E916" s="311">
        <v>0.21591789557505539</v>
      </c>
      <c r="F916" s="398">
        <v>192.01830065359482</v>
      </c>
      <c r="G916" s="311">
        <v>0.14715154195324393</v>
      </c>
      <c r="H916" s="398">
        <v>243.95151515151517</v>
      </c>
      <c r="I916" s="311">
        <v>0.18695010576692941</v>
      </c>
      <c r="J916" s="398">
        <v>23.411764705882351</v>
      </c>
      <c r="K916" s="311">
        <v>1.7941400713321155E-2</v>
      </c>
      <c r="L916" s="398">
        <v>0</v>
      </c>
      <c r="M916" s="311">
        <v>0</v>
      </c>
      <c r="N916" s="398">
        <v>29.614973262032088</v>
      </c>
      <c r="O916" s="311">
        <v>2.2695175228499901E-2</v>
      </c>
      <c r="P916" s="398">
        <v>11.705882352941176</v>
      </c>
      <c r="Q916" s="311">
        <v>8.9707003566605777E-3</v>
      </c>
      <c r="R916" s="398">
        <v>0</v>
      </c>
      <c r="S916" s="311">
        <v>0</v>
      </c>
      <c r="T916" s="398">
        <v>467.89209744503859</v>
      </c>
      <c r="U916" s="311">
        <v>0.3585650085039741</v>
      </c>
      <c r="V916" s="398">
        <v>1304.9017231134887</v>
      </c>
      <c r="W916" s="311">
        <v>1.3084187797670779E-2</v>
      </c>
      <c r="X916" s="326"/>
    </row>
    <row r="917" spans="1:24">
      <c r="A917" s="405" t="s">
        <v>308</v>
      </c>
      <c r="B917" s="398">
        <v>58.198017914999042</v>
      </c>
      <c r="C917" s="311">
        <v>1.3744796032398178E-2</v>
      </c>
      <c r="D917" s="398">
        <v>637.67420480876251</v>
      </c>
      <c r="E917" s="311">
        <v>0.15060138118482669</v>
      </c>
      <c r="F917" s="398">
        <v>732.91030463522975</v>
      </c>
      <c r="G917" s="311">
        <v>0.17309356930277531</v>
      </c>
      <c r="H917" s="398">
        <v>647.73921940356877</v>
      </c>
      <c r="I917" s="311">
        <v>0.15297846510666704</v>
      </c>
      <c r="J917" s="398">
        <v>83.333333333333329</v>
      </c>
      <c r="K917" s="311">
        <v>1.9681076957628097E-2</v>
      </c>
      <c r="L917" s="398">
        <v>36.666666666666664</v>
      </c>
      <c r="M917" s="311">
        <v>8.6596738613563609E-3</v>
      </c>
      <c r="N917" s="398">
        <v>44.237373737373737</v>
      </c>
      <c r="O917" s="311">
        <v>1.0447669883143303E-2</v>
      </c>
      <c r="P917" s="398">
        <v>7.5707070707070709</v>
      </c>
      <c r="Q917" s="311">
        <v>1.7879960217869406E-3</v>
      </c>
      <c r="R917" s="398">
        <v>10.764150943396226</v>
      </c>
      <c r="S917" s="311">
        <v>2.5422009972060743E-3</v>
      </c>
      <c r="T917" s="398">
        <v>1975.0916563851047</v>
      </c>
      <c r="U917" s="311">
        <v>0.46646317065221277</v>
      </c>
      <c r="V917" s="398">
        <v>4234.1856348991387</v>
      </c>
      <c r="W917" s="311">
        <v>4.2455978895509457E-2</v>
      </c>
      <c r="X917" s="326"/>
    </row>
    <row r="918" spans="1:24">
      <c r="A918" s="405" t="s">
        <v>307</v>
      </c>
      <c r="B918" s="398">
        <v>263.79108796296293</v>
      </c>
      <c r="C918" s="311">
        <v>2.1452014863945788E-2</v>
      </c>
      <c r="D918" s="398">
        <v>2661.1119791666674</v>
      </c>
      <c r="E918" s="311">
        <v>0.21640690810495702</v>
      </c>
      <c r="F918" s="398">
        <v>1582.7465277777778</v>
      </c>
      <c r="G918" s="311">
        <v>0.12871208918367474</v>
      </c>
      <c r="H918" s="398">
        <v>1078.3654513888889</v>
      </c>
      <c r="I918" s="311">
        <v>8.7694818921282197E-2</v>
      </c>
      <c r="J918" s="398">
        <v>478.3203125</v>
      </c>
      <c r="K918" s="311">
        <v>3.8897957215741352E-2</v>
      </c>
      <c r="L918" s="398">
        <v>0</v>
      </c>
      <c r="M918" s="311">
        <v>0</v>
      </c>
      <c r="N918" s="398">
        <v>0</v>
      </c>
      <c r="O918" s="311">
        <v>0</v>
      </c>
      <c r="P918" s="398">
        <v>0</v>
      </c>
      <c r="Q918" s="311">
        <v>0</v>
      </c>
      <c r="R918" s="398">
        <v>0</v>
      </c>
      <c r="S918" s="311">
        <v>0</v>
      </c>
      <c r="T918" s="398">
        <v>6232.4623842592564</v>
      </c>
      <c r="U918" s="311">
        <v>0.50683621171039828</v>
      </c>
      <c r="V918" s="398">
        <v>12296.79774305556</v>
      </c>
      <c r="W918" s="311">
        <v>0.12329940878323142</v>
      </c>
      <c r="X918" s="326"/>
    </row>
    <row r="919" spans="1:24">
      <c r="A919" s="405" t="s">
        <v>306</v>
      </c>
      <c r="B919" s="398">
        <v>81.580436893203881</v>
      </c>
      <c r="C919" s="311">
        <v>8.3923900442638612E-3</v>
      </c>
      <c r="D919" s="398">
        <v>4662.2210463861838</v>
      </c>
      <c r="E919" s="311">
        <v>0.47961470891691638</v>
      </c>
      <c r="F919" s="398">
        <v>1622.2785239122622</v>
      </c>
      <c r="G919" s="311">
        <v>0.16688797770141059</v>
      </c>
      <c r="H919" s="398">
        <v>690.28760697590815</v>
      </c>
      <c r="I919" s="311">
        <v>7.1011667270758874E-2</v>
      </c>
      <c r="J919" s="398">
        <v>432.47556993887099</v>
      </c>
      <c r="K919" s="311">
        <v>4.4489877791334537E-2</v>
      </c>
      <c r="L919" s="398">
        <v>149.53814814814814</v>
      </c>
      <c r="M919" s="311">
        <v>1.5383375151558179E-2</v>
      </c>
      <c r="N919" s="398">
        <v>0</v>
      </c>
      <c r="O919" s="311">
        <v>0</v>
      </c>
      <c r="P919" s="398">
        <v>36.094999999999999</v>
      </c>
      <c r="Q919" s="311">
        <v>3.7131857855120078E-3</v>
      </c>
      <c r="R919" s="398">
        <v>8.9333333333333336</v>
      </c>
      <c r="S919" s="311">
        <v>9.189950505769204E-4</v>
      </c>
      <c r="T919" s="398">
        <v>2037.3536048184108</v>
      </c>
      <c r="U919" s="311">
        <v>0.20958782228766787</v>
      </c>
      <c r="V919" s="398">
        <v>9720.763270406329</v>
      </c>
      <c r="W919" s="311">
        <v>9.7469633087176988E-2</v>
      </c>
      <c r="X919" s="326"/>
    </row>
    <row r="920" spans="1:24">
      <c r="A920" s="405" t="s">
        <v>305</v>
      </c>
      <c r="B920" s="398">
        <v>337.39120705777924</v>
      </c>
      <c r="C920" s="311">
        <v>2.2923514069317717E-2</v>
      </c>
      <c r="D920" s="398">
        <v>2914.9704329394253</v>
      </c>
      <c r="E920" s="311">
        <v>0.19805307409712283</v>
      </c>
      <c r="F920" s="398">
        <v>2324.6348144535305</v>
      </c>
      <c r="G920" s="311">
        <v>0.15794365045804357</v>
      </c>
      <c r="H920" s="398">
        <v>2103.682247187332</v>
      </c>
      <c r="I920" s="311">
        <v>0.14293137634293548</v>
      </c>
      <c r="J920" s="398">
        <v>794.83693697695526</v>
      </c>
      <c r="K920" s="311">
        <v>5.4003943571903246E-2</v>
      </c>
      <c r="L920" s="398">
        <v>123.71407624633432</v>
      </c>
      <c r="M920" s="311">
        <v>8.4055580230928267E-3</v>
      </c>
      <c r="N920" s="398">
        <v>91.908536585365852</v>
      </c>
      <c r="O920" s="311">
        <v>6.244580734269786E-3</v>
      </c>
      <c r="P920" s="398">
        <v>56.266129032258064</v>
      </c>
      <c r="Q920" s="311">
        <v>3.8229135007544191E-3</v>
      </c>
      <c r="R920" s="398">
        <v>11.181818181818182</v>
      </c>
      <c r="S920" s="311">
        <v>7.5973102158398897E-4</v>
      </c>
      <c r="T920" s="398">
        <v>5959.5414861938907</v>
      </c>
      <c r="U920" s="311">
        <v>0.40491165818098152</v>
      </c>
      <c r="V920" s="398">
        <v>14718.127684854609</v>
      </c>
      <c r="W920" s="311">
        <v>0.14757796947286789</v>
      </c>
      <c r="X920" s="326"/>
    </row>
    <row r="921" spans="1:24" ht="30">
      <c r="A921" s="405" t="s">
        <v>304</v>
      </c>
      <c r="B921" s="398">
        <v>808.50253914903897</v>
      </c>
      <c r="C921" s="311">
        <v>2.8061067539225638E-2</v>
      </c>
      <c r="D921" s="398">
        <v>3457.6704821183043</v>
      </c>
      <c r="E921" s="311">
        <v>0.12000695140578017</v>
      </c>
      <c r="F921" s="398">
        <v>2510.6768620901157</v>
      </c>
      <c r="G921" s="311">
        <v>8.7139210558860952E-2</v>
      </c>
      <c r="H921" s="398">
        <v>2506.8932352007214</v>
      </c>
      <c r="I921" s="311">
        <v>8.7007890489293485E-2</v>
      </c>
      <c r="J921" s="398">
        <v>746.79625707092157</v>
      </c>
      <c r="K921" s="311">
        <v>2.5919399374755753E-2</v>
      </c>
      <c r="L921" s="398">
        <v>173.24633122324585</v>
      </c>
      <c r="M921" s="311">
        <v>6.012939682904811E-3</v>
      </c>
      <c r="N921" s="398">
        <v>43.459449833385548</v>
      </c>
      <c r="O921" s="311">
        <v>1.5083670093056006E-3</v>
      </c>
      <c r="P921" s="398">
        <v>23.525193975353719</v>
      </c>
      <c r="Q921" s="311">
        <v>8.164996707500687E-4</v>
      </c>
      <c r="R921" s="398">
        <v>124.06361099536525</v>
      </c>
      <c r="S921" s="311">
        <v>4.3059325094579682E-3</v>
      </c>
      <c r="T921" s="398">
        <v>18417.417675557881</v>
      </c>
      <c r="U921" s="311">
        <v>0.63922174175966162</v>
      </c>
      <c r="V921" s="398">
        <v>28812.251637214446</v>
      </c>
      <c r="W921" s="311">
        <v>0.28889908306318818</v>
      </c>
      <c r="X921" s="326"/>
    </row>
    <row r="922" spans="1:24" ht="30">
      <c r="A922" s="405" t="s">
        <v>303</v>
      </c>
      <c r="B922" s="398">
        <v>794.95750701221152</v>
      </c>
      <c r="C922" s="311">
        <v>2.9586453256513785E-2</v>
      </c>
      <c r="D922" s="398">
        <v>5499.4793671569141</v>
      </c>
      <c r="E922" s="311">
        <v>0.2046777189929104</v>
      </c>
      <c r="F922" s="398">
        <v>2772.2676429821004</v>
      </c>
      <c r="G922" s="311">
        <v>0.10317729728964696</v>
      </c>
      <c r="H922" s="398">
        <v>2145.7165396283162</v>
      </c>
      <c r="I922" s="311">
        <v>7.9858535256861846E-2</v>
      </c>
      <c r="J922" s="398">
        <v>794.44402622263476</v>
      </c>
      <c r="K922" s="311">
        <v>2.9567342706270629E-2</v>
      </c>
      <c r="L922" s="398">
        <v>182.61105902744606</v>
      </c>
      <c r="M922" s="311">
        <v>6.7963551691512213E-3</v>
      </c>
      <c r="N922" s="398">
        <v>104.97971902386443</v>
      </c>
      <c r="O922" s="311">
        <v>3.9070988353265583E-3</v>
      </c>
      <c r="P922" s="398">
        <v>4.6022408963585431</v>
      </c>
      <c r="Q922" s="311">
        <v>1.7128460823911243E-4</v>
      </c>
      <c r="R922" s="398">
        <v>9.5448504983388709</v>
      </c>
      <c r="S922" s="311">
        <v>3.5523694111763043E-4</v>
      </c>
      <c r="T922" s="398">
        <v>14560.366441076074</v>
      </c>
      <c r="U922" s="311">
        <v>0.54190267694395367</v>
      </c>
      <c r="V922" s="398">
        <v>26868.96939352448</v>
      </c>
      <c r="W922" s="311">
        <v>0.26941388400953714</v>
      </c>
      <c r="X922" s="326"/>
    </row>
    <row r="923" spans="1:24" ht="15.75" thickBot="1">
      <c r="A923" s="404" t="s">
        <v>302</v>
      </c>
      <c r="B923" s="351">
        <v>0</v>
      </c>
      <c r="C923" s="352">
        <v>0</v>
      </c>
      <c r="D923" s="351">
        <v>532.59384674922603</v>
      </c>
      <c r="E923" s="352">
        <v>0.30001892255247797</v>
      </c>
      <c r="F923" s="351">
        <v>257.42472910216719</v>
      </c>
      <c r="G923" s="352">
        <v>0.14501160750353329</v>
      </c>
      <c r="H923" s="351">
        <v>505.91186145510835</v>
      </c>
      <c r="I923" s="352">
        <v>0.28498851893748561</v>
      </c>
      <c r="J923" s="351">
        <v>38.210526315789473</v>
      </c>
      <c r="K923" s="352">
        <v>2.1524621445399607E-2</v>
      </c>
      <c r="L923" s="351">
        <v>0</v>
      </c>
      <c r="M923" s="352">
        <v>0</v>
      </c>
      <c r="N923" s="351">
        <v>0</v>
      </c>
      <c r="O923" s="352">
        <v>0</v>
      </c>
      <c r="P923" s="351">
        <v>0</v>
      </c>
      <c r="Q923" s="352">
        <v>0</v>
      </c>
      <c r="R923" s="351">
        <v>0</v>
      </c>
      <c r="S923" s="352">
        <v>0</v>
      </c>
      <c r="T923" s="351">
        <v>441.05988777089783</v>
      </c>
      <c r="U923" s="352">
        <v>0.24845632956110361</v>
      </c>
      <c r="V923" s="351">
        <v>1775.2008513931887</v>
      </c>
      <c r="W923" s="352">
        <v>1.7799854890829546E-2</v>
      </c>
      <c r="X923" s="326"/>
    </row>
    <row r="927" spans="1:24" ht="15.75" thickBot="1"/>
    <row r="928" spans="1:24" ht="15" customHeight="1">
      <c r="A928" s="775" t="s">
        <v>310</v>
      </c>
      <c r="B928" s="755" t="s">
        <v>336</v>
      </c>
      <c r="C928" s="756"/>
      <c r="D928" s="756"/>
      <c r="E928" s="756"/>
      <c r="F928" s="756"/>
      <c r="G928" s="756"/>
      <c r="H928" s="756"/>
      <c r="I928" s="756"/>
      <c r="J928" s="756"/>
      <c r="K928" s="756"/>
      <c r="L928" s="756"/>
      <c r="M928" s="756"/>
      <c r="N928" s="756"/>
      <c r="O928" s="756"/>
      <c r="P928" s="756"/>
      <c r="Q928" s="756"/>
      <c r="R928" s="756"/>
      <c r="S928" s="756"/>
      <c r="T928" s="756"/>
      <c r="U928" s="757"/>
      <c r="V928" s="307"/>
    </row>
    <row r="929" spans="1:22" ht="44.25" customHeight="1">
      <c r="A929" s="776"/>
      <c r="B929" s="758" t="s">
        <v>53</v>
      </c>
      <c r="C929" s="759"/>
      <c r="D929" s="760" t="s">
        <v>52</v>
      </c>
      <c r="E929" s="759"/>
      <c r="F929" s="760" t="s">
        <v>51</v>
      </c>
      <c r="G929" s="759"/>
      <c r="H929" s="760" t="s">
        <v>50</v>
      </c>
      <c r="I929" s="759"/>
      <c r="J929" s="760" t="s">
        <v>49</v>
      </c>
      <c r="K929" s="759"/>
      <c r="L929" s="760" t="s">
        <v>151</v>
      </c>
      <c r="M929" s="759"/>
      <c r="N929" s="760" t="s">
        <v>47</v>
      </c>
      <c r="O929" s="759"/>
      <c r="P929" s="760" t="s">
        <v>46</v>
      </c>
      <c r="Q929" s="759"/>
      <c r="R929" s="760" t="s">
        <v>45</v>
      </c>
      <c r="S929" s="759"/>
      <c r="T929" s="761" t="s">
        <v>9</v>
      </c>
      <c r="U929" s="762"/>
      <c r="V929" s="307"/>
    </row>
    <row r="930" spans="1:22" ht="15.75" customHeight="1" thickBot="1">
      <c r="A930" s="754"/>
      <c r="B930" s="318" t="s">
        <v>7</v>
      </c>
      <c r="C930" s="318" t="s">
        <v>8</v>
      </c>
      <c r="D930" s="318" t="s">
        <v>7</v>
      </c>
      <c r="E930" s="318" t="s">
        <v>8</v>
      </c>
      <c r="F930" s="318" t="s">
        <v>7</v>
      </c>
      <c r="G930" s="318" t="s">
        <v>8</v>
      </c>
      <c r="H930" s="318" t="s">
        <v>7</v>
      </c>
      <c r="I930" s="318" t="s">
        <v>8</v>
      </c>
      <c r="J930" s="318" t="s">
        <v>7</v>
      </c>
      <c r="K930" s="318" t="s">
        <v>8</v>
      </c>
      <c r="L930" s="318" t="s">
        <v>7</v>
      </c>
      <c r="M930" s="318" t="s">
        <v>8</v>
      </c>
      <c r="N930" s="318" t="s">
        <v>7</v>
      </c>
      <c r="O930" s="318" t="s">
        <v>8</v>
      </c>
      <c r="P930" s="318" t="s">
        <v>7</v>
      </c>
      <c r="Q930" s="318" t="s">
        <v>8</v>
      </c>
      <c r="R930" s="318" t="s">
        <v>7</v>
      </c>
      <c r="S930" s="318" t="s">
        <v>8</v>
      </c>
      <c r="T930" s="318" t="s">
        <v>7</v>
      </c>
      <c r="U930" s="317" t="s">
        <v>8</v>
      </c>
      <c r="V930" s="307"/>
    </row>
    <row r="931" spans="1:22" s="240" customFormat="1" ht="15.75" customHeight="1">
      <c r="A931" s="316" t="s">
        <v>5</v>
      </c>
      <c r="B931" s="400">
        <v>18111.765331299994</v>
      </c>
      <c r="C931" s="399">
        <v>0.1160034276348331</v>
      </c>
      <c r="D931" s="400">
        <v>8323.0769495000131</v>
      </c>
      <c r="E931" s="399">
        <v>5.3308191495940266E-2</v>
      </c>
      <c r="F931" s="400">
        <v>6246.5447950000071</v>
      </c>
      <c r="G931" s="399">
        <v>4.000828156945406E-2</v>
      </c>
      <c r="H931" s="400">
        <v>7866.7933190000085</v>
      </c>
      <c r="I931" s="399">
        <v>5.0385756043433941E-2</v>
      </c>
      <c r="J931" s="400">
        <v>12364.337799500001</v>
      </c>
      <c r="K931" s="399">
        <v>7.9191925190098558E-2</v>
      </c>
      <c r="L931" s="400">
        <v>67667.800313299536</v>
      </c>
      <c r="M931" s="399">
        <v>0.43340318479539164</v>
      </c>
      <c r="N931" s="400">
        <v>2779.0898129999991</v>
      </c>
      <c r="O931" s="399">
        <v>1.7799697495854631E-2</v>
      </c>
      <c r="P931" s="400">
        <v>12115.784140299991</v>
      </c>
      <c r="Q931" s="399">
        <v>7.7599972341164877E-2</v>
      </c>
      <c r="R931" s="400">
        <v>20656.102110100044</v>
      </c>
      <c r="S931" s="399">
        <v>0.13229956343381605</v>
      </c>
      <c r="T931" s="400">
        <v>156131.29457100161</v>
      </c>
      <c r="U931" s="399">
        <v>1</v>
      </c>
      <c r="V931" s="403"/>
    </row>
    <row r="932" spans="1:22" s="240" customFormat="1" ht="17.25" customHeight="1">
      <c r="A932" s="313" t="s">
        <v>309</v>
      </c>
      <c r="B932" s="398">
        <v>502.96532880000007</v>
      </c>
      <c r="C932" s="311">
        <v>0.20316175697817632</v>
      </c>
      <c r="D932" s="398">
        <v>11.090909</v>
      </c>
      <c r="E932" s="311">
        <v>4.4799281976373641E-3</v>
      </c>
      <c r="F932" s="398">
        <v>9.6666670000000003</v>
      </c>
      <c r="G932" s="311">
        <v>3.9046370383591265E-3</v>
      </c>
      <c r="H932" s="398">
        <v>151.681478</v>
      </c>
      <c r="I932" s="311">
        <v>6.1268389304385371E-2</v>
      </c>
      <c r="J932" s="398">
        <v>52.237290000000002</v>
      </c>
      <c r="K932" s="311">
        <v>2.1100101753531678E-2</v>
      </c>
      <c r="L932" s="398">
        <v>1284.7855567999998</v>
      </c>
      <c r="M932" s="311">
        <v>0.51896080328722738</v>
      </c>
      <c r="N932" s="398">
        <v>104.47458</v>
      </c>
      <c r="O932" s="311">
        <v>4.2200203507063355E-2</v>
      </c>
      <c r="P932" s="398">
        <v>220.11059879999999</v>
      </c>
      <c r="Q932" s="311">
        <v>8.8908824169683917E-2</v>
      </c>
      <c r="R932" s="398">
        <v>138.6766006</v>
      </c>
      <c r="S932" s="311">
        <v>5.6015355763935543E-2</v>
      </c>
      <c r="T932" s="398">
        <v>2475.6890089999997</v>
      </c>
      <c r="U932" s="311">
        <v>1.5856456041067193E-2</v>
      </c>
      <c r="V932" s="403"/>
    </row>
    <row r="933" spans="1:22" s="240" customFormat="1">
      <c r="A933" s="313" t="s">
        <v>308</v>
      </c>
      <c r="B933" s="398">
        <v>371.35305599999992</v>
      </c>
      <c r="C933" s="311">
        <v>7.4105958135856173E-2</v>
      </c>
      <c r="D933" s="398">
        <v>197.16337000000001</v>
      </c>
      <c r="E933" s="311">
        <v>3.9345254353162842E-2</v>
      </c>
      <c r="F933" s="398">
        <v>111.02456200000002</v>
      </c>
      <c r="G933" s="311">
        <v>2.2155685568462834E-2</v>
      </c>
      <c r="H933" s="398">
        <v>417.15707299999997</v>
      </c>
      <c r="I933" s="311">
        <v>8.324645263674442E-2</v>
      </c>
      <c r="J933" s="398">
        <v>481.90615799999995</v>
      </c>
      <c r="K933" s="311">
        <v>9.6167560743486369E-2</v>
      </c>
      <c r="L933" s="398">
        <v>2235.8701680000013</v>
      </c>
      <c r="M933" s="311">
        <v>0.44618267815471491</v>
      </c>
      <c r="N933" s="398">
        <v>0</v>
      </c>
      <c r="O933" s="311">
        <v>0</v>
      </c>
      <c r="P933" s="398">
        <v>501.43741599999987</v>
      </c>
      <c r="Q933" s="311">
        <v>0.10006515244039864</v>
      </c>
      <c r="R933" s="398">
        <v>695.19749699999988</v>
      </c>
      <c r="S933" s="311">
        <v>0.13873125796717287</v>
      </c>
      <c r="T933" s="398">
        <v>5011.1093000000055</v>
      </c>
      <c r="U933" s="311">
        <v>3.209548293165003E-2</v>
      </c>
      <c r="V933" s="403"/>
    </row>
    <row r="934" spans="1:22" s="240" customFormat="1">
      <c r="A934" s="313" t="s">
        <v>307</v>
      </c>
      <c r="B934" s="398">
        <v>520.0574979999999</v>
      </c>
      <c r="C934" s="311">
        <v>4.0258263675093608E-2</v>
      </c>
      <c r="D934" s="398">
        <v>455.43510099999992</v>
      </c>
      <c r="E934" s="311">
        <v>3.5255767782336425E-2</v>
      </c>
      <c r="F934" s="398">
        <v>483.46882399999998</v>
      </c>
      <c r="G934" s="311">
        <v>3.742589131034782E-2</v>
      </c>
      <c r="H934" s="398">
        <v>241.73441199999996</v>
      </c>
      <c r="I934" s="311">
        <v>1.871294565517391E-2</v>
      </c>
      <c r="J934" s="398">
        <v>677.7108760000001</v>
      </c>
      <c r="K934" s="311">
        <v>5.2462397420307318E-2</v>
      </c>
      <c r="L934" s="398">
        <v>5791.5221159999983</v>
      </c>
      <c r="M934" s="311">
        <v>0.44832855082893941</v>
      </c>
      <c r="N934" s="398">
        <v>89.726029999999994</v>
      </c>
      <c r="O934" s="311">
        <v>6.9457977015059983E-3</v>
      </c>
      <c r="P934" s="398">
        <v>1721.3345620000002</v>
      </c>
      <c r="Q934" s="311">
        <v>0.13325053659748945</v>
      </c>
      <c r="R934" s="398">
        <v>2937.0415769999986</v>
      </c>
      <c r="S934" s="311">
        <v>0.22735984902880627</v>
      </c>
      <c r="T934" s="398">
        <v>12918.030995999994</v>
      </c>
      <c r="U934" s="311">
        <v>8.2738255847391612E-2</v>
      </c>
      <c r="V934" s="403"/>
    </row>
    <row r="935" spans="1:22" s="240" customFormat="1">
      <c r="A935" s="313" t="s">
        <v>306</v>
      </c>
      <c r="B935" s="398">
        <v>1749.7029735000006</v>
      </c>
      <c r="C935" s="311">
        <v>0.11840053422138236</v>
      </c>
      <c r="D935" s="398">
        <v>403.85930149999996</v>
      </c>
      <c r="E935" s="311">
        <v>2.7328728231068706E-2</v>
      </c>
      <c r="F935" s="398">
        <v>709.63078999999993</v>
      </c>
      <c r="G935" s="311">
        <v>4.8019958763556143E-2</v>
      </c>
      <c r="H935" s="398">
        <v>1039.4587289999999</v>
      </c>
      <c r="I935" s="311">
        <v>7.0339063646038355E-2</v>
      </c>
      <c r="J935" s="398">
        <v>752.28984049999997</v>
      </c>
      <c r="K935" s="311">
        <v>5.0906651216546327E-2</v>
      </c>
      <c r="L935" s="398">
        <v>6931.5413764999976</v>
      </c>
      <c r="M935" s="311">
        <v>0.46905001270789431</v>
      </c>
      <c r="N935" s="398">
        <v>305.02543400000002</v>
      </c>
      <c r="O935" s="311">
        <v>2.0640745820112761E-2</v>
      </c>
      <c r="P935" s="398">
        <v>1364.4248385000003</v>
      </c>
      <c r="Q935" s="311">
        <v>9.2329173711222109E-2</v>
      </c>
      <c r="R935" s="398">
        <v>1521.8967745</v>
      </c>
      <c r="S935" s="311">
        <v>0.10298513168217954</v>
      </c>
      <c r="T935" s="398">
        <v>14777.830057999989</v>
      </c>
      <c r="U935" s="311">
        <v>9.4650019386598283E-2</v>
      </c>
      <c r="V935" s="403"/>
    </row>
    <row r="936" spans="1:22" s="240" customFormat="1">
      <c r="A936" s="313" t="s">
        <v>305</v>
      </c>
      <c r="B936" s="398">
        <v>2362.8029540000002</v>
      </c>
      <c r="C936" s="311">
        <v>0.12598338311401058</v>
      </c>
      <c r="D936" s="398">
        <v>759.85939499999984</v>
      </c>
      <c r="E936" s="311">
        <v>4.0515294392621311E-2</v>
      </c>
      <c r="F936" s="398">
        <v>635.03105599999992</v>
      </c>
      <c r="G936" s="311">
        <v>3.3859514472802152E-2</v>
      </c>
      <c r="H936" s="398">
        <v>867.17025199999989</v>
      </c>
      <c r="I936" s="311">
        <v>4.6237051590713847E-2</v>
      </c>
      <c r="J936" s="398">
        <v>1337.6879240000001</v>
      </c>
      <c r="K936" s="311">
        <v>7.1324800881503142E-2</v>
      </c>
      <c r="L936" s="398">
        <v>7630.9530270000087</v>
      </c>
      <c r="M936" s="311">
        <v>0.40687831251355405</v>
      </c>
      <c r="N936" s="398">
        <v>397.29302799999999</v>
      </c>
      <c r="O936" s="311">
        <v>2.1183450642938938E-2</v>
      </c>
      <c r="P936" s="398">
        <v>2231.2802300000017</v>
      </c>
      <c r="Q936" s="311">
        <v>0.11897066218531899</v>
      </c>
      <c r="R936" s="398">
        <v>2532.7999249999998</v>
      </c>
      <c r="S936" s="311">
        <v>0.13504753020653798</v>
      </c>
      <c r="T936" s="398">
        <v>18754.877790999992</v>
      </c>
      <c r="U936" s="311">
        <v>0.1201224766792099</v>
      </c>
      <c r="V936" s="403"/>
    </row>
    <row r="937" spans="1:22" s="240" customFormat="1" ht="28.5">
      <c r="A937" s="313" t="s">
        <v>304</v>
      </c>
      <c r="B937" s="398">
        <v>7007.5281990000185</v>
      </c>
      <c r="C937" s="311">
        <v>0.12030659650095332</v>
      </c>
      <c r="D937" s="398">
        <v>3624.8814579999985</v>
      </c>
      <c r="E937" s="311">
        <v>6.2232664435602943E-2</v>
      </c>
      <c r="F937" s="398">
        <v>2477.5218209999994</v>
      </c>
      <c r="G937" s="311">
        <v>4.2534572759034751E-2</v>
      </c>
      <c r="H937" s="398">
        <v>2708.0257190000011</v>
      </c>
      <c r="I937" s="311">
        <v>4.6491908164768878E-2</v>
      </c>
      <c r="J937" s="398">
        <v>5421.286534000008</v>
      </c>
      <c r="K937" s="311">
        <v>9.3073693467985288E-2</v>
      </c>
      <c r="L937" s="398">
        <v>24724.373494000032</v>
      </c>
      <c r="M937" s="311">
        <v>0.42447281569355538</v>
      </c>
      <c r="N937" s="398">
        <v>1109.7299540000001</v>
      </c>
      <c r="O937" s="311">
        <v>1.9052058016684286E-2</v>
      </c>
      <c r="P937" s="398">
        <v>3348.6587749999999</v>
      </c>
      <c r="Q937" s="311">
        <v>5.7490420105735851E-2</v>
      </c>
      <c r="R937" s="398">
        <v>7825.2423500000195</v>
      </c>
      <c r="S937" s="311">
        <v>0.13434527085570155</v>
      </c>
      <c r="T937" s="398">
        <v>58247.248303998778</v>
      </c>
      <c r="U937" s="311">
        <v>0.37306581274460965</v>
      </c>
      <c r="V937" s="403"/>
    </row>
    <row r="938" spans="1:22" s="240" customFormat="1" ht="28.5">
      <c r="A938" s="313" t="s">
        <v>303</v>
      </c>
      <c r="B938" s="398">
        <v>5474.9553220000053</v>
      </c>
      <c r="C938" s="311">
        <v>0.13179644974306085</v>
      </c>
      <c r="D938" s="398">
        <v>2663.7124109999977</v>
      </c>
      <c r="E938" s="311">
        <v>6.4122502971966394E-2</v>
      </c>
      <c r="F938" s="398">
        <v>1751.9344050000004</v>
      </c>
      <c r="G938" s="311">
        <v>4.2173629040204524E-2</v>
      </c>
      <c r="H938" s="398">
        <v>2232.2156579999996</v>
      </c>
      <c r="I938" s="311">
        <v>5.3735251062797654E-2</v>
      </c>
      <c r="J938" s="398">
        <v>3641.2191769999963</v>
      </c>
      <c r="K938" s="311">
        <v>8.7653639535023947E-2</v>
      </c>
      <c r="L938" s="398">
        <v>17875.146249000059</v>
      </c>
      <c r="M938" s="311">
        <v>0.43030137703399446</v>
      </c>
      <c r="N938" s="398">
        <v>772.84078699999998</v>
      </c>
      <c r="O938" s="311">
        <v>1.8604292812023238E-2</v>
      </c>
      <c r="P938" s="398">
        <v>2657.9960559999963</v>
      </c>
      <c r="Q938" s="311">
        <v>6.3984895402559611E-2</v>
      </c>
      <c r="R938" s="398">
        <v>4470.9723719999984</v>
      </c>
      <c r="S938" s="311">
        <v>0.10762796239835887</v>
      </c>
      <c r="T938" s="398">
        <v>41540.992437000488</v>
      </c>
      <c r="U938" s="311">
        <v>0.26606448470911437</v>
      </c>
      <c r="V938" s="403"/>
    </row>
    <row r="939" spans="1:22" s="240" customFormat="1" ht="15.75" thickBot="1">
      <c r="A939" s="313" t="s">
        <v>302</v>
      </c>
      <c r="B939" s="398">
        <v>122.4</v>
      </c>
      <c r="C939" s="311">
        <v>5.0883039482200625E-2</v>
      </c>
      <c r="D939" s="398">
        <v>207.07500400000001</v>
      </c>
      <c r="E939" s="311">
        <v>8.6083379120170347E-2</v>
      </c>
      <c r="F939" s="398">
        <v>68.266670000000005</v>
      </c>
      <c r="G939" s="311">
        <v>2.8379212948761116E-2</v>
      </c>
      <c r="H939" s="398">
        <v>209.349998</v>
      </c>
      <c r="I939" s="311">
        <v>8.7029119394057358E-2</v>
      </c>
      <c r="J939" s="398">
        <v>0</v>
      </c>
      <c r="K939" s="311">
        <v>0</v>
      </c>
      <c r="L939" s="398">
        <v>1193.6083259999998</v>
      </c>
      <c r="M939" s="311">
        <v>0.49619623838350796</v>
      </c>
      <c r="N939" s="398">
        <v>0</v>
      </c>
      <c r="O939" s="311">
        <v>0</v>
      </c>
      <c r="P939" s="398">
        <v>70.541663999999997</v>
      </c>
      <c r="Q939" s="311">
        <v>2.932495322264812E-2</v>
      </c>
      <c r="R939" s="398">
        <v>534.27501399999994</v>
      </c>
      <c r="S939" s="311">
        <v>0.2221040574486543</v>
      </c>
      <c r="T939" s="398">
        <v>2405.5166760000002</v>
      </c>
      <c r="U939" s="311">
        <v>1.5407011660343837E-2</v>
      </c>
      <c r="V939" s="403"/>
    </row>
    <row r="940" spans="1:22" s="240" customFormat="1" ht="15" customHeight="1">
      <c r="A940" s="316" t="s">
        <v>4</v>
      </c>
      <c r="B940" s="400">
        <v>14061.802634641717</v>
      </c>
      <c r="C940" s="399">
        <v>9.817607585233612E-2</v>
      </c>
      <c r="D940" s="400">
        <v>7827.8637256541406</v>
      </c>
      <c r="E940" s="399">
        <v>5.4652235055434782E-2</v>
      </c>
      <c r="F940" s="400">
        <v>4864.5052202988927</v>
      </c>
      <c r="G940" s="399">
        <v>3.3962788833034802E-2</v>
      </c>
      <c r="H940" s="400">
        <v>8007.9380034977485</v>
      </c>
      <c r="I940" s="399">
        <v>5.5909469737215618E-2</v>
      </c>
      <c r="J940" s="400">
        <v>8690.282627707149</v>
      </c>
      <c r="K940" s="399">
        <v>6.0673433456830343E-2</v>
      </c>
      <c r="L940" s="400">
        <v>66093.585991574015</v>
      </c>
      <c r="M940" s="399">
        <v>0.46144929496281462</v>
      </c>
      <c r="N940" s="400">
        <v>2572.3602859875937</v>
      </c>
      <c r="O940" s="399">
        <v>1.7959592032283533E-2</v>
      </c>
      <c r="P940" s="400">
        <v>14090.637158473053</v>
      </c>
      <c r="Q940" s="399">
        <v>9.8377391464024272E-2</v>
      </c>
      <c r="R940" s="400">
        <v>17021.465297795778</v>
      </c>
      <c r="S940" s="399">
        <v>0.1188397186060266</v>
      </c>
      <c r="T940" s="400">
        <v>143230.44094562999</v>
      </c>
      <c r="U940" s="399">
        <v>1</v>
      </c>
      <c r="V940" s="403"/>
    </row>
    <row r="941" spans="1:22" s="240" customFormat="1" ht="17.25" customHeight="1">
      <c r="A941" s="313" t="s">
        <v>309</v>
      </c>
      <c r="B941" s="398">
        <v>278.8118131868132</v>
      </c>
      <c r="C941" s="311">
        <v>7.750541695342876E-2</v>
      </c>
      <c r="D941" s="398">
        <v>79.678571428571431</v>
      </c>
      <c r="E941" s="311">
        <v>2.2149423405841057E-2</v>
      </c>
      <c r="F941" s="398">
        <v>39.839285714285715</v>
      </c>
      <c r="G941" s="311">
        <v>1.1074711702920528E-2</v>
      </c>
      <c r="H941" s="398">
        <v>119.51785714285714</v>
      </c>
      <c r="I941" s="311">
        <v>3.3224135108761585E-2</v>
      </c>
      <c r="J941" s="398">
        <v>39.839285714285715</v>
      </c>
      <c r="K941" s="311">
        <v>1.1074711702920528E-2</v>
      </c>
      <c r="L941" s="398">
        <v>1896.7897628687106</v>
      </c>
      <c r="M941" s="311">
        <v>0.52727852440610934</v>
      </c>
      <c r="N941" s="398">
        <v>0</v>
      </c>
      <c r="O941" s="311">
        <v>0</v>
      </c>
      <c r="P941" s="398">
        <v>597.24812030075191</v>
      </c>
      <c r="Q941" s="311">
        <v>0.16602583678025698</v>
      </c>
      <c r="R941" s="398">
        <v>545.59564777327944</v>
      </c>
      <c r="S941" s="311">
        <v>0.1516672399397605</v>
      </c>
      <c r="T941" s="398">
        <v>3597.3203441295577</v>
      </c>
      <c r="U941" s="311">
        <v>2.5115613136282206E-2</v>
      </c>
      <c r="V941" s="403"/>
    </row>
    <row r="942" spans="1:22" s="240" customFormat="1">
      <c r="A942" s="313" t="s">
        <v>308</v>
      </c>
      <c r="B942" s="398">
        <v>530.33453207423668</v>
      </c>
      <c r="C942" s="311">
        <v>0.12071287627795403</v>
      </c>
      <c r="D942" s="398">
        <v>134.66558425458786</v>
      </c>
      <c r="E942" s="311">
        <v>3.0652105469056928E-2</v>
      </c>
      <c r="F942" s="398">
        <v>211.46762432548724</v>
      </c>
      <c r="G942" s="311">
        <v>4.8133515032775825E-2</v>
      </c>
      <c r="H942" s="398">
        <v>177.9683219108278</v>
      </c>
      <c r="I942" s="311">
        <v>4.0508521932736664E-2</v>
      </c>
      <c r="J942" s="398">
        <v>557.08374489157598</v>
      </c>
      <c r="K942" s="311">
        <v>0.12680143778407171</v>
      </c>
      <c r="L942" s="398">
        <v>1891.5187282898419</v>
      </c>
      <c r="M942" s="311">
        <v>0.43054082360513285</v>
      </c>
      <c r="N942" s="398">
        <v>63.059026877538685</v>
      </c>
      <c r="O942" s="311">
        <v>1.4353273357298493E-2</v>
      </c>
      <c r="P942" s="398">
        <v>99.925354369530382</v>
      </c>
      <c r="Q942" s="311">
        <v>2.2744656833606575E-2</v>
      </c>
      <c r="R942" s="398">
        <v>727.33219495884998</v>
      </c>
      <c r="S942" s="311">
        <v>0.16555278970736587</v>
      </c>
      <c r="T942" s="398">
        <v>4393.3551119524809</v>
      </c>
      <c r="U942" s="311">
        <v>3.0673333705788078E-2</v>
      </c>
      <c r="V942" s="403"/>
    </row>
    <row r="943" spans="1:22" s="240" customFormat="1">
      <c r="A943" s="313" t="s">
        <v>307</v>
      </c>
      <c r="B943" s="398">
        <v>300.52518392756082</v>
      </c>
      <c r="C943" s="311">
        <v>2.1586191599732053E-2</v>
      </c>
      <c r="D943" s="398">
        <v>470.91068580542264</v>
      </c>
      <c r="E943" s="311">
        <v>3.3824680372235648E-2</v>
      </c>
      <c r="F943" s="398">
        <v>240.91228070175438</v>
      </c>
      <c r="G943" s="311">
        <v>1.7304302361595126E-2</v>
      </c>
      <c r="H943" s="398">
        <v>722.73684210526312</v>
      </c>
      <c r="I943" s="311">
        <v>5.1912907084785374E-2</v>
      </c>
      <c r="J943" s="398">
        <v>300.52518392756082</v>
      </c>
      <c r="K943" s="311">
        <v>2.1586191599732053E-2</v>
      </c>
      <c r="L943" s="398">
        <v>5443.232083140404</v>
      </c>
      <c r="M943" s="311">
        <v>0.39097771818284449</v>
      </c>
      <c r="N943" s="398">
        <v>270.71873231465759</v>
      </c>
      <c r="O943" s="311">
        <v>1.9445246980663588E-2</v>
      </c>
      <c r="P943" s="398">
        <v>3718.3581828471497</v>
      </c>
      <c r="Q943" s="311">
        <v>0.26708308143226145</v>
      </c>
      <c r="R943" s="398">
        <v>2454.1838761125687</v>
      </c>
      <c r="S943" s="311">
        <v>0.17627968038614872</v>
      </c>
      <c r="T943" s="398">
        <v>13922.103050882362</v>
      </c>
      <c r="U943" s="311">
        <v>9.7200727435916831E-2</v>
      </c>
      <c r="V943" s="403"/>
    </row>
    <row r="944" spans="1:22" s="240" customFormat="1">
      <c r="A944" s="313" t="s">
        <v>306</v>
      </c>
      <c r="B944" s="398">
        <v>1144.6303155685775</v>
      </c>
      <c r="C944" s="311">
        <v>8.0496565542503895E-2</v>
      </c>
      <c r="D944" s="398">
        <v>601.9094967532468</v>
      </c>
      <c r="E944" s="311">
        <v>4.2329515999220815E-2</v>
      </c>
      <c r="F944" s="398">
        <v>648.45178571428585</v>
      </c>
      <c r="G944" s="311">
        <v>4.5602620304508609E-2</v>
      </c>
      <c r="H944" s="398">
        <v>1308.6793910357931</v>
      </c>
      <c r="I944" s="311">
        <v>9.2033379635160811E-2</v>
      </c>
      <c r="J944" s="398">
        <v>550.14180194805203</v>
      </c>
      <c r="K944" s="311">
        <v>3.8688933025668566E-2</v>
      </c>
      <c r="L944" s="398">
        <v>7147.4406061925965</v>
      </c>
      <c r="M944" s="311">
        <v>0.50264649939115291</v>
      </c>
      <c r="N944" s="398">
        <v>15.375</v>
      </c>
      <c r="O944" s="311">
        <v>1.0812527664018942E-3</v>
      </c>
      <c r="P944" s="398">
        <v>1273.0132305194804</v>
      </c>
      <c r="Q944" s="311">
        <v>8.9525143230269943E-2</v>
      </c>
      <c r="R944" s="398">
        <v>1529.9751702565723</v>
      </c>
      <c r="S944" s="311">
        <v>0.10759609010511401</v>
      </c>
      <c r="T944" s="398">
        <v>14219.616797988583</v>
      </c>
      <c r="U944" s="311">
        <v>9.9277895844685174E-2</v>
      </c>
      <c r="V944" s="403"/>
    </row>
    <row r="945" spans="1:22" s="240" customFormat="1">
      <c r="A945" s="313" t="s">
        <v>305</v>
      </c>
      <c r="B945" s="398">
        <v>1586.3267578462217</v>
      </c>
      <c r="C945" s="311">
        <v>0.10525820185259338</v>
      </c>
      <c r="D945" s="398">
        <v>959.06473047531233</v>
      </c>
      <c r="E945" s="311">
        <v>6.3637222590340686E-2</v>
      </c>
      <c r="F945" s="398">
        <v>296.84852047029699</v>
      </c>
      <c r="G945" s="311">
        <v>1.9696913850037433E-2</v>
      </c>
      <c r="H945" s="398">
        <v>583.32150243898081</v>
      </c>
      <c r="I945" s="311">
        <v>3.870537526079626E-2</v>
      </c>
      <c r="J945" s="398">
        <v>599.16835432678727</v>
      </c>
      <c r="K945" s="311">
        <v>3.9756868042144511E-2</v>
      </c>
      <c r="L945" s="398">
        <v>7703.5366795649788</v>
      </c>
      <c r="M945" s="311">
        <v>0.51115598648630511</v>
      </c>
      <c r="N945" s="398">
        <v>185.16253453646004</v>
      </c>
      <c r="O945" s="311">
        <v>1.2286166982544115E-2</v>
      </c>
      <c r="P945" s="398">
        <v>1619.0117273684602</v>
      </c>
      <c r="Q945" s="311">
        <v>0.10742696128535278</v>
      </c>
      <c r="R945" s="398">
        <v>1538.372962599323</v>
      </c>
      <c r="S945" s="311">
        <v>0.10207630364988697</v>
      </c>
      <c r="T945" s="398">
        <v>15070.813769626802</v>
      </c>
      <c r="U945" s="311">
        <v>0.10522074546532784</v>
      </c>
      <c r="V945" s="403"/>
    </row>
    <row r="946" spans="1:22" s="240" customFormat="1" ht="28.5">
      <c r="A946" s="313" t="s">
        <v>304</v>
      </c>
      <c r="B946" s="398">
        <v>5080.5892045150067</v>
      </c>
      <c r="C946" s="311">
        <v>0.10215760281976648</v>
      </c>
      <c r="D946" s="398">
        <v>2699.4948191444041</v>
      </c>
      <c r="E946" s="311">
        <v>5.4279908972584757E-2</v>
      </c>
      <c r="F946" s="398">
        <v>2190.4705826462196</v>
      </c>
      <c r="G946" s="311">
        <v>4.4044738663675594E-2</v>
      </c>
      <c r="H946" s="398">
        <v>3377.0328197284239</v>
      </c>
      <c r="I946" s="311">
        <v>6.7903458362771743E-2</v>
      </c>
      <c r="J946" s="398">
        <v>2684.6245325416244</v>
      </c>
      <c r="K946" s="311">
        <v>5.398090569335233E-2</v>
      </c>
      <c r="L946" s="398">
        <v>23308.981443219414</v>
      </c>
      <c r="M946" s="311">
        <v>0.46868376335044087</v>
      </c>
      <c r="N946" s="398">
        <v>1175.0303961630705</v>
      </c>
      <c r="O946" s="311">
        <v>2.3626843990005027E-2</v>
      </c>
      <c r="P946" s="398">
        <v>3450.1327824674249</v>
      </c>
      <c r="Q946" s="311">
        <v>6.9373310905267049E-2</v>
      </c>
      <c r="R946" s="398">
        <v>5766.4979921170043</v>
      </c>
      <c r="S946" s="311">
        <v>0.11594946724213742</v>
      </c>
      <c r="T946" s="398">
        <v>49732.854572542528</v>
      </c>
      <c r="U946" s="311">
        <v>0.34722265912328676</v>
      </c>
      <c r="V946" s="403"/>
    </row>
    <row r="947" spans="1:22" s="240" customFormat="1" ht="28.5">
      <c r="A947" s="313" t="s">
        <v>303</v>
      </c>
      <c r="B947" s="398">
        <v>4794.7973275232998</v>
      </c>
      <c r="C947" s="311">
        <v>0.11888146851922804</v>
      </c>
      <c r="D947" s="398">
        <v>2748.346087792605</v>
      </c>
      <c r="E947" s="311">
        <v>6.814207079001347E-2</v>
      </c>
      <c r="F947" s="398">
        <v>1095.3276407265666</v>
      </c>
      <c r="G947" s="311">
        <v>2.715738529589453E-2</v>
      </c>
      <c r="H947" s="398">
        <v>1718.6812691356181</v>
      </c>
      <c r="I947" s="311">
        <v>4.2612719419544642E-2</v>
      </c>
      <c r="J947" s="398">
        <v>3821.4170854683875</v>
      </c>
      <c r="K947" s="311">
        <v>9.474762829644183E-2</v>
      </c>
      <c r="L947" s="398">
        <v>17915.619227980762</v>
      </c>
      <c r="M947" s="311">
        <v>0.4441971115291779</v>
      </c>
      <c r="N947" s="398">
        <v>796.81459609586636</v>
      </c>
      <c r="O947" s="311">
        <v>1.9756098715096697E-2</v>
      </c>
      <c r="P947" s="398">
        <v>2988.0776217113707</v>
      </c>
      <c r="Q947" s="311">
        <v>7.4085937622305878E-2</v>
      </c>
      <c r="R947" s="398">
        <v>4453.5074539781617</v>
      </c>
      <c r="S947" s="311">
        <v>0.11041957981229801</v>
      </c>
      <c r="T947" s="398">
        <v>40332.588310412597</v>
      </c>
      <c r="U947" s="311">
        <v>0.28159229311960837</v>
      </c>
      <c r="V947" s="403"/>
    </row>
    <row r="948" spans="1:22" s="240" customFormat="1" ht="15.75" thickBot="1">
      <c r="A948" s="313" t="s">
        <v>302</v>
      </c>
      <c r="B948" s="398">
        <v>345.78749999999997</v>
      </c>
      <c r="C948" s="311">
        <v>0.1762613115367396</v>
      </c>
      <c r="D948" s="398">
        <v>133.79374999999999</v>
      </c>
      <c r="E948" s="311">
        <v>6.8199867983714441E-2</v>
      </c>
      <c r="F948" s="398">
        <v>141.1875</v>
      </c>
      <c r="G948" s="311">
        <v>7.196874936946368E-2</v>
      </c>
      <c r="H948" s="398">
        <v>0</v>
      </c>
      <c r="I948" s="311">
        <v>0</v>
      </c>
      <c r="J948" s="398">
        <v>137.48263888888889</v>
      </c>
      <c r="K948" s="311">
        <v>7.0080237845750695E-2</v>
      </c>
      <c r="L948" s="398">
        <v>786.46746031746034</v>
      </c>
      <c r="M948" s="311">
        <v>0.40089299363488928</v>
      </c>
      <c r="N948" s="398">
        <v>66.2</v>
      </c>
      <c r="O948" s="311">
        <v>3.3744709753048226E-2</v>
      </c>
      <c r="P948" s="398">
        <v>344.87013888888885</v>
      </c>
      <c r="Q948" s="311">
        <v>0.17579369696826258</v>
      </c>
      <c r="R948" s="398">
        <v>6</v>
      </c>
      <c r="S948" s="311">
        <v>3.0584329081312588E-3</v>
      </c>
      <c r="T948" s="398">
        <v>1961.7889880952384</v>
      </c>
      <c r="U948" s="311">
        <v>1.3696732169105936E-2</v>
      </c>
      <c r="V948" s="403"/>
    </row>
    <row r="949" spans="1:22" s="240" customFormat="1" ht="15.75" customHeight="1">
      <c r="A949" s="316" t="s">
        <v>3</v>
      </c>
      <c r="B949" s="400">
        <v>9292.689975738951</v>
      </c>
      <c r="C949" s="399">
        <v>9.3177362428485788E-2</v>
      </c>
      <c r="D949" s="400">
        <v>4576.7370193067754</v>
      </c>
      <c r="E949" s="399">
        <v>4.5890725409022816E-2</v>
      </c>
      <c r="F949" s="400">
        <v>3445.7446458398563</v>
      </c>
      <c r="G949" s="399">
        <v>3.4550318426597858E-2</v>
      </c>
      <c r="H949" s="400">
        <v>3656.3788648287123</v>
      </c>
      <c r="I949" s="399">
        <v>3.6662337768016272E-2</v>
      </c>
      <c r="J949" s="400">
        <v>7964.8535558153599</v>
      </c>
      <c r="K949" s="399">
        <v>7.9863209511733063E-2</v>
      </c>
      <c r="L949" s="400">
        <v>47973.968905729263</v>
      </c>
      <c r="M949" s="399">
        <v>0.4810327149116565</v>
      </c>
      <c r="N949" s="400">
        <v>1589.8948873518834</v>
      </c>
      <c r="O949" s="399">
        <v>1.5941800762615328E-2</v>
      </c>
      <c r="P949" s="400">
        <v>9909.1195090923629</v>
      </c>
      <c r="Q949" s="399">
        <v>9.9358272174840015E-2</v>
      </c>
      <c r="R949" s="400">
        <v>11321.810574757994</v>
      </c>
      <c r="S949" s="399">
        <v>0.11352325860704295</v>
      </c>
      <c r="T949" s="400">
        <v>99731.1979384601</v>
      </c>
      <c r="U949" s="399">
        <v>1</v>
      </c>
      <c r="V949" s="403"/>
    </row>
    <row r="950" spans="1:22" s="240" customFormat="1" ht="17.25" customHeight="1">
      <c r="A950" s="313" t="s">
        <v>309</v>
      </c>
      <c r="B950" s="398">
        <v>253.33986928104579</v>
      </c>
      <c r="C950" s="311">
        <v>0.19414478867924106</v>
      </c>
      <c r="D950" s="398">
        <v>0</v>
      </c>
      <c r="E950" s="311">
        <v>0</v>
      </c>
      <c r="F950" s="398">
        <v>66.261437908496731</v>
      </c>
      <c r="G950" s="311">
        <v>5.0778872258975399E-2</v>
      </c>
      <c r="H950" s="398">
        <v>67.878431372549016</v>
      </c>
      <c r="I950" s="311">
        <v>5.2018041029627454E-2</v>
      </c>
      <c r="J950" s="398">
        <v>17.90909090909091</v>
      </c>
      <c r="K950" s="311">
        <v>1.3724474871839323E-2</v>
      </c>
      <c r="L950" s="398">
        <v>493.53321449792037</v>
      </c>
      <c r="M950" s="311">
        <v>0.37821485385148601</v>
      </c>
      <c r="N950" s="398">
        <v>0</v>
      </c>
      <c r="O950" s="311">
        <v>0</v>
      </c>
      <c r="P950" s="398">
        <v>99.850267379679138</v>
      </c>
      <c r="Q950" s="311">
        <v>7.6519377368463357E-2</v>
      </c>
      <c r="R950" s="398">
        <v>306.12941176470582</v>
      </c>
      <c r="S950" s="311">
        <v>0.2345995919403667</v>
      </c>
      <c r="T950" s="398">
        <v>1304.9017231134887</v>
      </c>
      <c r="U950" s="311">
        <v>1.3084187797670779E-2</v>
      </c>
      <c r="V950" s="403"/>
    </row>
    <row r="951" spans="1:22" s="240" customFormat="1">
      <c r="A951" s="313" t="s">
        <v>308</v>
      </c>
      <c r="B951" s="398">
        <v>432.70876089595038</v>
      </c>
      <c r="C951" s="311">
        <v>0.10219409308119713</v>
      </c>
      <c r="D951" s="398">
        <v>63.459189712417121</v>
      </c>
      <c r="E951" s="311">
        <v>1.4987342356785631E-2</v>
      </c>
      <c r="F951" s="398">
        <v>80.142938822184107</v>
      </c>
      <c r="G951" s="311">
        <v>1.892759215883863E-2</v>
      </c>
      <c r="H951" s="398">
        <v>224.86468458166573</v>
      </c>
      <c r="I951" s="311">
        <v>5.3106949947654379E-2</v>
      </c>
      <c r="J951" s="398">
        <v>466.34048027444254</v>
      </c>
      <c r="K951" s="311">
        <v>0.11013699456886261</v>
      </c>
      <c r="L951" s="398">
        <v>2211.7423740884537</v>
      </c>
      <c r="M951" s="311">
        <v>0.52235366249858317</v>
      </c>
      <c r="N951" s="398">
        <v>161.8080808080808</v>
      </c>
      <c r="O951" s="311">
        <v>3.8214687488999331E-2</v>
      </c>
      <c r="P951" s="398">
        <v>146.80030192691561</v>
      </c>
      <c r="Q951" s="311">
        <v>3.4670256475519995E-2</v>
      </c>
      <c r="R951" s="398">
        <v>446.31882378903219</v>
      </c>
      <c r="S951" s="311">
        <v>0.10540842142355995</v>
      </c>
      <c r="T951" s="398">
        <v>4234.1856348991387</v>
      </c>
      <c r="U951" s="311">
        <v>4.2455978895509457E-2</v>
      </c>
      <c r="V951" s="403"/>
    </row>
    <row r="952" spans="1:22" s="240" customFormat="1">
      <c r="A952" s="313" t="s">
        <v>307</v>
      </c>
      <c r="B952" s="398">
        <v>794.23292824074065</v>
      </c>
      <c r="C952" s="311">
        <v>6.4588598172989564E-2</v>
      </c>
      <c r="D952" s="398">
        <v>359.45515046296293</v>
      </c>
      <c r="E952" s="311">
        <v>2.9231606307094062E-2</v>
      </c>
      <c r="F952" s="398">
        <v>527.58217592592587</v>
      </c>
      <c r="G952" s="311">
        <v>4.2904029727891577E-2</v>
      </c>
      <c r="H952" s="398">
        <v>359.45515046296293</v>
      </c>
      <c r="I952" s="311">
        <v>2.9231606307094062E-2</v>
      </c>
      <c r="J952" s="398">
        <v>600.0451388888888</v>
      </c>
      <c r="K952" s="311">
        <v>4.8796861705540831E-2</v>
      </c>
      <c r="L952" s="398">
        <v>5081.6339699074069</v>
      </c>
      <c r="M952" s="311">
        <v>0.41324856081146705</v>
      </c>
      <c r="N952" s="398">
        <v>95.6640625</v>
      </c>
      <c r="O952" s="311">
        <v>7.7795914431482704E-3</v>
      </c>
      <c r="P952" s="398">
        <v>2611.8501157407409</v>
      </c>
      <c r="Q952" s="311">
        <v>0.21240083559280673</v>
      </c>
      <c r="R952" s="398">
        <v>1866.8790509259261</v>
      </c>
      <c r="S952" s="311">
        <v>0.15181830993196738</v>
      </c>
      <c r="T952" s="398">
        <v>12296.79774305556</v>
      </c>
      <c r="U952" s="311">
        <v>0.12329940878323142</v>
      </c>
      <c r="V952" s="403"/>
    </row>
    <row r="953" spans="1:22" s="240" customFormat="1">
      <c r="A953" s="313" t="s">
        <v>306</v>
      </c>
      <c r="B953" s="398">
        <v>1024.6747393024093</v>
      </c>
      <c r="C953" s="311">
        <v>0.10541093438844518</v>
      </c>
      <c r="D953" s="398">
        <v>368.87050341603742</v>
      </c>
      <c r="E953" s="311">
        <v>3.7946660478711418E-2</v>
      </c>
      <c r="F953" s="398">
        <v>407.44508090614897</v>
      </c>
      <c r="G953" s="311">
        <v>4.1914926798656389E-2</v>
      </c>
      <c r="H953" s="398">
        <v>394.24939230492635</v>
      </c>
      <c r="I953" s="311">
        <v>4.055745226356558E-2</v>
      </c>
      <c r="J953" s="398">
        <v>358.15439230492632</v>
      </c>
      <c r="K953" s="311">
        <v>3.6844266478053569E-2</v>
      </c>
      <c r="L953" s="398">
        <v>5057.2381499460562</v>
      </c>
      <c r="M953" s="311">
        <v>0.52025113761819475</v>
      </c>
      <c r="N953" s="398">
        <v>81.123333333333335</v>
      </c>
      <c r="O953" s="311">
        <v>8.3453666216009355E-3</v>
      </c>
      <c r="P953" s="398">
        <v>908.6727544048905</v>
      </c>
      <c r="Q953" s="311">
        <v>9.3477510883454309E-2</v>
      </c>
      <c r="R953" s="398">
        <v>1120.3349244875947</v>
      </c>
      <c r="S953" s="311">
        <v>0.11525174446931724</v>
      </c>
      <c r="T953" s="398">
        <v>9720.763270406329</v>
      </c>
      <c r="U953" s="311">
        <v>9.7469633087176988E-2</v>
      </c>
      <c r="V953" s="403"/>
    </row>
    <row r="954" spans="1:22" s="240" customFormat="1">
      <c r="A954" s="313" t="s">
        <v>305</v>
      </c>
      <c r="B954" s="398">
        <v>1359.1794662504153</v>
      </c>
      <c r="C954" s="311">
        <v>9.2347307711499974E-2</v>
      </c>
      <c r="D954" s="398">
        <v>426.42378033946733</v>
      </c>
      <c r="E954" s="311">
        <v>2.8972692007439918E-2</v>
      </c>
      <c r="F954" s="398">
        <v>260.70692368214003</v>
      </c>
      <c r="G954" s="311">
        <v>1.771332123653304E-2</v>
      </c>
      <c r="H954" s="398">
        <v>479.86989012399175</v>
      </c>
      <c r="I954" s="311">
        <v>3.2604003742798898E-2</v>
      </c>
      <c r="J954" s="398">
        <v>1222.7796473785852</v>
      </c>
      <c r="K954" s="311">
        <v>8.3079836889637923E-2</v>
      </c>
      <c r="L954" s="398">
        <v>7640.7560207086881</v>
      </c>
      <c r="M954" s="311">
        <v>0.51913913130209166</v>
      </c>
      <c r="N954" s="398">
        <v>194.12893391030684</v>
      </c>
      <c r="O954" s="311">
        <v>1.3189784602159096E-2</v>
      </c>
      <c r="P954" s="398">
        <v>1570.4827151759393</v>
      </c>
      <c r="Q954" s="311">
        <v>0.10670397409257515</v>
      </c>
      <c r="R954" s="398">
        <v>1563.8003072851611</v>
      </c>
      <c r="S954" s="311">
        <v>0.10624994841527011</v>
      </c>
      <c r="T954" s="398">
        <v>14718.127684854609</v>
      </c>
      <c r="U954" s="311">
        <v>0.14757796947286789</v>
      </c>
      <c r="V954" s="403"/>
    </row>
    <row r="955" spans="1:22" s="240" customFormat="1" ht="28.5">
      <c r="A955" s="313" t="s">
        <v>304</v>
      </c>
      <c r="B955" s="398">
        <v>2210.4041460692347</v>
      </c>
      <c r="C955" s="311">
        <v>7.6717508020589242E-2</v>
      </c>
      <c r="D955" s="398">
        <v>1306.8554394070479</v>
      </c>
      <c r="E955" s="311">
        <v>4.5357629659151272E-2</v>
      </c>
      <c r="F955" s="398">
        <v>953.51124294987596</v>
      </c>
      <c r="G955" s="311">
        <v>3.3093950967660678E-2</v>
      </c>
      <c r="H955" s="398">
        <v>1274.5782570127244</v>
      </c>
      <c r="I955" s="311">
        <v>4.4237370722059612E-2</v>
      </c>
      <c r="J955" s="398">
        <v>1950.5473264661896</v>
      </c>
      <c r="K955" s="311">
        <v>6.7698538490717122E-2</v>
      </c>
      <c r="L955" s="398">
        <v>14412.734174793852</v>
      </c>
      <c r="M955" s="311">
        <v>0.50022935924168077</v>
      </c>
      <c r="N955" s="398">
        <v>668.94725109074329</v>
      </c>
      <c r="O955" s="311">
        <v>2.3217458306060274E-2</v>
      </c>
      <c r="P955" s="398">
        <v>2495.4161357915023</v>
      </c>
      <c r="Q955" s="311">
        <v>8.6609549548997272E-2</v>
      </c>
      <c r="R955" s="398">
        <v>3539.2576636331737</v>
      </c>
      <c r="S955" s="311">
        <v>0.12283863504308014</v>
      </c>
      <c r="T955" s="398">
        <v>28812.251637214446</v>
      </c>
      <c r="U955" s="311">
        <v>0.28889908306318818</v>
      </c>
      <c r="V955" s="403"/>
    </row>
    <row r="956" spans="1:22" s="240" customFormat="1" ht="28.5">
      <c r="A956" s="313" t="s">
        <v>303</v>
      </c>
      <c r="B956" s="398">
        <v>3010.5342568756519</v>
      </c>
      <c r="C956" s="311">
        <v>0.11204502163008907</v>
      </c>
      <c r="D956" s="398">
        <v>1964.9725883217861</v>
      </c>
      <c r="E956" s="311">
        <v>7.3131669456415832E-2</v>
      </c>
      <c r="F956" s="398">
        <v>1150.0948456450835</v>
      </c>
      <c r="G956" s="311">
        <v>4.280383176595752E-2</v>
      </c>
      <c r="H956" s="398">
        <v>826.08600014636409</v>
      </c>
      <c r="I956" s="311">
        <v>3.0744982736310454E-2</v>
      </c>
      <c r="J956" s="398">
        <v>3216.6179207697182</v>
      </c>
      <c r="K956" s="311">
        <v>0.11971497208020696</v>
      </c>
      <c r="L956" s="398">
        <v>12252.298397297456</v>
      </c>
      <c r="M956" s="311">
        <v>0.45600179961685861</v>
      </c>
      <c r="N956" s="398">
        <v>388.22322570941708</v>
      </c>
      <c r="O956" s="311">
        <v>1.4448757599276597E-2</v>
      </c>
      <c r="P956" s="398">
        <v>1765.3689098491832</v>
      </c>
      <c r="Q956" s="311">
        <v>6.5702888860137809E-2</v>
      </c>
      <c r="R956" s="398">
        <v>2294.7732489095861</v>
      </c>
      <c r="S956" s="311">
        <v>8.5406076254738478E-2</v>
      </c>
      <c r="T956" s="398">
        <v>26868.96939352448</v>
      </c>
      <c r="U956" s="311">
        <v>0.26941388400953714</v>
      </c>
      <c r="V956" s="403"/>
    </row>
    <row r="957" spans="1:22" s="240" customFormat="1" ht="15.75" thickBot="1">
      <c r="A957" s="310" t="s">
        <v>302</v>
      </c>
      <c r="B957" s="351">
        <v>207.61580882352939</v>
      </c>
      <c r="C957" s="352">
        <v>0.11695341891064957</v>
      </c>
      <c r="D957" s="351">
        <v>86.700367647058812</v>
      </c>
      <c r="E957" s="352">
        <v>4.8839751050713961E-2</v>
      </c>
      <c r="F957" s="351">
        <v>0</v>
      </c>
      <c r="G957" s="352">
        <v>0</v>
      </c>
      <c r="H957" s="351">
        <v>29.397058823529413</v>
      </c>
      <c r="I957" s="352">
        <v>1.6559849439266784E-2</v>
      </c>
      <c r="J957" s="351">
        <v>132.45955882352939</v>
      </c>
      <c r="K957" s="352">
        <v>7.4616660261048379E-2</v>
      </c>
      <c r="L957" s="351">
        <v>824.0326044891641</v>
      </c>
      <c r="M957" s="352">
        <v>0.46419119495264893</v>
      </c>
      <c r="N957" s="351">
        <v>0</v>
      </c>
      <c r="O957" s="352">
        <v>0</v>
      </c>
      <c r="P957" s="351">
        <v>310.67830882352939</v>
      </c>
      <c r="Q957" s="352">
        <v>0.17501022973243116</v>
      </c>
      <c r="R957" s="351">
        <v>184.31714396284829</v>
      </c>
      <c r="S957" s="352">
        <v>0.10382889565324119</v>
      </c>
      <c r="T957" s="351">
        <v>1775.2008513931887</v>
      </c>
      <c r="U957" s="352">
        <v>1.7799854890829546E-2</v>
      </c>
      <c r="V957" s="403"/>
    </row>
    <row r="961" spans="1:12" ht="15.75" thickBot="1"/>
    <row r="962" spans="1:12" ht="15" customHeight="1">
      <c r="A962" s="775" t="s">
        <v>310</v>
      </c>
      <c r="B962" s="833" t="s">
        <v>337</v>
      </c>
      <c r="C962" s="799"/>
      <c r="D962" s="799"/>
      <c r="E962" s="799"/>
      <c r="F962" s="799"/>
      <c r="G962" s="799"/>
      <c r="H962" s="799"/>
      <c r="I962" s="799"/>
      <c r="J962" s="799"/>
      <c r="K962" s="800"/>
      <c r="L962" s="397"/>
    </row>
    <row r="963" spans="1:12" ht="29.25" customHeight="1">
      <c r="A963" s="776"/>
      <c r="B963" s="848" t="s">
        <v>150</v>
      </c>
      <c r="C963" s="810"/>
      <c r="D963" s="781" t="s">
        <v>149</v>
      </c>
      <c r="E963" s="810"/>
      <c r="F963" s="781" t="s">
        <v>148</v>
      </c>
      <c r="G963" s="810"/>
      <c r="H963" s="781" t="s">
        <v>147</v>
      </c>
      <c r="I963" s="810"/>
      <c r="J963" s="836" t="s">
        <v>9</v>
      </c>
      <c r="K963" s="813"/>
      <c r="L963" s="397"/>
    </row>
    <row r="964" spans="1:12" ht="15.75" customHeight="1" thickBot="1">
      <c r="A964" s="754"/>
      <c r="B964" s="318" t="s">
        <v>7</v>
      </c>
      <c r="C964" s="318" t="s">
        <v>8</v>
      </c>
      <c r="D964" s="318" t="s">
        <v>7</v>
      </c>
      <c r="E964" s="318" t="s">
        <v>8</v>
      </c>
      <c r="F964" s="318" t="s">
        <v>7</v>
      </c>
      <c r="G964" s="318" t="s">
        <v>8</v>
      </c>
      <c r="H964" s="318" t="s">
        <v>7</v>
      </c>
      <c r="I964" s="318" t="s">
        <v>8</v>
      </c>
      <c r="J964" s="318" t="s">
        <v>7</v>
      </c>
      <c r="K964" s="317" t="s">
        <v>6</v>
      </c>
      <c r="L964" s="397"/>
    </row>
    <row r="965" spans="1:12" ht="15.75" customHeight="1">
      <c r="A965" s="316" t="s">
        <v>5</v>
      </c>
      <c r="B965" s="400">
        <v>38354.398273999941</v>
      </c>
      <c r="C965" s="399">
        <v>0.24565477650963852</v>
      </c>
      <c r="D965" s="400">
        <v>80496.481934199357</v>
      </c>
      <c r="E965" s="399">
        <v>0.51556916987960488</v>
      </c>
      <c r="F965" s="400">
        <v>28150.474238300023</v>
      </c>
      <c r="G965" s="399">
        <v>0.18030001170264065</v>
      </c>
      <c r="H965" s="400">
        <v>9129.9401245000117</v>
      </c>
      <c r="I965" s="399">
        <v>5.8476041908101378E-2</v>
      </c>
      <c r="J965" s="400">
        <v>156131.29457100161</v>
      </c>
      <c r="K965" s="399">
        <v>1</v>
      </c>
      <c r="L965" s="397"/>
    </row>
    <row r="966" spans="1:12">
      <c r="A966" s="313" t="s">
        <v>309</v>
      </c>
      <c r="B966" s="398">
        <v>482.98896400000012</v>
      </c>
      <c r="C966" s="311">
        <v>0.19509274478505398</v>
      </c>
      <c r="D966" s="398">
        <v>1283.4810022000001</v>
      </c>
      <c r="E966" s="311">
        <v>0.51843385721473723</v>
      </c>
      <c r="F966" s="398">
        <v>709.21904280000012</v>
      </c>
      <c r="G966" s="311">
        <v>0.2864733980002091</v>
      </c>
      <c r="H966" s="398">
        <v>0</v>
      </c>
      <c r="I966" s="311">
        <v>0</v>
      </c>
      <c r="J966" s="398">
        <v>2475.6890089999997</v>
      </c>
      <c r="K966" s="311">
        <v>1.5856456041067193E-2</v>
      </c>
      <c r="L966" s="397"/>
    </row>
    <row r="967" spans="1:12">
      <c r="A967" s="313" t="s">
        <v>308</v>
      </c>
      <c r="B967" s="398">
        <v>1342.4478120000006</v>
      </c>
      <c r="C967" s="311">
        <v>0.26789433868464996</v>
      </c>
      <c r="D967" s="398">
        <v>2525.0287200000012</v>
      </c>
      <c r="E967" s="311">
        <v>0.50388617945331948</v>
      </c>
      <c r="F967" s="398">
        <v>837.25234299999988</v>
      </c>
      <c r="G967" s="311">
        <v>0.16707924191555729</v>
      </c>
      <c r="H967" s="398">
        <v>306.380425</v>
      </c>
      <c r="I967" s="311">
        <v>6.1140239946472469E-2</v>
      </c>
      <c r="J967" s="398">
        <v>5011.1093000000055</v>
      </c>
      <c r="K967" s="311">
        <v>3.209548293165003E-2</v>
      </c>
      <c r="L967" s="397"/>
    </row>
    <row r="968" spans="1:12">
      <c r="A968" s="313" t="s">
        <v>307</v>
      </c>
      <c r="B968" s="398">
        <v>5976.9792129999978</v>
      </c>
      <c r="C968" s="311">
        <v>0.46268500322152351</v>
      </c>
      <c r="D968" s="398">
        <v>3205.9896629999989</v>
      </c>
      <c r="E968" s="311">
        <v>0.24817943725268332</v>
      </c>
      <c r="F968" s="398">
        <v>2784.8031909999991</v>
      </c>
      <c r="G968" s="311">
        <v>0.21557489619449743</v>
      </c>
      <c r="H968" s="398">
        <v>950.25892900000008</v>
      </c>
      <c r="I968" s="311">
        <v>7.356066333129585E-2</v>
      </c>
      <c r="J968" s="398">
        <v>12918.030995999994</v>
      </c>
      <c r="K968" s="311">
        <v>8.2738255847391612E-2</v>
      </c>
      <c r="L968" s="397"/>
    </row>
    <row r="969" spans="1:12">
      <c r="A969" s="313" t="s">
        <v>306</v>
      </c>
      <c r="B969" s="398">
        <v>4054.3670000000002</v>
      </c>
      <c r="C969" s="311">
        <v>0.27435469105324878</v>
      </c>
      <c r="D969" s="398">
        <v>6325.0840139999982</v>
      </c>
      <c r="E969" s="311">
        <v>0.42801168975250931</v>
      </c>
      <c r="F969" s="398">
        <v>3719.9517385000017</v>
      </c>
      <c r="G969" s="311">
        <v>0.25172516694940628</v>
      </c>
      <c r="H969" s="398">
        <v>678.4273055000001</v>
      </c>
      <c r="I969" s="311">
        <v>4.5908452244836376E-2</v>
      </c>
      <c r="J969" s="398">
        <v>14777.830057999989</v>
      </c>
      <c r="K969" s="311">
        <v>9.4650019386598283E-2</v>
      </c>
      <c r="L969" s="397"/>
    </row>
    <row r="970" spans="1:12">
      <c r="A970" s="313" t="s">
        <v>305</v>
      </c>
      <c r="B970" s="398">
        <v>3718.9347619999985</v>
      </c>
      <c r="C970" s="311">
        <v>0.19829160197378756</v>
      </c>
      <c r="D970" s="398">
        <v>7596.493065000006</v>
      </c>
      <c r="E970" s="311">
        <v>0.40504092586758295</v>
      </c>
      <c r="F970" s="398">
        <v>5831.5715900000032</v>
      </c>
      <c r="G970" s="311">
        <v>0.31093626175471173</v>
      </c>
      <c r="H970" s="398">
        <v>1607.8783740000006</v>
      </c>
      <c r="I970" s="311">
        <v>8.5731210403918609E-2</v>
      </c>
      <c r="J970" s="398">
        <v>18754.877790999992</v>
      </c>
      <c r="K970" s="311">
        <v>0.1201224766792099</v>
      </c>
      <c r="L970" s="397"/>
    </row>
    <row r="971" spans="1:12" ht="28.5">
      <c r="A971" s="313" t="s">
        <v>304</v>
      </c>
      <c r="B971" s="398">
        <v>12109.443659999981</v>
      </c>
      <c r="C971" s="311">
        <v>0.20789726575235737</v>
      </c>
      <c r="D971" s="398">
        <v>36376.935350999804</v>
      </c>
      <c r="E971" s="311">
        <v>0.62452624647853905</v>
      </c>
      <c r="F971" s="398">
        <v>7155.091728000014</v>
      </c>
      <c r="G971" s="311">
        <v>0.1228399956450613</v>
      </c>
      <c r="H971" s="398">
        <v>2605.7775650000003</v>
      </c>
      <c r="I971" s="311">
        <v>4.4736492124059862E-2</v>
      </c>
      <c r="J971" s="398">
        <v>58247.248303998778</v>
      </c>
      <c r="K971" s="311">
        <v>0.37306581274460965</v>
      </c>
      <c r="L971" s="397"/>
    </row>
    <row r="972" spans="1:12" ht="28.5">
      <c r="A972" s="313" t="s">
        <v>303</v>
      </c>
      <c r="B972" s="398">
        <v>9589.3118650000088</v>
      </c>
      <c r="C972" s="311">
        <v>0.23083973931395113</v>
      </c>
      <c r="D972" s="398">
        <v>22338.020125000054</v>
      </c>
      <c r="E972" s="311">
        <v>0.53773438751799341</v>
      </c>
      <c r="F972" s="398">
        <v>6632.4429209999998</v>
      </c>
      <c r="G972" s="311">
        <v>0.15966019423003711</v>
      </c>
      <c r="H972" s="398">
        <v>2981.2175259999976</v>
      </c>
      <c r="I972" s="311">
        <v>7.176567893800806E-2</v>
      </c>
      <c r="J972" s="398">
        <v>41540.992437000488</v>
      </c>
      <c r="K972" s="311">
        <v>0.26606448470911437</v>
      </c>
      <c r="L972" s="397"/>
    </row>
    <row r="973" spans="1:12" ht="15.75" thickBot="1">
      <c r="A973" s="313" t="s">
        <v>302</v>
      </c>
      <c r="B973" s="398">
        <v>1079.9249979999997</v>
      </c>
      <c r="C973" s="311">
        <v>0.44893681626674353</v>
      </c>
      <c r="D973" s="398">
        <v>845.44999399999983</v>
      </c>
      <c r="E973" s="311">
        <v>0.35146295281804135</v>
      </c>
      <c r="F973" s="398">
        <v>480.14168399999994</v>
      </c>
      <c r="G973" s="311">
        <v>0.19960023091521478</v>
      </c>
      <c r="H973" s="398">
        <v>0</v>
      </c>
      <c r="I973" s="311">
        <v>0</v>
      </c>
      <c r="J973" s="398">
        <v>2405.5166760000002</v>
      </c>
      <c r="K973" s="311">
        <v>1.5407011660343837E-2</v>
      </c>
      <c r="L973" s="397"/>
    </row>
    <row r="974" spans="1:12" ht="15" customHeight="1">
      <c r="A974" s="316" t="s">
        <v>4</v>
      </c>
      <c r="B974" s="400">
        <v>32429.976357471671</v>
      </c>
      <c r="C974" s="399">
        <v>0.2264181841748433</v>
      </c>
      <c r="D974" s="400">
        <v>80060.868802078592</v>
      </c>
      <c r="E974" s="399">
        <v>0.5589654564595633</v>
      </c>
      <c r="F974" s="400">
        <v>21205.479482460636</v>
      </c>
      <c r="G974" s="399">
        <v>0.1480514850227278</v>
      </c>
      <c r="H974" s="400">
        <v>9534.1163036193902</v>
      </c>
      <c r="I974" s="399">
        <v>6.6564874342867675E-2</v>
      </c>
      <c r="J974" s="400">
        <v>143230.44094562999</v>
      </c>
      <c r="K974" s="399">
        <v>1</v>
      </c>
      <c r="L974" s="397"/>
    </row>
    <row r="975" spans="1:12">
      <c r="A975" s="313" t="s">
        <v>309</v>
      </c>
      <c r="B975" s="398">
        <v>719.79207634470799</v>
      </c>
      <c r="C975" s="311">
        <v>0.20009118107019069</v>
      </c>
      <c r="D975" s="398">
        <v>1535.21009253904</v>
      </c>
      <c r="E975" s="311">
        <v>0.42676490989865246</v>
      </c>
      <c r="F975" s="398">
        <v>1022.2298293811448</v>
      </c>
      <c r="G975" s="311">
        <v>0.28416424771547372</v>
      </c>
      <c r="H975" s="398">
        <v>320.08834586466168</v>
      </c>
      <c r="I975" s="311">
        <v>8.8979661315682287E-2</v>
      </c>
      <c r="J975" s="398">
        <v>3597.3203441295577</v>
      </c>
      <c r="K975" s="311">
        <v>2.5115613136282206E-2</v>
      </c>
      <c r="L975" s="397"/>
    </row>
    <row r="976" spans="1:12">
      <c r="A976" s="313" t="s">
        <v>308</v>
      </c>
      <c r="B976" s="398">
        <v>811.46376739442383</v>
      </c>
      <c r="C976" s="311">
        <v>0.18470252158464734</v>
      </c>
      <c r="D976" s="398">
        <v>2833.9108964575776</v>
      </c>
      <c r="E976" s="311">
        <v>0.64504480613180848</v>
      </c>
      <c r="F976" s="398">
        <v>545.0603542744999</v>
      </c>
      <c r="G976" s="311">
        <v>0.12406471600522771</v>
      </c>
      <c r="H976" s="398">
        <v>202.92009382597672</v>
      </c>
      <c r="I976" s="311">
        <v>4.6187956278315873E-2</v>
      </c>
      <c r="J976" s="398">
        <v>4393.3551119524809</v>
      </c>
      <c r="K976" s="311">
        <v>3.0673333705788078E-2</v>
      </c>
      <c r="L976" s="397"/>
    </row>
    <row r="977" spans="1:12">
      <c r="A977" s="313" t="s">
        <v>307</v>
      </c>
      <c r="B977" s="398">
        <v>4551.3400730565436</v>
      </c>
      <c r="C977" s="311">
        <v>0.32691469503007925</v>
      </c>
      <c r="D977" s="398">
        <v>5687.0795390235116</v>
      </c>
      <c r="E977" s="311">
        <v>0.4084928489782349</v>
      </c>
      <c r="F977" s="398">
        <v>2362.3038534753305</v>
      </c>
      <c r="G977" s="311">
        <v>0.1696801011198959</v>
      </c>
      <c r="H977" s="398">
        <v>1321.3795853269535</v>
      </c>
      <c r="I977" s="311">
        <v>9.4912354871788299E-2</v>
      </c>
      <c r="J977" s="398">
        <v>13922.103050882362</v>
      </c>
      <c r="K977" s="311">
        <v>9.7200727435916831E-2</v>
      </c>
      <c r="L977" s="397"/>
    </row>
    <row r="978" spans="1:12">
      <c r="A978" s="313" t="s">
        <v>306</v>
      </c>
      <c r="B978" s="398">
        <v>3496.0033358409887</v>
      </c>
      <c r="C978" s="311">
        <v>0.24585777419371183</v>
      </c>
      <c r="D978" s="398">
        <v>7188.1437796959226</v>
      </c>
      <c r="E978" s="311">
        <v>0.50550896566444126</v>
      </c>
      <c r="F978" s="398">
        <v>3091.4842770034857</v>
      </c>
      <c r="G978" s="311">
        <v>0.2174098163771043</v>
      </c>
      <c r="H978" s="398">
        <v>443.9854054482102</v>
      </c>
      <c r="I978" s="311">
        <v>3.122344376474432E-2</v>
      </c>
      <c r="J978" s="398">
        <v>14219.616797988583</v>
      </c>
      <c r="K978" s="311">
        <v>9.9277895844685174E-2</v>
      </c>
      <c r="L978" s="397"/>
    </row>
    <row r="979" spans="1:12">
      <c r="A979" s="313" t="s">
        <v>305</v>
      </c>
      <c r="B979" s="398">
        <v>3077.8186004512449</v>
      </c>
      <c r="C979" s="311">
        <v>0.20422378296878527</v>
      </c>
      <c r="D979" s="398">
        <v>5542.5906087621779</v>
      </c>
      <c r="E979" s="311">
        <v>0.36776982938589048</v>
      </c>
      <c r="F979" s="398">
        <v>4590.3124211800196</v>
      </c>
      <c r="G979" s="311">
        <v>0.30458291711036711</v>
      </c>
      <c r="H979" s="398">
        <v>1860.0921392333794</v>
      </c>
      <c r="I979" s="311">
        <v>0.12342347053495843</v>
      </c>
      <c r="J979" s="398">
        <v>15070.813769626802</v>
      </c>
      <c r="K979" s="311">
        <v>0.10522074546532784</v>
      </c>
      <c r="L979" s="397"/>
    </row>
    <row r="980" spans="1:12" ht="28.5">
      <c r="A980" s="313" t="s">
        <v>304</v>
      </c>
      <c r="B980" s="398">
        <v>11332.628461808023</v>
      </c>
      <c r="C980" s="311">
        <v>0.22787005811777308</v>
      </c>
      <c r="D980" s="398">
        <v>30752.450237228117</v>
      </c>
      <c r="E980" s="311">
        <v>0.61835280724478103</v>
      </c>
      <c r="F980" s="398">
        <v>4725.9233107759119</v>
      </c>
      <c r="G980" s="311">
        <v>9.5026182417952146E-2</v>
      </c>
      <c r="H980" s="398">
        <v>2921.8525627306899</v>
      </c>
      <c r="I980" s="311">
        <v>5.8750952219498026E-2</v>
      </c>
      <c r="J980" s="398">
        <v>49732.854572542528</v>
      </c>
      <c r="K980" s="311">
        <v>0.34722265912328676</v>
      </c>
      <c r="L980" s="397"/>
    </row>
    <row r="981" spans="1:12" ht="28.5">
      <c r="A981" s="313" t="s">
        <v>303</v>
      </c>
      <c r="B981" s="398">
        <v>7673.6692290835808</v>
      </c>
      <c r="C981" s="311">
        <v>0.19025977628870602</v>
      </c>
      <c r="D981" s="398">
        <v>25614.65100948359</v>
      </c>
      <c r="E981" s="311">
        <v>0.63508572304720401</v>
      </c>
      <c r="F981" s="398">
        <v>4593.1841863702211</v>
      </c>
      <c r="G981" s="311">
        <v>0.11388270326267175</v>
      </c>
      <c r="H981" s="398">
        <v>2451.0838854752437</v>
      </c>
      <c r="I981" s="311">
        <v>6.0771797401419227E-2</v>
      </c>
      <c r="J981" s="398">
        <v>40332.588310412597</v>
      </c>
      <c r="K981" s="311">
        <v>0.28159229311960837</v>
      </c>
      <c r="L981" s="397"/>
    </row>
    <row r="982" spans="1:12" ht="15.75" thickBot="1">
      <c r="A982" s="313" t="s">
        <v>302</v>
      </c>
      <c r="B982" s="398">
        <v>767.26081349206356</v>
      </c>
      <c r="C982" s="311">
        <v>0.39110262018394792</v>
      </c>
      <c r="D982" s="398">
        <v>906.83263888888882</v>
      </c>
      <c r="E982" s="311">
        <v>0.46224779749088135</v>
      </c>
      <c r="F982" s="398">
        <v>274.98124999999999</v>
      </c>
      <c r="G982" s="311">
        <v>0.14016861735317812</v>
      </c>
      <c r="H982" s="398">
        <v>12.714285714285715</v>
      </c>
      <c r="I982" s="311">
        <v>6.4809649719924298E-3</v>
      </c>
      <c r="J982" s="398">
        <v>1961.7889880952384</v>
      </c>
      <c r="K982" s="311">
        <v>1.3696732169105936E-2</v>
      </c>
      <c r="L982" s="397"/>
    </row>
    <row r="983" spans="1:12" ht="15.75" customHeight="1">
      <c r="A983" s="316" t="s">
        <v>3</v>
      </c>
      <c r="B983" s="400">
        <v>20537.639242485486</v>
      </c>
      <c r="C983" s="399">
        <v>0.20592993633906206</v>
      </c>
      <c r="D983" s="400">
        <v>57236.977451357983</v>
      </c>
      <c r="E983" s="399">
        <v>0.57391246304568111</v>
      </c>
      <c r="F983" s="400">
        <v>14715.641056855731</v>
      </c>
      <c r="G983" s="399">
        <v>0.14755303617165141</v>
      </c>
      <c r="H983" s="400">
        <v>7240.9401877620394</v>
      </c>
      <c r="I983" s="399">
        <v>7.2604564443616904E-2</v>
      </c>
      <c r="J983" s="400">
        <v>99731.1979384601</v>
      </c>
      <c r="K983" s="399">
        <v>1</v>
      </c>
      <c r="L983" s="397"/>
    </row>
    <row r="984" spans="1:12">
      <c r="A984" s="313" t="s">
        <v>309</v>
      </c>
      <c r="B984" s="398">
        <v>226.16993464052288</v>
      </c>
      <c r="C984" s="311">
        <v>0.17332334737123542</v>
      </c>
      <c r="D984" s="398">
        <v>440.86013071895411</v>
      </c>
      <c r="E984" s="311">
        <v>0.33784929769811639</v>
      </c>
      <c r="F984" s="398">
        <v>590.34759358288773</v>
      </c>
      <c r="G984" s="311">
        <v>0.45240770483030812</v>
      </c>
      <c r="H984" s="398">
        <v>47.524064171123001</v>
      </c>
      <c r="I984" s="311">
        <v>3.6419650100339228E-2</v>
      </c>
      <c r="J984" s="398">
        <v>1304.9017231134887</v>
      </c>
      <c r="K984" s="311">
        <v>1.3084187797670779E-2</v>
      </c>
      <c r="L984" s="397"/>
    </row>
    <row r="985" spans="1:12">
      <c r="A985" s="313" t="s">
        <v>308</v>
      </c>
      <c r="B985" s="398">
        <v>852.41085131353213</v>
      </c>
      <c r="C985" s="311">
        <v>0.20131636277062689</v>
      </c>
      <c r="D985" s="398">
        <v>2732.3922341588691</v>
      </c>
      <c r="E985" s="311">
        <v>0.64531706206687289</v>
      </c>
      <c r="F985" s="398">
        <v>507.0978754777164</v>
      </c>
      <c r="G985" s="311">
        <v>0.11976278774791975</v>
      </c>
      <c r="H985" s="398">
        <v>142.2846739490235</v>
      </c>
      <c r="I985" s="311">
        <v>3.3603787414581039E-2</v>
      </c>
      <c r="J985" s="398">
        <v>4234.1856348991387</v>
      </c>
      <c r="K985" s="311">
        <v>4.2455978895509457E-2</v>
      </c>
      <c r="L985" s="397"/>
    </row>
    <row r="986" spans="1:12">
      <c r="A986" s="313" t="s">
        <v>307</v>
      </c>
      <c r="B986" s="398">
        <v>3432.1438078703713</v>
      </c>
      <c r="C986" s="311">
        <v>0.27910874681244757</v>
      </c>
      <c r="D986" s="398">
        <v>5319.3642939814799</v>
      </c>
      <c r="E986" s="311">
        <v>0.43258126262876162</v>
      </c>
      <c r="F986" s="398">
        <v>2229.1938657407409</v>
      </c>
      <c r="G986" s="311">
        <v>0.18128246982021368</v>
      </c>
      <c r="H986" s="398">
        <v>1316.095775462963</v>
      </c>
      <c r="I986" s="311">
        <v>0.10702752073857677</v>
      </c>
      <c r="J986" s="398">
        <v>12296.79774305556</v>
      </c>
      <c r="K986" s="311">
        <v>0.12329940878323142</v>
      </c>
      <c r="L986" s="397"/>
    </row>
    <row r="987" spans="1:12">
      <c r="A987" s="313" t="s">
        <v>306</v>
      </c>
      <c r="B987" s="398">
        <v>2247.7015533980575</v>
      </c>
      <c r="C987" s="311">
        <v>0.23122685851644068</v>
      </c>
      <c r="D987" s="398">
        <v>4455.8744983818697</v>
      </c>
      <c r="E987" s="311">
        <v>0.45838730709009573</v>
      </c>
      <c r="F987" s="398">
        <v>2586.8399820208538</v>
      </c>
      <c r="G987" s="311">
        <v>0.26611490374384184</v>
      </c>
      <c r="H987" s="398">
        <v>430.34723660553755</v>
      </c>
      <c r="I987" s="311">
        <v>4.427093064962058E-2</v>
      </c>
      <c r="J987" s="398">
        <v>9720.763270406329</v>
      </c>
      <c r="K987" s="311">
        <v>9.7469633087176988E-2</v>
      </c>
      <c r="L987" s="397"/>
    </row>
    <row r="988" spans="1:12">
      <c r="A988" s="313" t="s">
        <v>305</v>
      </c>
      <c r="B988" s="398">
        <v>3411.4216095146598</v>
      </c>
      <c r="C988" s="311">
        <v>0.23178366722725977</v>
      </c>
      <c r="D988" s="398">
        <v>6271.8421554629886</v>
      </c>
      <c r="E988" s="311">
        <v>0.42613043518550936</v>
      </c>
      <c r="F988" s="398">
        <v>3113.5661831592611</v>
      </c>
      <c r="G988" s="311">
        <v>0.2115463494968326</v>
      </c>
      <c r="H988" s="398">
        <v>1921.2977367177793</v>
      </c>
      <c r="I988" s="311">
        <v>0.13053954809040363</v>
      </c>
      <c r="J988" s="398">
        <v>14718.127684854609</v>
      </c>
      <c r="K988" s="311">
        <v>0.14757796947286789</v>
      </c>
      <c r="L988" s="397"/>
    </row>
    <row r="989" spans="1:12" ht="28.5">
      <c r="A989" s="313" t="s">
        <v>304</v>
      </c>
      <c r="B989" s="398">
        <v>5172.1933537642917</v>
      </c>
      <c r="C989" s="311">
        <v>0.17951368115513019</v>
      </c>
      <c r="D989" s="398">
        <v>19636.13365411554</v>
      </c>
      <c r="E989" s="311">
        <v>0.68152027482479494</v>
      </c>
      <c r="F989" s="398">
        <v>2675.3858415541858</v>
      </c>
      <c r="G989" s="311">
        <v>9.2855840468178033E-2</v>
      </c>
      <c r="H989" s="398">
        <v>1328.5387877803296</v>
      </c>
      <c r="I989" s="311">
        <v>4.6110203551893318E-2</v>
      </c>
      <c r="J989" s="398">
        <v>28812.251637214446</v>
      </c>
      <c r="K989" s="311">
        <v>0.28889908306318818</v>
      </c>
      <c r="L989" s="397"/>
    </row>
    <row r="990" spans="1:12" ht="28.5">
      <c r="A990" s="313" t="s">
        <v>303</v>
      </c>
      <c r="B990" s="398">
        <v>4695.1319942131749</v>
      </c>
      <c r="C990" s="311">
        <v>0.174741796957226</v>
      </c>
      <c r="D990" s="398">
        <v>17590.491908686581</v>
      </c>
      <c r="E990" s="311">
        <v>0.65467683747207484</v>
      </c>
      <c r="F990" s="398">
        <v>2660.9531363727583</v>
      </c>
      <c r="G990" s="311">
        <v>9.9034432523268184E-2</v>
      </c>
      <c r="H990" s="398">
        <v>1922.3923542517596</v>
      </c>
      <c r="I990" s="311">
        <v>7.1546933047423225E-2</v>
      </c>
      <c r="J990" s="398">
        <v>26868.96939352448</v>
      </c>
      <c r="K990" s="311">
        <v>0.26941388400953714</v>
      </c>
      <c r="L990" s="397"/>
    </row>
    <row r="991" spans="1:12" ht="15.75" thickBot="1">
      <c r="A991" s="310" t="s">
        <v>302</v>
      </c>
      <c r="B991" s="351">
        <v>500.46613777089783</v>
      </c>
      <c r="C991" s="352">
        <v>0.2819208527182312</v>
      </c>
      <c r="D991" s="351">
        <v>790.01857585139317</v>
      </c>
      <c r="E991" s="352">
        <v>0.44503053005601123</v>
      </c>
      <c r="F991" s="351">
        <v>352.25657894736844</v>
      </c>
      <c r="G991" s="352">
        <v>0.19843195696470925</v>
      </c>
      <c r="H991" s="351">
        <v>132.45955882352942</v>
      </c>
      <c r="I991" s="352">
        <v>7.4616660261048393E-2</v>
      </c>
      <c r="J991" s="351">
        <v>1775.2008513931887</v>
      </c>
      <c r="K991" s="352">
        <v>1.7799854890829546E-2</v>
      </c>
      <c r="L991" s="397"/>
    </row>
    <row r="995" spans="1:21" ht="15.75" thickBot="1"/>
    <row r="996" spans="1:21" ht="15" customHeight="1">
      <c r="A996" s="775" t="s">
        <v>310</v>
      </c>
      <c r="B996" s="833" t="s">
        <v>338</v>
      </c>
      <c r="C996" s="799"/>
      <c r="D996" s="799"/>
      <c r="E996" s="799"/>
      <c r="F996" s="799"/>
      <c r="G996" s="799"/>
      <c r="H996" s="799"/>
      <c r="I996" s="799"/>
      <c r="J996" s="799"/>
      <c r="K996" s="799"/>
      <c r="L996" s="799"/>
      <c r="M996" s="799"/>
      <c r="N996" s="799"/>
      <c r="O996" s="799"/>
      <c r="P996" s="799"/>
      <c r="Q996" s="800"/>
      <c r="R996" s="326"/>
    </row>
    <row r="997" spans="1:21" ht="30.75" customHeight="1">
      <c r="A997" s="776"/>
      <c r="B997" s="848" t="s">
        <v>140</v>
      </c>
      <c r="C997" s="810"/>
      <c r="D997" s="781" t="s">
        <v>146</v>
      </c>
      <c r="E997" s="810"/>
      <c r="F997" s="781" t="s">
        <v>145</v>
      </c>
      <c r="G997" s="810"/>
      <c r="H997" s="781" t="s">
        <v>144</v>
      </c>
      <c r="I997" s="810"/>
      <c r="J997" s="781" t="s">
        <v>143</v>
      </c>
      <c r="K997" s="810"/>
      <c r="L997" s="781" t="s">
        <v>142</v>
      </c>
      <c r="M997" s="810"/>
      <c r="N997" s="781" t="s">
        <v>141</v>
      </c>
      <c r="O997" s="810"/>
      <c r="P997" s="836" t="s">
        <v>9</v>
      </c>
      <c r="Q997" s="813"/>
      <c r="R997" s="326"/>
    </row>
    <row r="998" spans="1:21" ht="15.75" customHeight="1" thickBot="1">
      <c r="A998" s="754"/>
      <c r="B998" s="318" t="s">
        <v>7</v>
      </c>
      <c r="C998" s="318" t="s">
        <v>8</v>
      </c>
      <c r="D998" s="318" t="s">
        <v>7</v>
      </c>
      <c r="E998" s="318" t="s">
        <v>8</v>
      </c>
      <c r="F998" s="318" t="s">
        <v>7</v>
      </c>
      <c r="G998" s="318" t="s">
        <v>8</v>
      </c>
      <c r="H998" s="318" t="s">
        <v>7</v>
      </c>
      <c r="I998" s="318" t="s">
        <v>8</v>
      </c>
      <c r="J998" s="318" t="s">
        <v>7</v>
      </c>
      <c r="K998" s="318" t="s">
        <v>8</v>
      </c>
      <c r="L998" s="318" t="s">
        <v>7</v>
      </c>
      <c r="M998" s="318" t="s">
        <v>8</v>
      </c>
      <c r="N998" s="318" t="s">
        <v>7</v>
      </c>
      <c r="O998" s="318" t="s">
        <v>8</v>
      </c>
      <c r="P998" s="318" t="s">
        <v>7</v>
      </c>
      <c r="Q998" s="317" t="s">
        <v>6</v>
      </c>
      <c r="R998" s="326"/>
    </row>
    <row r="999" spans="1:21">
      <c r="A999" s="316" t="s">
        <v>5</v>
      </c>
      <c r="B999" s="400">
        <v>7448.9270545000027</v>
      </c>
      <c r="C999" s="399">
        <v>4.7709378667276467E-2</v>
      </c>
      <c r="D999" s="400">
        <v>37912.372783099912</v>
      </c>
      <c r="E999" s="399">
        <v>0.24282366252884072</v>
      </c>
      <c r="F999" s="400">
        <v>11565.971241999987</v>
      </c>
      <c r="G999" s="399">
        <v>7.4078494473382439E-2</v>
      </c>
      <c r="H999" s="400">
        <v>16129.429200999994</v>
      </c>
      <c r="I999" s="399">
        <v>0.10330683060893371</v>
      </c>
      <c r="J999" s="400">
        <v>37171.0974288</v>
      </c>
      <c r="K999" s="399">
        <v>0.23807589331103785</v>
      </c>
      <c r="L999" s="400">
        <v>12601.703585100007</v>
      </c>
      <c r="M999" s="399">
        <v>8.0712221209242013E-2</v>
      </c>
      <c r="N999" s="400">
        <v>33301.793276500102</v>
      </c>
      <c r="O999" s="399">
        <v>0.21329351920127659</v>
      </c>
      <c r="P999" s="400">
        <v>156131.29457100161</v>
      </c>
      <c r="Q999" s="399">
        <v>1</v>
      </c>
      <c r="R999" s="402"/>
      <c r="S999" s="401"/>
      <c r="T999" s="402"/>
      <c r="U999" s="401"/>
    </row>
    <row r="1000" spans="1:21">
      <c r="A1000" s="313" t="s">
        <v>309</v>
      </c>
      <c r="B1000" s="398">
        <v>173.34975800000001</v>
      </c>
      <c r="C1000" s="311">
        <v>7.0020813345219327E-2</v>
      </c>
      <c r="D1000" s="398">
        <v>538.88461059999997</v>
      </c>
      <c r="E1000" s="311">
        <v>0.21767055904072158</v>
      </c>
      <c r="F1000" s="398">
        <v>63.328198999999998</v>
      </c>
      <c r="G1000" s="311">
        <v>2.558002995116904E-2</v>
      </c>
      <c r="H1000" s="398">
        <v>125.232156</v>
      </c>
      <c r="I1000" s="311">
        <v>5.0584768743059845E-2</v>
      </c>
      <c r="J1000" s="398">
        <v>534.81381379999993</v>
      </c>
      <c r="K1000" s="311">
        <v>0.21602625041181012</v>
      </c>
      <c r="L1000" s="398">
        <v>108.2523576</v>
      </c>
      <c r="M1000" s="311">
        <v>4.3726153489579922E-2</v>
      </c>
      <c r="N1000" s="398">
        <v>931.82811400000014</v>
      </c>
      <c r="O1000" s="311">
        <v>0.37639142501844025</v>
      </c>
      <c r="P1000" s="398">
        <v>2475.6890089999997</v>
      </c>
      <c r="Q1000" s="311">
        <v>1.5856456041067193E-2</v>
      </c>
      <c r="R1000" s="326"/>
    </row>
    <row r="1001" spans="1:21">
      <c r="A1001" s="313" t="s">
        <v>308</v>
      </c>
      <c r="B1001" s="398">
        <v>372.486086</v>
      </c>
      <c r="C1001" s="311">
        <v>7.4332061765246191E-2</v>
      </c>
      <c r="D1001" s="398">
        <v>412.07774199999989</v>
      </c>
      <c r="E1001" s="311">
        <v>8.2232838545349518E-2</v>
      </c>
      <c r="F1001" s="398">
        <v>36.517645999999999</v>
      </c>
      <c r="G1001" s="311">
        <v>7.2873377557340366E-3</v>
      </c>
      <c r="H1001" s="398">
        <v>1326.7441839999999</v>
      </c>
      <c r="I1001" s="311">
        <v>0.26476057586690405</v>
      </c>
      <c r="J1001" s="398">
        <v>906.98696499999971</v>
      </c>
      <c r="K1001" s="311">
        <v>0.18099524690072091</v>
      </c>
      <c r="L1001" s="398">
        <v>1050.20126</v>
      </c>
      <c r="M1001" s="311">
        <v>0.20957460656465801</v>
      </c>
      <c r="N1001" s="398">
        <v>906.09541699999988</v>
      </c>
      <c r="O1001" s="311">
        <v>0.18081733260138605</v>
      </c>
      <c r="P1001" s="398">
        <v>5011.1093000000055</v>
      </c>
      <c r="Q1001" s="311">
        <v>3.209548293165003E-2</v>
      </c>
      <c r="R1001" s="326"/>
    </row>
    <row r="1002" spans="1:21">
      <c r="A1002" s="313" t="s">
        <v>307</v>
      </c>
      <c r="B1002" s="398">
        <v>456.02514599999995</v>
      </c>
      <c r="C1002" s="311">
        <v>3.5301443861003735E-2</v>
      </c>
      <c r="D1002" s="398">
        <v>652.24720199999979</v>
      </c>
      <c r="E1002" s="311">
        <v>5.049122441353214E-2</v>
      </c>
      <c r="F1002" s="398">
        <v>0</v>
      </c>
      <c r="G1002" s="311">
        <v>0</v>
      </c>
      <c r="H1002" s="398">
        <v>0</v>
      </c>
      <c r="I1002" s="311">
        <v>0</v>
      </c>
      <c r="J1002" s="398">
        <v>4102.4561790000007</v>
      </c>
      <c r="K1002" s="311">
        <v>0.31757596651303177</v>
      </c>
      <c r="L1002" s="398">
        <v>1601.8248090000002</v>
      </c>
      <c r="M1002" s="311">
        <v>0.12399914580604408</v>
      </c>
      <c r="N1002" s="398">
        <v>6105.477659999995</v>
      </c>
      <c r="O1002" s="311">
        <v>0.47263221940638833</v>
      </c>
      <c r="P1002" s="398">
        <v>12918.030995999994</v>
      </c>
      <c r="Q1002" s="311">
        <v>8.2738255847391612E-2</v>
      </c>
      <c r="R1002" s="326"/>
    </row>
    <row r="1003" spans="1:21">
      <c r="A1003" s="313" t="s">
        <v>306</v>
      </c>
      <c r="B1003" s="398">
        <v>618.55697950000001</v>
      </c>
      <c r="C1003" s="311">
        <v>4.185709113396819E-2</v>
      </c>
      <c r="D1003" s="398">
        <v>3360.8016294999993</v>
      </c>
      <c r="E1003" s="311">
        <v>0.22742186209406484</v>
      </c>
      <c r="F1003" s="398">
        <v>75.922303999999997</v>
      </c>
      <c r="G1003" s="311">
        <v>5.1375813432703137E-3</v>
      </c>
      <c r="H1003" s="398">
        <v>458.70268400000003</v>
      </c>
      <c r="I1003" s="311">
        <v>3.1039921436346537E-2</v>
      </c>
      <c r="J1003" s="398">
        <v>6678.1834199999976</v>
      </c>
      <c r="K1003" s="311">
        <v>0.45190554998869797</v>
      </c>
      <c r="L1003" s="398">
        <v>289.87392749999998</v>
      </c>
      <c r="M1003" s="311">
        <v>1.9615459533795121E-2</v>
      </c>
      <c r="N1003" s="398">
        <v>3295.7891135000018</v>
      </c>
      <c r="O1003" s="311">
        <v>0.2230225344698577</v>
      </c>
      <c r="P1003" s="398">
        <v>14777.830057999989</v>
      </c>
      <c r="Q1003" s="311">
        <v>9.4650019386598283E-2</v>
      </c>
      <c r="R1003" s="326"/>
    </row>
    <row r="1004" spans="1:21">
      <c r="A1004" s="313" t="s">
        <v>305</v>
      </c>
      <c r="B1004" s="398">
        <v>1351.3838380000002</v>
      </c>
      <c r="C1004" s="311">
        <v>7.2055059652188003E-2</v>
      </c>
      <c r="D1004" s="398">
        <v>4071.9094579999974</v>
      </c>
      <c r="E1004" s="311">
        <v>0.21711202298284274</v>
      </c>
      <c r="F1004" s="398">
        <v>207.51952900000001</v>
      </c>
      <c r="G1004" s="311">
        <v>1.1064829710571805E-2</v>
      </c>
      <c r="H1004" s="398">
        <v>494.44591899999978</v>
      </c>
      <c r="I1004" s="311">
        <v>2.6363590555480574E-2</v>
      </c>
      <c r="J1004" s="398">
        <v>2874.3042610000007</v>
      </c>
      <c r="K1004" s="311">
        <v>0.15325635778758895</v>
      </c>
      <c r="L1004" s="398">
        <v>1763.4835260000004</v>
      </c>
      <c r="M1004" s="311">
        <v>9.4027993445324032E-2</v>
      </c>
      <c r="N1004" s="398">
        <v>7991.8312600000118</v>
      </c>
      <c r="O1004" s="311">
        <v>0.42612014586600488</v>
      </c>
      <c r="P1004" s="398">
        <v>18754.877790999992</v>
      </c>
      <c r="Q1004" s="311">
        <v>0.1201224766792099</v>
      </c>
      <c r="R1004" s="326"/>
    </row>
    <row r="1005" spans="1:21" ht="28.5">
      <c r="A1005" s="313" t="s">
        <v>304</v>
      </c>
      <c r="B1005" s="398">
        <v>1770.9626849999995</v>
      </c>
      <c r="C1005" s="311">
        <v>3.0404229153575647E-2</v>
      </c>
      <c r="D1005" s="398">
        <v>20739.79228299997</v>
      </c>
      <c r="E1005" s="311">
        <v>0.35606475648011249</v>
      </c>
      <c r="F1005" s="398">
        <v>9955.2429669999892</v>
      </c>
      <c r="G1005" s="311">
        <v>0.17091353251646299</v>
      </c>
      <c r="H1005" s="398">
        <v>10826.843095999995</v>
      </c>
      <c r="I1005" s="311">
        <v>0.18587733174095217</v>
      </c>
      <c r="J1005" s="398">
        <v>7725.1981870000236</v>
      </c>
      <c r="K1005" s="311">
        <v>0.13262769335782812</v>
      </c>
      <c r="L1005" s="398">
        <v>1319.3119349999997</v>
      </c>
      <c r="M1005" s="311">
        <v>2.2650201913648624E-2</v>
      </c>
      <c r="N1005" s="398">
        <v>5909.8971510000147</v>
      </c>
      <c r="O1005" s="311">
        <v>0.10146225483744079</v>
      </c>
      <c r="P1005" s="398">
        <v>58247.248303998778</v>
      </c>
      <c r="Q1005" s="311">
        <v>0.37306581274460965</v>
      </c>
      <c r="R1005" s="326"/>
    </row>
    <row r="1006" spans="1:21" ht="28.5">
      <c r="A1006" s="313" t="s">
        <v>303</v>
      </c>
      <c r="B1006" s="398">
        <v>2706.1625619999995</v>
      </c>
      <c r="C1006" s="311">
        <v>6.5144388789075372E-2</v>
      </c>
      <c r="D1006" s="398">
        <v>7649.6931920000034</v>
      </c>
      <c r="E1006" s="311">
        <v>0.18414806058380143</v>
      </c>
      <c r="F1006" s="398">
        <v>1227.4405970000005</v>
      </c>
      <c r="G1006" s="311">
        <v>2.9547695541012674E-2</v>
      </c>
      <c r="H1006" s="398">
        <v>2826.9194979999975</v>
      </c>
      <c r="I1006" s="311">
        <v>6.8051323094584171E-2</v>
      </c>
      <c r="J1006" s="398">
        <v>13405.762945000031</v>
      </c>
      <c r="K1006" s="311">
        <v>0.32271166764565651</v>
      </c>
      <c r="L1006" s="398">
        <v>6278.0891000000083</v>
      </c>
      <c r="M1006" s="311">
        <v>0.15112997383298252</v>
      </c>
      <c r="N1006" s="398">
        <v>7446.9245430000001</v>
      </c>
      <c r="O1006" s="311">
        <v>0.17926689051287656</v>
      </c>
      <c r="P1006" s="398">
        <v>41540.992437000488</v>
      </c>
      <c r="Q1006" s="311">
        <v>0.26606448470911437</v>
      </c>
      <c r="R1006" s="326"/>
    </row>
    <row r="1007" spans="1:21" ht="15.75" thickBot="1">
      <c r="A1007" s="313" t="s">
        <v>302</v>
      </c>
      <c r="B1007" s="398">
        <v>0</v>
      </c>
      <c r="C1007" s="311">
        <v>0</v>
      </c>
      <c r="D1007" s="398">
        <v>486.96666599999992</v>
      </c>
      <c r="E1007" s="311">
        <v>0.20243745173687577</v>
      </c>
      <c r="F1007" s="398">
        <v>0</v>
      </c>
      <c r="G1007" s="311">
        <v>0</v>
      </c>
      <c r="H1007" s="398">
        <v>70.541663999999997</v>
      </c>
      <c r="I1007" s="311">
        <v>2.932495322264812E-2</v>
      </c>
      <c r="J1007" s="398">
        <v>943.39165799999978</v>
      </c>
      <c r="K1007" s="311">
        <v>0.39217839036922136</v>
      </c>
      <c r="L1007" s="398">
        <v>190.66667000000001</v>
      </c>
      <c r="M1007" s="311">
        <v>7.9262252430961744E-2</v>
      </c>
      <c r="N1007" s="398">
        <v>713.95001799999989</v>
      </c>
      <c r="O1007" s="311">
        <v>0.29679695224029279</v>
      </c>
      <c r="P1007" s="398">
        <v>2405.5166760000002</v>
      </c>
      <c r="Q1007" s="311">
        <v>1.5407011660343837E-2</v>
      </c>
      <c r="R1007" s="326"/>
    </row>
    <row r="1008" spans="1:21">
      <c r="A1008" s="316" t="s">
        <v>4</v>
      </c>
      <c r="B1008" s="400">
        <v>7852.2685384503684</v>
      </c>
      <c r="C1008" s="399">
        <v>5.4822623505230109E-2</v>
      </c>
      <c r="D1008" s="400">
        <v>32240.59390308721</v>
      </c>
      <c r="E1008" s="399">
        <v>0.22509596207502902</v>
      </c>
      <c r="F1008" s="400">
        <v>11085.022190053991</v>
      </c>
      <c r="G1008" s="399">
        <v>7.7392920924273675E-2</v>
      </c>
      <c r="H1008" s="400">
        <v>12300.515842923032</v>
      </c>
      <c r="I1008" s="399">
        <v>8.5879201109157269E-2</v>
      </c>
      <c r="J1008" s="400">
        <v>34609.035848024956</v>
      </c>
      <c r="K1008" s="399">
        <v>0.24163184599258813</v>
      </c>
      <c r="L1008" s="400">
        <v>12546.293713478508</v>
      </c>
      <c r="M1008" s="399">
        <v>8.7595162247954383E-2</v>
      </c>
      <c r="N1008" s="400">
        <v>32596.710909612339</v>
      </c>
      <c r="O1008" s="399">
        <v>0.22758228414577031</v>
      </c>
      <c r="P1008" s="400">
        <v>143230.44094562999</v>
      </c>
      <c r="Q1008" s="399">
        <v>1</v>
      </c>
      <c r="R1008" s="326"/>
    </row>
    <row r="1009" spans="1:18">
      <c r="A1009" s="313" t="s">
        <v>309</v>
      </c>
      <c r="B1009" s="398">
        <v>144.45467032967034</v>
      </c>
      <c r="C1009" s="311">
        <v>4.0156187525919096E-2</v>
      </c>
      <c r="D1009" s="398">
        <v>597.24812030075191</v>
      </c>
      <c r="E1009" s="311">
        <v>0.16602583678025698</v>
      </c>
      <c r="F1009" s="398">
        <v>39.839285714285715</v>
      </c>
      <c r="G1009" s="311">
        <v>1.1074711702920528E-2</v>
      </c>
      <c r="H1009" s="398">
        <v>464.41664256795838</v>
      </c>
      <c r="I1009" s="311">
        <v>0.12910071890757149</v>
      </c>
      <c r="J1009" s="398">
        <v>954.30169172932301</v>
      </c>
      <c r="K1009" s="311">
        <v>0.26528126506349131</v>
      </c>
      <c r="L1009" s="398">
        <v>119.51785714285714</v>
      </c>
      <c r="M1009" s="311">
        <v>3.3224135108761585E-2</v>
      </c>
      <c r="N1009" s="398">
        <v>1277.542076344708</v>
      </c>
      <c r="O1009" s="311">
        <v>0.35513714491107806</v>
      </c>
      <c r="P1009" s="398">
        <v>3597.3203441295577</v>
      </c>
      <c r="Q1009" s="311">
        <v>2.5115613136282206E-2</v>
      </c>
      <c r="R1009" s="326"/>
    </row>
    <row r="1010" spans="1:18">
      <c r="A1010" s="313" t="s">
        <v>308</v>
      </c>
      <c r="B1010" s="398">
        <v>411.34624098777391</v>
      </c>
      <c r="C1010" s="311">
        <v>9.362918100307277E-2</v>
      </c>
      <c r="D1010" s="398">
        <v>358.95443667190295</v>
      </c>
      <c r="E1010" s="311">
        <v>8.1703943233575202E-2</v>
      </c>
      <c r="F1010" s="398">
        <v>123.90618575834726</v>
      </c>
      <c r="G1010" s="311">
        <v>2.8203089120032745E-2</v>
      </c>
      <c r="H1010" s="398">
        <v>1484.0530971548778</v>
      </c>
      <c r="I1010" s="311">
        <v>0.33779493333406863</v>
      </c>
      <c r="J1010" s="398">
        <v>624.65654522357079</v>
      </c>
      <c r="K1010" s="311">
        <v>0.14218212033990643</v>
      </c>
      <c r="L1010" s="398">
        <v>713.04102438947723</v>
      </c>
      <c r="M1010" s="311">
        <v>0.16229988385177219</v>
      </c>
      <c r="N1010" s="398">
        <v>677.3975817665264</v>
      </c>
      <c r="O1010" s="311">
        <v>0.154186849117571</v>
      </c>
      <c r="P1010" s="398">
        <v>4393.3551119524809</v>
      </c>
      <c r="Q1010" s="311">
        <v>3.0673333705788078E-2</v>
      </c>
      <c r="R1010" s="326"/>
    </row>
    <row r="1011" spans="1:18">
      <c r="A1011" s="313" t="s">
        <v>307</v>
      </c>
      <c r="B1011" s="398">
        <v>240.91228070175438</v>
      </c>
      <c r="C1011" s="311">
        <v>1.7304302361595126E-2</v>
      </c>
      <c r="D1011" s="398">
        <v>1275.7909656840043</v>
      </c>
      <c r="E1011" s="311">
        <v>9.1637805080256651E-2</v>
      </c>
      <c r="F1011" s="398">
        <v>0</v>
      </c>
      <c r="G1011" s="311">
        <v>0</v>
      </c>
      <c r="H1011" s="398">
        <v>29.806451612903224</v>
      </c>
      <c r="I1011" s="311">
        <v>2.1409446190684628E-3</v>
      </c>
      <c r="J1011" s="398">
        <v>5852.5967484694156</v>
      </c>
      <c r="K1011" s="311">
        <v>0.42038165692923002</v>
      </c>
      <c r="L1011" s="398">
        <v>1069.553429027113</v>
      </c>
      <c r="M1011" s="311">
        <v>7.6824128159238572E-2</v>
      </c>
      <c r="N1011" s="398">
        <v>5453.4431753871486</v>
      </c>
      <c r="O1011" s="311">
        <v>0.39171116285060953</v>
      </c>
      <c r="P1011" s="398">
        <v>13922.103050882362</v>
      </c>
      <c r="Q1011" s="311">
        <v>9.7200727435916831E-2</v>
      </c>
      <c r="R1011" s="326"/>
    </row>
    <row r="1012" spans="1:18">
      <c r="A1012" s="313" t="s">
        <v>306</v>
      </c>
      <c r="B1012" s="398">
        <v>336.69375000000002</v>
      </c>
      <c r="C1012" s="311">
        <v>2.3678116983266845E-2</v>
      </c>
      <c r="D1012" s="398">
        <v>2751.4715176591685</v>
      </c>
      <c r="E1012" s="311">
        <v>0.19349828878991832</v>
      </c>
      <c r="F1012" s="398">
        <v>0</v>
      </c>
      <c r="G1012" s="311">
        <v>0</v>
      </c>
      <c r="H1012" s="398">
        <v>354.7094967532467</v>
      </c>
      <c r="I1012" s="311">
        <v>2.4945081276973768E-2</v>
      </c>
      <c r="J1012" s="398">
        <v>5382.0425384067194</v>
      </c>
      <c r="K1012" s="311">
        <v>0.37849420380780091</v>
      </c>
      <c r="L1012" s="398">
        <v>321.15178571428572</v>
      </c>
      <c r="M1012" s="311">
        <v>2.2585122389494616E-2</v>
      </c>
      <c r="N1012" s="398">
        <v>5073.5477094551843</v>
      </c>
      <c r="O1012" s="311">
        <v>0.35679918675254713</v>
      </c>
      <c r="P1012" s="398">
        <v>14219.616797988583</v>
      </c>
      <c r="Q1012" s="311">
        <v>9.9277895844685174E-2</v>
      </c>
      <c r="R1012" s="326"/>
    </row>
    <row r="1013" spans="1:18">
      <c r="A1013" s="313" t="s">
        <v>305</v>
      </c>
      <c r="B1013" s="398">
        <v>1304.6254522300362</v>
      </c>
      <c r="C1013" s="311">
        <v>8.6566357475621733E-2</v>
      </c>
      <c r="D1013" s="398">
        <v>3156.2261430398457</v>
      </c>
      <c r="E1013" s="311">
        <v>0.20942639138709251</v>
      </c>
      <c r="F1013" s="398">
        <v>52.911174785100286</v>
      </c>
      <c r="G1013" s="311">
        <v>3.5108372775288117E-3</v>
      </c>
      <c r="H1013" s="398">
        <v>609.98937022862526</v>
      </c>
      <c r="I1013" s="311">
        <v>4.0474879429402595E-2</v>
      </c>
      <c r="J1013" s="398">
        <v>1595.8185414910042</v>
      </c>
      <c r="K1013" s="311">
        <v>0.10588801413677885</v>
      </c>
      <c r="L1013" s="398">
        <v>655.84271975759964</v>
      </c>
      <c r="M1013" s="311">
        <v>4.351740588018959E-2</v>
      </c>
      <c r="N1013" s="398">
        <v>7695.4003680946107</v>
      </c>
      <c r="O1013" s="311">
        <v>0.51061611441338717</v>
      </c>
      <c r="P1013" s="398">
        <v>15070.813769626802</v>
      </c>
      <c r="Q1013" s="311">
        <v>0.10522074546532784</v>
      </c>
      <c r="R1013" s="326"/>
    </row>
    <row r="1014" spans="1:18" ht="28.5">
      <c r="A1014" s="313" t="s">
        <v>304</v>
      </c>
      <c r="B1014" s="398">
        <v>3304.5898302567343</v>
      </c>
      <c r="C1014" s="311">
        <v>6.6446815865687223E-2</v>
      </c>
      <c r="D1014" s="398">
        <v>16563.008093263503</v>
      </c>
      <c r="E1014" s="311">
        <v>0.33303956178714755</v>
      </c>
      <c r="F1014" s="398">
        <v>10242.258812313197</v>
      </c>
      <c r="G1014" s="311">
        <v>0.2059455243489671</v>
      </c>
      <c r="H1014" s="398">
        <v>6781.6643333005732</v>
      </c>
      <c r="I1014" s="311">
        <v>0.13636185559002129</v>
      </c>
      <c r="J1014" s="398">
        <v>5558.2406132497335</v>
      </c>
      <c r="K1014" s="311">
        <v>0.11176194612240163</v>
      </c>
      <c r="L1014" s="398">
        <v>1150.0253920812461</v>
      </c>
      <c r="M1014" s="311">
        <v>2.3124057566487933E-2</v>
      </c>
      <c r="N1014" s="398">
        <v>6133.0674980774247</v>
      </c>
      <c r="O1014" s="311">
        <v>0.12332023871928492</v>
      </c>
      <c r="P1014" s="398">
        <v>49732.854572542528</v>
      </c>
      <c r="Q1014" s="311">
        <v>0.34722265912328676</v>
      </c>
      <c r="R1014" s="326"/>
    </row>
    <row r="1015" spans="1:18" ht="28.5">
      <c r="A1015" s="313" t="s">
        <v>303</v>
      </c>
      <c r="B1015" s="398">
        <v>2042.0525639444163</v>
      </c>
      <c r="C1015" s="311">
        <v>5.0630337637349775E-2</v>
      </c>
      <c r="D1015" s="398">
        <v>7241.7008764678922</v>
      </c>
      <c r="E1015" s="311">
        <v>0.17954961929875238</v>
      </c>
      <c r="F1015" s="398">
        <v>626.1067314830575</v>
      </c>
      <c r="G1015" s="311">
        <v>1.5523594138425689E-2</v>
      </c>
      <c r="H1015" s="398">
        <v>2569.1621655905492</v>
      </c>
      <c r="I1015" s="311">
        <v>6.3699412143288434E-2</v>
      </c>
      <c r="J1015" s="398">
        <v>14009.527780566252</v>
      </c>
      <c r="K1015" s="311">
        <v>0.34735008010754015</v>
      </c>
      <c r="L1015" s="398">
        <v>7900.3006918738902</v>
      </c>
      <c r="M1015" s="311">
        <v>0.19587884196944244</v>
      </c>
      <c r="N1015" s="398">
        <v>5943.7375004866053</v>
      </c>
      <c r="O1015" s="311">
        <v>0.14736811470520281</v>
      </c>
      <c r="P1015" s="398">
        <v>40332.588310412597</v>
      </c>
      <c r="Q1015" s="311">
        <v>0.28159229311960837</v>
      </c>
      <c r="R1015" s="326"/>
    </row>
    <row r="1016" spans="1:18" ht="15.75" thickBot="1">
      <c r="A1016" s="313" t="s">
        <v>302</v>
      </c>
      <c r="B1016" s="398">
        <v>67.59375</v>
      </c>
      <c r="C1016" s="311">
        <v>3.4455158230666215E-2</v>
      </c>
      <c r="D1016" s="398">
        <v>296.19374999999997</v>
      </c>
      <c r="E1016" s="311">
        <v>0.15098145203046717</v>
      </c>
      <c r="F1016" s="398">
        <v>0</v>
      </c>
      <c r="G1016" s="311">
        <v>0</v>
      </c>
      <c r="H1016" s="398">
        <v>6.7142857142857144</v>
      </c>
      <c r="I1016" s="311">
        <v>3.422532063861171E-3</v>
      </c>
      <c r="J1016" s="398">
        <v>631.85138888888889</v>
      </c>
      <c r="K1016" s="311">
        <v>0.32207918013770326</v>
      </c>
      <c r="L1016" s="398">
        <v>616.86081349206347</v>
      </c>
      <c r="M1016" s="311">
        <v>0.31443790195345767</v>
      </c>
      <c r="N1016" s="398">
        <v>342.57499999999999</v>
      </c>
      <c r="O1016" s="311">
        <v>0.17462377558384432</v>
      </c>
      <c r="P1016" s="398">
        <v>1961.7889880952384</v>
      </c>
      <c r="Q1016" s="311">
        <v>1.3696732169105936E-2</v>
      </c>
      <c r="R1016" s="326"/>
    </row>
    <row r="1017" spans="1:18">
      <c r="A1017" s="316" t="s">
        <v>3</v>
      </c>
      <c r="B1017" s="400">
        <v>7180.6211631903234</v>
      </c>
      <c r="C1017" s="399">
        <v>7.1999748440013528E-2</v>
      </c>
      <c r="D1017" s="400">
        <v>21234.504169830729</v>
      </c>
      <c r="E1017" s="399">
        <v>0.21291736797279465</v>
      </c>
      <c r="F1017" s="400">
        <v>6623.8804320400786</v>
      </c>
      <c r="G1017" s="399">
        <v>6.6417335487410828E-2</v>
      </c>
      <c r="H1017" s="400">
        <v>9341.9103294625584</v>
      </c>
      <c r="I1017" s="399">
        <v>9.3670892584956769E-2</v>
      </c>
      <c r="J1017" s="400">
        <v>23419.972747455111</v>
      </c>
      <c r="K1017" s="399">
        <v>0.23483095793060246</v>
      </c>
      <c r="L1017" s="400">
        <v>10504.286757558777</v>
      </c>
      <c r="M1017" s="399">
        <v>0.10532598599728571</v>
      </c>
      <c r="N1017" s="400">
        <v>21426.022338923452</v>
      </c>
      <c r="O1017" s="399">
        <v>0.21483771158694537</v>
      </c>
      <c r="P1017" s="400">
        <v>99731.1979384601</v>
      </c>
      <c r="Q1017" s="399">
        <v>1</v>
      </c>
      <c r="R1017" s="326"/>
    </row>
    <row r="1018" spans="1:18">
      <c r="A1018" s="313" t="s">
        <v>309</v>
      </c>
      <c r="B1018" s="398">
        <v>0</v>
      </c>
      <c r="C1018" s="311">
        <v>0</v>
      </c>
      <c r="D1018" s="398">
        <v>207.1071895424837</v>
      </c>
      <c r="E1018" s="311">
        <v>0.15871477972174566</v>
      </c>
      <c r="F1018" s="398">
        <v>54.555555555555557</v>
      </c>
      <c r="G1018" s="311">
        <v>4.1808171902314825E-2</v>
      </c>
      <c r="H1018" s="398">
        <v>256.24824717765898</v>
      </c>
      <c r="I1018" s="311">
        <v>0.19637359859273695</v>
      </c>
      <c r="J1018" s="398">
        <v>360.92216280451566</v>
      </c>
      <c r="K1018" s="311">
        <v>0.27658953652337681</v>
      </c>
      <c r="L1018" s="398">
        <v>94.673202614379079</v>
      </c>
      <c r="M1018" s="311">
        <v>7.2551979154789767E-2</v>
      </c>
      <c r="N1018" s="398">
        <v>331.39536541889476</v>
      </c>
      <c r="O1018" s="311">
        <v>0.25396193410503526</v>
      </c>
      <c r="P1018" s="398">
        <v>1304.9017231134887</v>
      </c>
      <c r="Q1018" s="311">
        <v>1.3084187797670779E-2</v>
      </c>
      <c r="R1018" s="326"/>
    </row>
    <row r="1019" spans="1:18">
      <c r="A1019" s="313" t="s">
        <v>308</v>
      </c>
      <c r="B1019" s="398">
        <v>167.37831141604727</v>
      </c>
      <c r="C1019" s="311">
        <v>3.9530225136204813E-2</v>
      </c>
      <c r="D1019" s="398">
        <v>681.23089384410127</v>
      </c>
      <c r="E1019" s="311">
        <v>0.16088829177191444</v>
      </c>
      <c r="F1019" s="398">
        <v>94.097484276729546</v>
      </c>
      <c r="G1019" s="311">
        <v>2.222327795483417E-2</v>
      </c>
      <c r="H1019" s="398">
        <v>1580.5255384028983</v>
      </c>
      <c r="I1019" s="311">
        <v>0.37327733705764826</v>
      </c>
      <c r="J1019" s="398">
        <v>738.67035799905659</v>
      </c>
      <c r="K1019" s="311">
        <v>0.17445393794517755</v>
      </c>
      <c r="L1019" s="398">
        <v>458.75589559949032</v>
      </c>
      <c r="M1019" s="311">
        <v>0.10834572103271004</v>
      </c>
      <c r="N1019" s="398">
        <v>513.52715336081758</v>
      </c>
      <c r="O1019" s="311">
        <v>0.12128120910151124</v>
      </c>
      <c r="P1019" s="398">
        <v>4234.1856348991387</v>
      </c>
      <c r="Q1019" s="311">
        <v>4.2455978895509457E-2</v>
      </c>
      <c r="R1019" s="326"/>
    </row>
    <row r="1020" spans="1:18">
      <c r="A1020" s="313" t="s">
        <v>307</v>
      </c>
      <c r="B1020" s="398">
        <v>95.6640625</v>
      </c>
      <c r="C1020" s="311">
        <v>7.7795914431482704E-3</v>
      </c>
      <c r="D1020" s="398">
        <v>649.30700231481467</v>
      </c>
      <c r="E1020" s="311">
        <v>5.2802934217691062E-2</v>
      </c>
      <c r="F1020" s="398">
        <v>0</v>
      </c>
      <c r="G1020" s="311">
        <v>0</v>
      </c>
      <c r="H1020" s="398">
        <v>0</v>
      </c>
      <c r="I1020" s="311">
        <v>0</v>
      </c>
      <c r="J1020" s="398">
        <v>4794.6417824074078</v>
      </c>
      <c r="K1020" s="311">
        <v>0.38990978648202235</v>
      </c>
      <c r="L1020" s="398">
        <v>1579.8868634259261</v>
      </c>
      <c r="M1020" s="311">
        <v>0.12847953560252257</v>
      </c>
      <c r="N1020" s="398">
        <v>5177.2980324074069</v>
      </c>
      <c r="O1020" s="311">
        <v>0.42102815225461532</v>
      </c>
      <c r="P1020" s="398">
        <v>12296.79774305556</v>
      </c>
      <c r="Q1020" s="311">
        <v>0.12329940878323142</v>
      </c>
      <c r="R1020" s="326"/>
    </row>
    <row r="1021" spans="1:18">
      <c r="A1021" s="313" t="s">
        <v>306</v>
      </c>
      <c r="B1021" s="398">
        <v>504.20846637900047</v>
      </c>
      <c r="C1021" s="311">
        <v>5.1869225939695625E-2</v>
      </c>
      <c r="D1021" s="398">
        <v>1985.3894264652999</v>
      </c>
      <c r="E1021" s="311">
        <v>0.20424213317791357</v>
      </c>
      <c r="F1021" s="398">
        <v>0</v>
      </c>
      <c r="G1021" s="311">
        <v>0</v>
      </c>
      <c r="H1021" s="398">
        <v>312.66895541172244</v>
      </c>
      <c r="I1021" s="311">
        <v>3.2165062219301717E-2</v>
      </c>
      <c r="J1021" s="398">
        <v>3893.703847536849</v>
      </c>
      <c r="K1021" s="311">
        <v>0.40055536167522487</v>
      </c>
      <c r="L1021" s="398">
        <v>477.99107335490839</v>
      </c>
      <c r="M1021" s="311">
        <v>4.9172175070870579E-2</v>
      </c>
      <c r="N1021" s="398">
        <v>2546.8015012585388</v>
      </c>
      <c r="O1021" s="311">
        <v>0.26199604191699261</v>
      </c>
      <c r="P1021" s="398">
        <v>9720.763270406329</v>
      </c>
      <c r="Q1021" s="311">
        <v>9.7469633087176988E-2</v>
      </c>
      <c r="R1021" s="326"/>
    </row>
    <row r="1022" spans="1:18">
      <c r="A1022" s="313" t="s">
        <v>305</v>
      </c>
      <c r="B1022" s="398">
        <v>1746.8943142158123</v>
      </c>
      <c r="C1022" s="311">
        <v>0.11868998228717763</v>
      </c>
      <c r="D1022" s="398">
        <v>3108.6273859681164</v>
      </c>
      <c r="E1022" s="311">
        <v>0.21121079070179466</v>
      </c>
      <c r="F1022" s="398">
        <v>91.908536585365852</v>
      </c>
      <c r="G1022" s="311">
        <v>6.244580734269786E-3</v>
      </c>
      <c r="H1022" s="398">
        <v>642.85582677223101</v>
      </c>
      <c r="I1022" s="311">
        <v>4.3677826455721595E-2</v>
      </c>
      <c r="J1022" s="398">
        <v>1951.4347232367597</v>
      </c>
      <c r="K1022" s="311">
        <v>0.13258715816447522</v>
      </c>
      <c r="L1022" s="398">
        <v>987.16543216159664</v>
      </c>
      <c r="M1022" s="311">
        <v>6.7071400201088024E-2</v>
      </c>
      <c r="N1022" s="398">
        <v>6189.2414659148089</v>
      </c>
      <c r="O1022" s="311">
        <v>0.42051826145547866</v>
      </c>
      <c r="P1022" s="398">
        <v>14718.127684854609</v>
      </c>
      <c r="Q1022" s="311">
        <v>0.14757796947286789</v>
      </c>
      <c r="R1022" s="326"/>
    </row>
    <row r="1023" spans="1:18" ht="28.5">
      <c r="A1023" s="313" t="s">
        <v>304</v>
      </c>
      <c r="B1023" s="398">
        <v>2130.292967709981</v>
      </c>
      <c r="C1023" s="311">
        <v>7.3937052700124781E-2</v>
      </c>
      <c r="D1023" s="398">
        <v>9287.7436306352683</v>
      </c>
      <c r="E1023" s="311">
        <v>0.32235396759616819</v>
      </c>
      <c r="F1023" s="398">
        <v>5572.0208283144884</v>
      </c>
      <c r="G1023" s="311">
        <v>0.19339067624682141</v>
      </c>
      <c r="H1023" s="398">
        <v>4591.042664610557</v>
      </c>
      <c r="I1023" s="311">
        <v>0.15934341829364979</v>
      </c>
      <c r="J1023" s="398">
        <v>3510.8597567301599</v>
      </c>
      <c r="K1023" s="311">
        <v>0.1218530158953446</v>
      </c>
      <c r="L1023" s="398">
        <v>850.16366240008028</v>
      </c>
      <c r="M1023" s="311">
        <v>2.9507019205052096E-2</v>
      </c>
      <c r="N1023" s="398">
        <v>2870.1281268138691</v>
      </c>
      <c r="O1023" s="311">
        <v>9.9614850062837768E-2</v>
      </c>
      <c r="P1023" s="398">
        <v>28812.251637214446</v>
      </c>
      <c r="Q1023" s="311">
        <v>0.28889908306318818</v>
      </c>
      <c r="R1023" s="326"/>
    </row>
    <row r="1024" spans="1:18" ht="28.5">
      <c r="A1024" s="313" t="s">
        <v>303</v>
      </c>
      <c r="B1024" s="398">
        <v>2463.1297321459515</v>
      </c>
      <c r="C1024" s="311">
        <v>9.1671909557482875E-2</v>
      </c>
      <c r="D1024" s="398">
        <v>5130.781497097757</v>
      </c>
      <c r="E1024" s="311">
        <v>0.19095564931992867</v>
      </c>
      <c r="F1024" s="398">
        <v>811.29802730794222</v>
      </c>
      <c r="G1024" s="311">
        <v>3.0194609083274628E-2</v>
      </c>
      <c r="H1024" s="398">
        <v>1854.0157882639878</v>
      </c>
      <c r="I1024" s="311">
        <v>6.9002117688623091E-2</v>
      </c>
      <c r="J1024" s="398">
        <v>7607.0828024987986</v>
      </c>
      <c r="K1024" s="311">
        <v>0.28311777393040366</v>
      </c>
      <c r="L1024" s="398">
        <v>5549.7387665472952</v>
      </c>
      <c r="M1024" s="311">
        <v>0.20654825591802572</v>
      </c>
      <c r="N1024" s="398">
        <v>3452.9227796624696</v>
      </c>
      <c r="O1024" s="311">
        <v>0.128509684502251</v>
      </c>
      <c r="P1024" s="398">
        <v>26868.96939352448</v>
      </c>
      <c r="Q1024" s="311">
        <v>0.26941388400953714</v>
      </c>
      <c r="R1024" s="326"/>
    </row>
    <row r="1025" spans="1:18" ht="15.75" thickBot="1">
      <c r="A1025" s="310" t="s">
        <v>302</v>
      </c>
      <c r="B1025" s="351">
        <v>73.053308823529406</v>
      </c>
      <c r="C1025" s="352">
        <v>4.115213710392078E-2</v>
      </c>
      <c r="D1025" s="351">
        <v>184.31714396284832</v>
      </c>
      <c r="E1025" s="352">
        <v>0.10382889565324119</v>
      </c>
      <c r="F1025" s="351">
        <v>0</v>
      </c>
      <c r="G1025" s="352">
        <v>0</v>
      </c>
      <c r="H1025" s="351">
        <v>104.55330882352941</v>
      </c>
      <c r="I1025" s="352">
        <v>5.8896608088867985E-2</v>
      </c>
      <c r="J1025" s="351">
        <v>562.65731424148601</v>
      </c>
      <c r="K1025" s="352">
        <v>0.31695417101671003</v>
      </c>
      <c r="L1025" s="351">
        <v>505.91186145510835</v>
      </c>
      <c r="M1025" s="352">
        <v>0.28498851893748561</v>
      </c>
      <c r="N1025" s="351">
        <v>344.70791408668731</v>
      </c>
      <c r="O1025" s="352">
        <v>0.19417966919977442</v>
      </c>
      <c r="P1025" s="351">
        <v>1775.2008513931887</v>
      </c>
      <c r="Q1025" s="352">
        <v>1.7799854890829546E-2</v>
      </c>
      <c r="R1025" s="326"/>
    </row>
    <row r="1029" spans="1:18" ht="15.75" thickBot="1"/>
    <row r="1030" spans="1:18" ht="15" customHeight="1">
      <c r="A1030" s="775" t="s">
        <v>310</v>
      </c>
      <c r="B1030" s="763" t="s">
        <v>339</v>
      </c>
      <c r="C1030" s="764"/>
      <c r="D1030" s="764"/>
      <c r="E1030" s="764"/>
      <c r="F1030" s="764"/>
      <c r="G1030" s="764"/>
      <c r="H1030" s="764"/>
      <c r="I1030" s="764"/>
      <c r="J1030" s="764"/>
      <c r="K1030" s="764"/>
      <c r="L1030" s="764"/>
      <c r="M1030" s="764"/>
      <c r="N1030" s="764"/>
      <c r="O1030" s="765"/>
      <c r="P1030" s="326"/>
    </row>
    <row r="1031" spans="1:18" ht="33" customHeight="1">
      <c r="A1031" s="776"/>
      <c r="B1031" s="767" t="s">
        <v>140</v>
      </c>
      <c r="C1031" s="759"/>
      <c r="D1031" s="768" t="s">
        <v>139</v>
      </c>
      <c r="E1031" s="759"/>
      <c r="F1031" s="768" t="s">
        <v>138</v>
      </c>
      <c r="G1031" s="759"/>
      <c r="H1031" s="768" t="s">
        <v>77</v>
      </c>
      <c r="I1031" s="759"/>
      <c r="J1031" s="768" t="s">
        <v>137</v>
      </c>
      <c r="K1031" s="759"/>
      <c r="L1031" s="768" t="s">
        <v>136</v>
      </c>
      <c r="M1031" s="759"/>
      <c r="N1031" s="769" t="s">
        <v>9</v>
      </c>
      <c r="O1031" s="766"/>
      <c r="P1031" s="326"/>
    </row>
    <row r="1032" spans="1:18" ht="15.75" customHeight="1" thickBot="1">
      <c r="A1032" s="754"/>
      <c r="B1032" s="318" t="s">
        <v>7</v>
      </c>
      <c r="C1032" s="318" t="s">
        <v>8</v>
      </c>
      <c r="D1032" s="318" t="s">
        <v>7</v>
      </c>
      <c r="E1032" s="318" t="s">
        <v>8</v>
      </c>
      <c r="F1032" s="318" t="s">
        <v>7</v>
      </c>
      <c r="G1032" s="318" t="s">
        <v>8</v>
      </c>
      <c r="H1032" s="318" t="s">
        <v>7</v>
      </c>
      <c r="I1032" s="318" t="s">
        <v>8</v>
      </c>
      <c r="J1032" s="318" t="s">
        <v>7</v>
      </c>
      <c r="K1032" s="318" t="s">
        <v>8</v>
      </c>
      <c r="L1032" s="318" t="s">
        <v>7</v>
      </c>
      <c r="M1032" s="318" t="s">
        <v>8</v>
      </c>
      <c r="N1032" s="318" t="s">
        <v>7</v>
      </c>
      <c r="O1032" s="318" t="s">
        <v>6</v>
      </c>
      <c r="P1032" s="326"/>
    </row>
    <row r="1033" spans="1:18" ht="15" customHeight="1">
      <c r="A1033" s="316" t="s">
        <v>5</v>
      </c>
      <c r="B1033" s="400">
        <v>7989.7163570000066</v>
      </c>
      <c r="C1033" s="399">
        <v>5.1173061614285385E-2</v>
      </c>
      <c r="D1033" s="400">
        <v>13240.309702999992</v>
      </c>
      <c r="E1033" s="399">
        <v>8.480240773882064E-2</v>
      </c>
      <c r="F1033" s="400">
        <v>80680.591977999531</v>
      </c>
      <c r="G1033" s="399">
        <v>0.51674837001565732</v>
      </c>
      <c r="H1033" s="400">
        <v>20747.889592800042</v>
      </c>
      <c r="I1033" s="399">
        <v>0.13288744994915047</v>
      </c>
      <c r="J1033" s="400">
        <v>26247.019518600053</v>
      </c>
      <c r="K1033" s="399">
        <v>0.16810863953135333</v>
      </c>
      <c r="L1033" s="400">
        <v>7225.7674216000105</v>
      </c>
      <c r="M1033" s="399">
        <v>4.6280071150720213E-2</v>
      </c>
      <c r="N1033" s="400">
        <v>156131.29457100161</v>
      </c>
      <c r="O1033" s="399">
        <v>1</v>
      </c>
      <c r="P1033" s="326"/>
    </row>
    <row r="1034" spans="1:18">
      <c r="A1034" s="313" t="s">
        <v>309</v>
      </c>
      <c r="B1034" s="398">
        <v>104.47458</v>
      </c>
      <c r="C1034" s="311">
        <v>4.2200203507063355E-2</v>
      </c>
      <c r="D1034" s="398">
        <v>0</v>
      </c>
      <c r="E1034" s="311">
        <v>0</v>
      </c>
      <c r="F1034" s="398">
        <v>1148.0493490000001</v>
      </c>
      <c r="G1034" s="311">
        <v>0.46372922641997327</v>
      </c>
      <c r="H1034" s="398">
        <v>658.10514080000007</v>
      </c>
      <c r="I1034" s="311">
        <v>0.26582706406481449</v>
      </c>
      <c r="J1034" s="398">
        <v>228.15631659999994</v>
      </c>
      <c r="K1034" s="311">
        <v>9.2158714511625467E-2</v>
      </c>
      <c r="L1034" s="398">
        <v>336.90362260000006</v>
      </c>
      <c r="M1034" s="311">
        <v>0.13608479149652358</v>
      </c>
      <c r="N1034" s="398">
        <v>2475.6890089999997</v>
      </c>
      <c r="O1034" s="311">
        <v>1.5856456041067193E-2</v>
      </c>
      <c r="P1034" s="326"/>
    </row>
    <row r="1035" spans="1:18">
      <c r="A1035" s="313" t="s">
        <v>308</v>
      </c>
      <c r="B1035" s="398">
        <v>395.29577199999994</v>
      </c>
      <c r="C1035" s="311">
        <v>7.8883885450273361E-2</v>
      </c>
      <c r="D1035" s="398">
        <v>925.4627949999998</v>
      </c>
      <c r="E1035" s="311">
        <v>0.18468222096053638</v>
      </c>
      <c r="F1035" s="398">
        <v>2332.49746</v>
      </c>
      <c r="G1035" s="311">
        <v>0.46546529328346464</v>
      </c>
      <c r="H1035" s="398">
        <v>605.87477999999976</v>
      </c>
      <c r="I1035" s="311">
        <v>0.12090631908587568</v>
      </c>
      <c r="J1035" s="398">
        <v>469.18413599999997</v>
      </c>
      <c r="K1035" s="311">
        <v>9.3628797120828999E-2</v>
      </c>
      <c r="L1035" s="398">
        <v>282.79435699999999</v>
      </c>
      <c r="M1035" s="311">
        <v>5.6433484099019687E-2</v>
      </c>
      <c r="N1035" s="398">
        <v>5011.1093000000055</v>
      </c>
      <c r="O1035" s="311">
        <v>3.209548293165003E-2</v>
      </c>
      <c r="P1035" s="326"/>
    </row>
    <row r="1036" spans="1:18">
      <c r="A1036" s="313" t="s">
        <v>307</v>
      </c>
      <c r="B1036" s="398">
        <v>241.73441199999996</v>
      </c>
      <c r="C1036" s="311">
        <v>1.871294565517391E-2</v>
      </c>
      <c r="D1036" s="398">
        <v>1190.3733779999995</v>
      </c>
      <c r="E1036" s="311">
        <v>9.2148205741927142E-2</v>
      </c>
      <c r="F1036" s="398">
        <v>10520.304374999994</v>
      </c>
      <c r="G1036" s="311">
        <v>0.81438915716006222</v>
      </c>
      <c r="H1036" s="398">
        <v>358.76539299999996</v>
      </c>
      <c r="I1036" s="311">
        <v>2.7772451785499655E-2</v>
      </c>
      <c r="J1036" s="398">
        <v>606.85343799999998</v>
      </c>
      <c r="K1036" s="311">
        <v>4.6977239657337036E-2</v>
      </c>
      <c r="L1036" s="398">
        <v>0</v>
      </c>
      <c r="M1036" s="311">
        <v>0</v>
      </c>
      <c r="N1036" s="398">
        <v>12918.030995999994</v>
      </c>
      <c r="O1036" s="311">
        <v>8.2738255847391612E-2</v>
      </c>
      <c r="P1036" s="326"/>
    </row>
    <row r="1037" spans="1:18">
      <c r="A1037" s="313" t="s">
        <v>306</v>
      </c>
      <c r="B1037" s="398">
        <v>323.09617000000003</v>
      </c>
      <c r="C1037" s="311">
        <v>2.1863573253442015E-2</v>
      </c>
      <c r="D1037" s="398">
        <v>569.137654</v>
      </c>
      <c r="E1037" s="311">
        <v>3.8512938081318435E-2</v>
      </c>
      <c r="F1037" s="398">
        <v>9714.4245150000061</v>
      </c>
      <c r="G1037" s="311">
        <v>0.65736474684529855</v>
      </c>
      <c r="H1037" s="398">
        <v>2122.6962429999994</v>
      </c>
      <c r="I1037" s="311">
        <v>0.14364059098452525</v>
      </c>
      <c r="J1037" s="398">
        <v>1715.9596529999997</v>
      </c>
      <c r="K1037" s="311">
        <v>0.11611715970918639</v>
      </c>
      <c r="L1037" s="398">
        <v>332.51582300000001</v>
      </c>
      <c r="M1037" s="311">
        <v>2.2500991126230496E-2</v>
      </c>
      <c r="N1037" s="398">
        <v>14777.830057999989</v>
      </c>
      <c r="O1037" s="311">
        <v>9.4650019386598283E-2</v>
      </c>
      <c r="P1037" s="326"/>
    </row>
    <row r="1038" spans="1:18">
      <c r="A1038" s="313" t="s">
        <v>305</v>
      </c>
      <c r="B1038" s="398">
        <v>1203.0208510000002</v>
      </c>
      <c r="C1038" s="311">
        <v>6.4144424954733673E-2</v>
      </c>
      <c r="D1038" s="398">
        <v>1895.7011630000011</v>
      </c>
      <c r="E1038" s="311">
        <v>0.10107776676154626</v>
      </c>
      <c r="F1038" s="398">
        <v>12791.913658999973</v>
      </c>
      <c r="G1038" s="311">
        <v>0.68205795855084161</v>
      </c>
      <c r="H1038" s="398">
        <v>1191.1483399999997</v>
      </c>
      <c r="I1038" s="311">
        <v>6.3511389051631284E-2</v>
      </c>
      <c r="J1038" s="398">
        <v>1227.4324759999995</v>
      </c>
      <c r="K1038" s="311">
        <v>6.5446039674490142E-2</v>
      </c>
      <c r="L1038" s="398">
        <v>445.66130199999992</v>
      </c>
      <c r="M1038" s="311">
        <v>2.3762421006756008E-2</v>
      </c>
      <c r="N1038" s="398">
        <v>18754.877790999992</v>
      </c>
      <c r="O1038" s="311">
        <v>0.1201224766792099</v>
      </c>
      <c r="P1038" s="326"/>
    </row>
    <row r="1039" spans="1:18" ht="28.5">
      <c r="A1039" s="313" t="s">
        <v>304</v>
      </c>
      <c r="B1039" s="398">
        <v>4143.0530760000011</v>
      </c>
      <c r="C1039" s="311">
        <v>7.1128734775194061E-2</v>
      </c>
      <c r="D1039" s="398">
        <v>4383.3895540000003</v>
      </c>
      <c r="E1039" s="311">
        <v>7.5254877811954474E-2</v>
      </c>
      <c r="F1039" s="398">
        <v>21571.029591000002</v>
      </c>
      <c r="G1039" s="311">
        <v>0.37033559900406682</v>
      </c>
      <c r="H1039" s="398">
        <v>8584.798618000028</v>
      </c>
      <c r="I1039" s="311">
        <v>0.14738547945123556</v>
      </c>
      <c r="J1039" s="398">
        <v>16351.133369999954</v>
      </c>
      <c r="K1039" s="311">
        <v>0.28071941329591393</v>
      </c>
      <c r="L1039" s="398">
        <v>3213.8440949999981</v>
      </c>
      <c r="M1039" s="311">
        <v>5.5175895661655865E-2</v>
      </c>
      <c r="N1039" s="398">
        <v>58247.248303998778</v>
      </c>
      <c r="O1039" s="311">
        <v>0.37306581274460965</v>
      </c>
      <c r="P1039" s="326"/>
    </row>
    <row r="1040" spans="1:18" ht="28.5">
      <c r="A1040" s="313" t="s">
        <v>303</v>
      </c>
      <c r="B1040" s="398">
        <v>1579.0414959999998</v>
      </c>
      <c r="C1040" s="311">
        <v>3.8011645927687333E-2</v>
      </c>
      <c r="D1040" s="398">
        <v>4276.245159000001</v>
      </c>
      <c r="E1040" s="311">
        <v>0.10294037065881838</v>
      </c>
      <c r="F1040" s="398">
        <v>21347.706319000023</v>
      </c>
      <c r="G1040" s="311">
        <v>0.51389495210965774</v>
      </c>
      <c r="H1040" s="398">
        <v>6639.9844240000048</v>
      </c>
      <c r="I1040" s="311">
        <v>0.15984173787060951</v>
      </c>
      <c r="J1040" s="398">
        <v>5154.5084809999989</v>
      </c>
      <c r="K1040" s="311">
        <v>0.12408245876208021</v>
      </c>
      <c r="L1040" s="398">
        <v>2543.5065579999969</v>
      </c>
      <c r="M1040" s="311">
        <v>6.1228834671135594E-2</v>
      </c>
      <c r="N1040" s="398">
        <v>41540.992437000488</v>
      </c>
      <c r="O1040" s="311">
        <v>0.26606448470911437</v>
      </c>
      <c r="P1040" s="326"/>
    </row>
    <row r="1041" spans="1:16" ht="15.75" thickBot="1">
      <c r="A1041" s="313" t="s">
        <v>302</v>
      </c>
      <c r="B1041" s="398">
        <v>0</v>
      </c>
      <c r="C1041" s="311">
        <v>0</v>
      </c>
      <c r="D1041" s="398">
        <v>0</v>
      </c>
      <c r="E1041" s="311">
        <v>0</v>
      </c>
      <c r="F1041" s="398">
        <v>1254.66671</v>
      </c>
      <c r="G1041" s="311">
        <v>0.52157888678049635</v>
      </c>
      <c r="H1041" s="398">
        <v>586.5166539999999</v>
      </c>
      <c r="I1041" s="311">
        <v>0.24382148743831858</v>
      </c>
      <c r="J1041" s="398">
        <v>493.7916479999999</v>
      </c>
      <c r="K1041" s="311">
        <v>0.20527467255853679</v>
      </c>
      <c r="L1041" s="398">
        <v>70.541663999999997</v>
      </c>
      <c r="M1041" s="311">
        <v>2.932495322264812E-2</v>
      </c>
      <c r="N1041" s="398">
        <v>2405.5166760000002</v>
      </c>
      <c r="O1041" s="311">
        <v>1.5407011660343837E-2</v>
      </c>
      <c r="P1041" s="326"/>
    </row>
    <row r="1042" spans="1:16" ht="15" customHeight="1">
      <c r="A1042" s="316" t="s">
        <v>4</v>
      </c>
      <c r="B1042" s="400">
        <v>8103.4232963107224</v>
      </c>
      <c r="C1042" s="399">
        <v>5.6576124759587711E-2</v>
      </c>
      <c r="D1042" s="400">
        <v>24976.626987300719</v>
      </c>
      <c r="E1042" s="399">
        <v>0.17438071699284791</v>
      </c>
      <c r="F1042" s="400">
        <v>71736.637014914319</v>
      </c>
      <c r="G1042" s="399">
        <v>0.50084770067939266</v>
      </c>
      <c r="H1042" s="400">
        <v>16419.10185023988</v>
      </c>
      <c r="I1042" s="399">
        <v>0.11463416395172965</v>
      </c>
      <c r="J1042" s="400">
        <v>15988.304875376325</v>
      </c>
      <c r="K1042" s="399">
        <v>0.11162644455898489</v>
      </c>
      <c r="L1042" s="400">
        <v>6006.3469214881898</v>
      </c>
      <c r="M1042" s="399">
        <v>4.1934849057458312E-2</v>
      </c>
      <c r="N1042" s="400">
        <v>143230.44094562999</v>
      </c>
      <c r="O1042" s="399">
        <v>1</v>
      </c>
      <c r="P1042" s="326"/>
    </row>
    <row r="1043" spans="1:16">
      <c r="A1043" s="313" t="s">
        <v>309</v>
      </c>
      <c r="B1043" s="398">
        <v>144.45467032967034</v>
      </c>
      <c r="C1043" s="311">
        <v>4.0156187525919096E-2</v>
      </c>
      <c r="D1043" s="398">
        <v>159.29395604395603</v>
      </c>
      <c r="E1043" s="311">
        <v>4.4281281844667168E-2</v>
      </c>
      <c r="F1043" s="398">
        <v>1243.0726576055524</v>
      </c>
      <c r="G1043" s="311">
        <v>0.34555517404339986</v>
      </c>
      <c r="H1043" s="398">
        <v>909.99906015037561</v>
      </c>
      <c r="I1043" s="311">
        <v>0.2529658115200657</v>
      </c>
      <c r="J1043" s="398">
        <v>503.07142857142861</v>
      </c>
      <c r="K1043" s="311">
        <v>0.1398461578192188</v>
      </c>
      <c r="L1043" s="398">
        <v>637.42857142857133</v>
      </c>
      <c r="M1043" s="311">
        <v>0.1771953872467284</v>
      </c>
      <c r="N1043" s="398">
        <v>3597.3203441295577</v>
      </c>
      <c r="O1043" s="311">
        <v>2.5115613136282206E-2</v>
      </c>
      <c r="P1043" s="326"/>
    </row>
    <row r="1044" spans="1:16">
      <c r="A1044" s="313" t="s">
        <v>308</v>
      </c>
      <c r="B1044" s="398">
        <v>326.78339438942606</v>
      </c>
      <c r="C1044" s="311">
        <v>7.4381284021495367E-2</v>
      </c>
      <c r="D1044" s="398">
        <v>878.47246276120984</v>
      </c>
      <c r="E1044" s="311">
        <v>0.19995480455728556</v>
      </c>
      <c r="F1044" s="398">
        <v>2051.0454273355795</v>
      </c>
      <c r="G1044" s="311">
        <v>0.46685172836485334</v>
      </c>
      <c r="H1044" s="398">
        <v>410.78164017721565</v>
      </c>
      <c r="I1044" s="311">
        <v>9.3500668557306169E-2</v>
      </c>
      <c r="J1044" s="398">
        <v>352.67601697268742</v>
      </c>
      <c r="K1044" s="311">
        <v>8.0274871478793863E-2</v>
      </c>
      <c r="L1044" s="398">
        <v>373.59617031635884</v>
      </c>
      <c r="M1044" s="311">
        <v>8.503664302026484E-2</v>
      </c>
      <c r="N1044" s="398">
        <v>4393.3551119524809</v>
      </c>
      <c r="O1044" s="311">
        <v>3.0673333705788078E-2</v>
      </c>
      <c r="P1044" s="326"/>
    </row>
    <row r="1045" spans="1:16">
      <c r="A1045" s="313" t="s">
        <v>307</v>
      </c>
      <c r="B1045" s="398">
        <v>357.73046251993622</v>
      </c>
      <c r="C1045" s="311">
        <v>2.5695145425407823E-2</v>
      </c>
      <c r="D1045" s="398">
        <v>2059.3710449143382</v>
      </c>
      <c r="E1045" s="311">
        <v>0.14792097410770266</v>
      </c>
      <c r="F1045" s="398">
        <v>9796.1380871533711</v>
      </c>
      <c r="G1045" s="311">
        <v>0.70363924554720969</v>
      </c>
      <c r="H1045" s="398">
        <v>509.17034521788344</v>
      </c>
      <c r="I1045" s="311">
        <v>3.6572803933211294E-2</v>
      </c>
      <c r="J1045" s="398">
        <v>632.08715336728915</v>
      </c>
      <c r="K1045" s="311">
        <v>4.5401700523056282E-2</v>
      </c>
      <c r="L1045" s="398">
        <v>567.60595770952307</v>
      </c>
      <c r="M1045" s="311">
        <v>4.0770130463410777E-2</v>
      </c>
      <c r="N1045" s="398">
        <v>13922.103050882362</v>
      </c>
      <c r="O1045" s="311">
        <v>9.7200727435916831E-2</v>
      </c>
      <c r="P1045" s="326"/>
    </row>
    <row r="1046" spans="1:16">
      <c r="A1046" s="313" t="s">
        <v>306</v>
      </c>
      <c r="B1046" s="398">
        <v>402.09269480519475</v>
      </c>
      <c r="C1046" s="311">
        <v>2.8277322836299797E-2</v>
      </c>
      <c r="D1046" s="398">
        <v>2018.4351619417162</v>
      </c>
      <c r="E1046" s="311">
        <v>0.14194722618876982</v>
      </c>
      <c r="F1046" s="398">
        <v>8674.4259819448907</v>
      </c>
      <c r="G1046" s="311">
        <v>0.61003233105212229</v>
      </c>
      <c r="H1046" s="398">
        <v>1192.8480262115934</v>
      </c>
      <c r="I1046" s="311">
        <v>8.3887494519565828E-2</v>
      </c>
      <c r="J1046" s="398">
        <v>1450.3911506176748</v>
      </c>
      <c r="K1046" s="311">
        <v>0.10199931342895527</v>
      </c>
      <c r="L1046" s="398">
        <v>481.42378246753236</v>
      </c>
      <c r="M1046" s="311">
        <v>3.3856311974288331E-2</v>
      </c>
      <c r="N1046" s="398">
        <v>14219.616797988583</v>
      </c>
      <c r="O1046" s="311">
        <v>9.9277895844685174E-2</v>
      </c>
      <c r="P1046" s="326"/>
    </row>
    <row r="1047" spans="1:16">
      <c r="A1047" s="313" t="s">
        <v>305</v>
      </c>
      <c r="B1047" s="398">
        <v>742.05502679428173</v>
      </c>
      <c r="C1047" s="311">
        <v>4.9237887093382698E-2</v>
      </c>
      <c r="D1047" s="398">
        <v>4352.1063500332803</v>
      </c>
      <c r="E1047" s="311">
        <v>0.28877713019083051</v>
      </c>
      <c r="F1047" s="398">
        <v>8526.6862610432327</v>
      </c>
      <c r="G1047" s="311">
        <v>0.56577477443372182</v>
      </c>
      <c r="H1047" s="398">
        <v>771.8428611316665</v>
      </c>
      <c r="I1047" s="311">
        <v>5.1214411705306315E-2</v>
      </c>
      <c r="J1047" s="398">
        <v>527.96821877965044</v>
      </c>
      <c r="K1047" s="311">
        <v>3.5032495713250691E-2</v>
      </c>
      <c r="L1047" s="398">
        <v>150.155051844707</v>
      </c>
      <c r="M1047" s="311">
        <v>9.9633008635090642E-3</v>
      </c>
      <c r="N1047" s="398">
        <v>15070.813769626802</v>
      </c>
      <c r="O1047" s="311">
        <v>0.10522074546532784</v>
      </c>
      <c r="P1047" s="326"/>
    </row>
    <row r="1048" spans="1:16" ht="28.5">
      <c r="A1048" s="313" t="s">
        <v>304</v>
      </c>
      <c r="B1048" s="398">
        <v>3980.5948268368893</v>
      </c>
      <c r="C1048" s="311">
        <v>8.0039540481848248E-2</v>
      </c>
      <c r="D1048" s="398">
        <v>7849.2231275801378</v>
      </c>
      <c r="E1048" s="311">
        <v>0.1578277216348182</v>
      </c>
      <c r="F1048" s="398">
        <v>20147.533946884741</v>
      </c>
      <c r="G1048" s="311">
        <v>0.40511517225492583</v>
      </c>
      <c r="H1048" s="398">
        <v>5969.046000592024</v>
      </c>
      <c r="I1048" s="311">
        <v>0.12002218758397049</v>
      </c>
      <c r="J1048" s="398">
        <v>9628.1500199231596</v>
      </c>
      <c r="K1048" s="311">
        <v>0.19359737346021666</v>
      </c>
      <c r="L1048" s="398">
        <v>2158.3066507255194</v>
      </c>
      <c r="M1048" s="311">
        <v>4.3398004584219441E-2</v>
      </c>
      <c r="N1048" s="398">
        <v>49732.854572542528</v>
      </c>
      <c r="O1048" s="311">
        <v>0.34722265912328676</v>
      </c>
      <c r="P1048" s="326"/>
    </row>
    <row r="1049" spans="1:16" ht="28.5">
      <c r="A1049" s="313" t="s">
        <v>303</v>
      </c>
      <c r="B1049" s="398">
        <v>2149.7122206353401</v>
      </c>
      <c r="C1049" s="311">
        <v>5.3299634630201813E-2</v>
      </c>
      <c r="D1049" s="398">
        <v>7251.8672451370912</v>
      </c>
      <c r="E1049" s="311">
        <v>0.17980168268211261</v>
      </c>
      <c r="F1049" s="398">
        <v>20264.025625169255</v>
      </c>
      <c r="G1049" s="311">
        <v>0.50242313905596103</v>
      </c>
      <c r="H1049" s="398">
        <v>6424.7058810448643</v>
      </c>
      <c r="I1049" s="311">
        <v>0.15929317086218858</v>
      </c>
      <c r="J1049" s="398">
        <v>2611.1608871444241</v>
      </c>
      <c r="K1049" s="311">
        <v>6.4740721995030143E-2</v>
      </c>
      <c r="L1049" s="398">
        <v>1631.116451281694</v>
      </c>
      <c r="M1049" s="311">
        <v>4.0441650774507606E-2</v>
      </c>
      <c r="N1049" s="398">
        <v>40332.588310412597</v>
      </c>
      <c r="O1049" s="311">
        <v>0.28159229311960837</v>
      </c>
      <c r="P1049" s="326"/>
    </row>
    <row r="1050" spans="1:16" ht="15.75" thickBot="1">
      <c r="A1050" s="313" t="s">
        <v>302</v>
      </c>
      <c r="B1050" s="398">
        <v>0</v>
      </c>
      <c r="C1050" s="311">
        <v>0</v>
      </c>
      <c r="D1050" s="398">
        <v>407.85763888888891</v>
      </c>
      <c r="E1050" s="311">
        <v>0.20790087076841554</v>
      </c>
      <c r="F1050" s="398">
        <v>1033.7090277777779</v>
      </c>
      <c r="G1050" s="311">
        <v>0.52692161799798765</v>
      </c>
      <c r="H1050" s="398">
        <v>230.7080357142857</v>
      </c>
      <c r="I1050" s="311">
        <v>0.11760084143314886</v>
      </c>
      <c r="J1050" s="398">
        <v>282.8</v>
      </c>
      <c r="K1050" s="311">
        <v>0.1441541377365867</v>
      </c>
      <c r="L1050" s="398">
        <v>6.7142857142857144</v>
      </c>
      <c r="M1050" s="311">
        <v>3.422532063861171E-3</v>
      </c>
      <c r="N1050" s="398">
        <v>1961.7889880952384</v>
      </c>
      <c r="O1050" s="311">
        <v>1.3696732169105936E-2</v>
      </c>
      <c r="P1050" s="326"/>
    </row>
    <row r="1051" spans="1:16" ht="15.75" customHeight="1">
      <c r="A1051" s="316" t="s">
        <v>3</v>
      </c>
      <c r="B1051" s="400">
        <v>8673.6912774114171</v>
      </c>
      <c r="C1051" s="399">
        <v>8.6970691786571977E-2</v>
      </c>
      <c r="D1051" s="400">
        <v>27283.416398111203</v>
      </c>
      <c r="E1051" s="399">
        <v>0.27356952450272026</v>
      </c>
      <c r="F1051" s="400">
        <v>48983.977820364511</v>
      </c>
      <c r="G1051" s="399">
        <v>0.49116002648028406</v>
      </c>
      <c r="H1051" s="400">
        <v>6690.8456533349545</v>
      </c>
      <c r="I1051" s="399">
        <v>6.7088792590896104E-2</v>
      </c>
      <c r="J1051" s="400">
        <v>5615.6613127780565</v>
      </c>
      <c r="K1051" s="399">
        <v>5.630797011225358E-2</v>
      </c>
      <c r="L1051" s="400">
        <v>2483.6054764610822</v>
      </c>
      <c r="M1051" s="399">
        <v>2.4902994527285331E-2</v>
      </c>
      <c r="N1051" s="400">
        <v>99731.1979384601</v>
      </c>
      <c r="O1051" s="399">
        <v>1</v>
      </c>
      <c r="P1051" s="326"/>
    </row>
    <row r="1052" spans="1:16">
      <c r="A1052" s="313" t="s">
        <v>309</v>
      </c>
      <c r="B1052" s="398">
        <v>117.43398692810457</v>
      </c>
      <c r="C1052" s="311">
        <v>8.999450674944906E-2</v>
      </c>
      <c r="D1052" s="398">
        <v>252.77706476530011</v>
      </c>
      <c r="E1052" s="311">
        <v>0.19371348837073751</v>
      </c>
      <c r="F1052" s="398">
        <v>664.23137254901974</v>
      </c>
      <c r="G1052" s="311">
        <v>0.50902789136040616</v>
      </c>
      <c r="H1052" s="398">
        <v>187.81758764111709</v>
      </c>
      <c r="I1052" s="311">
        <v>0.1439323623490858</v>
      </c>
      <c r="J1052" s="398">
        <v>29.614973262032088</v>
      </c>
      <c r="K1052" s="311">
        <v>2.2695175228499901E-2</v>
      </c>
      <c r="L1052" s="398">
        <v>53.026737967914436</v>
      </c>
      <c r="M1052" s="311">
        <v>4.0636575941821053E-2</v>
      </c>
      <c r="N1052" s="398">
        <v>1304.9017231134887</v>
      </c>
      <c r="O1052" s="311">
        <v>1.3084187797670779E-2</v>
      </c>
      <c r="P1052" s="326"/>
    </row>
    <row r="1053" spans="1:16">
      <c r="A1053" s="313" t="s">
        <v>308</v>
      </c>
      <c r="B1053" s="398">
        <v>603.01019630264898</v>
      </c>
      <c r="C1053" s="311">
        <v>0.14241468095600232</v>
      </c>
      <c r="D1053" s="398">
        <v>851.40060987230743</v>
      </c>
      <c r="E1053" s="311">
        <v>0.20107777109602054</v>
      </c>
      <c r="F1053" s="398">
        <v>2067.1617766543313</v>
      </c>
      <c r="G1053" s="311">
        <v>0.48820764012241341</v>
      </c>
      <c r="H1053" s="398">
        <v>318.76046964180034</v>
      </c>
      <c r="I1053" s="311">
        <v>7.5282592008839369E-2</v>
      </c>
      <c r="J1053" s="398">
        <v>266.6758147512864</v>
      </c>
      <c r="K1053" s="311">
        <v>6.29816067942989E-2</v>
      </c>
      <c r="L1053" s="398">
        <v>127.1767676767677</v>
      </c>
      <c r="M1053" s="311">
        <v>3.0035709022426253E-2</v>
      </c>
      <c r="N1053" s="398">
        <v>4234.1856348991387</v>
      </c>
      <c r="O1053" s="311">
        <v>4.2455978895509457E-2</v>
      </c>
      <c r="P1053" s="326"/>
    </row>
    <row r="1054" spans="1:16">
      <c r="A1054" s="313" t="s">
        <v>307</v>
      </c>
      <c r="B1054" s="398">
        <v>0</v>
      </c>
      <c r="C1054" s="311">
        <v>0</v>
      </c>
      <c r="D1054" s="398">
        <v>3403.22337962963</v>
      </c>
      <c r="E1054" s="311">
        <v>0.27675688018464412</v>
      </c>
      <c r="F1054" s="398">
        <v>7983.3359374999955</v>
      </c>
      <c r="G1054" s="311">
        <v>0.64922072431487055</v>
      </c>
      <c r="H1054" s="398">
        <v>263.79108796296293</v>
      </c>
      <c r="I1054" s="311">
        <v>2.1452014863945788E-2</v>
      </c>
      <c r="J1054" s="398">
        <v>95.6640625</v>
      </c>
      <c r="K1054" s="311">
        <v>7.7795914431482704E-3</v>
      </c>
      <c r="L1054" s="398">
        <v>550.78327546296293</v>
      </c>
      <c r="M1054" s="311">
        <v>4.4790789193390607E-2</v>
      </c>
      <c r="N1054" s="398">
        <v>12296.79774305556</v>
      </c>
      <c r="O1054" s="311">
        <v>0.12329940878323142</v>
      </c>
      <c r="P1054" s="326"/>
    </row>
    <row r="1055" spans="1:16">
      <c r="A1055" s="313" t="s">
        <v>306</v>
      </c>
      <c r="B1055" s="398">
        <v>206.51513304566703</v>
      </c>
      <c r="C1055" s="311">
        <v>2.1244744605022632E-2</v>
      </c>
      <c r="D1055" s="398">
        <v>2756.0491747572792</v>
      </c>
      <c r="E1055" s="311">
        <v>0.2835218900091655</v>
      </c>
      <c r="F1055" s="398">
        <v>5665.0547554836367</v>
      </c>
      <c r="G1055" s="311">
        <v>0.58277880017201955</v>
      </c>
      <c r="H1055" s="398">
        <v>333.66296296296298</v>
      </c>
      <c r="I1055" s="311">
        <v>3.432476994669327E-2</v>
      </c>
      <c r="J1055" s="398">
        <v>541.76791082344482</v>
      </c>
      <c r="K1055" s="311">
        <v>5.5733062903896728E-2</v>
      </c>
      <c r="L1055" s="398">
        <v>217.71333333333334</v>
      </c>
      <c r="M1055" s="311">
        <v>2.2396732363201853E-2</v>
      </c>
      <c r="N1055" s="398">
        <v>9720.763270406329</v>
      </c>
      <c r="O1055" s="311">
        <v>9.7469633087176988E-2</v>
      </c>
      <c r="P1055" s="326"/>
    </row>
    <row r="1056" spans="1:16">
      <c r="A1056" s="313" t="s">
        <v>305</v>
      </c>
      <c r="B1056" s="398">
        <v>1546.1994403118513</v>
      </c>
      <c r="C1056" s="311">
        <v>0.10505408523551106</v>
      </c>
      <c r="D1056" s="398">
        <v>4384.5461137168213</v>
      </c>
      <c r="E1056" s="311">
        <v>0.29790107869689497</v>
      </c>
      <c r="F1056" s="398">
        <v>7546.6505939757044</v>
      </c>
      <c r="G1056" s="311">
        <v>0.51274528632751515</v>
      </c>
      <c r="H1056" s="398">
        <v>707.04492903965865</v>
      </c>
      <c r="I1056" s="311">
        <v>4.8039053891836311E-2</v>
      </c>
      <c r="J1056" s="398">
        <v>257.2379318144869</v>
      </c>
      <c r="K1056" s="311">
        <v>1.7477626048807305E-2</v>
      </c>
      <c r="L1056" s="398">
        <v>276.44867599617794</v>
      </c>
      <c r="M1056" s="311">
        <v>1.8782869799441396E-2</v>
      </c>
      <c r="N1056" s="398">
        <v>14718.127684854609</v>
      </c>
      <c r="O1056" s="311">
        <v>0.14757796947286789</v>
      </c>
      <c r="P1056" s="326"/>
    </row>
    <row r="1057" spans="1:46" ht="28.5">
      <c r="A1057" s="313" t="s">
        <v>304</v>
      </c>
      <c r="B1057" s="398">
        <v>3541.3350359011342</v>
      </c>
      <c r="C1057" s="311">
        <v>0.12291073535284135</v>
      </c>
      <c r="D1057" s="398">
        <v>7010.2406074413138</v>
      </c>
      <c r="E1057" s="311">
        <v>0.24330762814756052</v>
      </c>
      <c r="F1057" s="398">
        <v>12068.111212316711</v>
      </c>
      <c r="G1057" s="311">
        <v>0.41885345735108437</v>
      </c>
      <c r="H1057" s="398">
        <v>2412.958725070645</v>
      </c>
      <c r="I1057" s="311">
        <v>8.3747662468490386E-2</v>
      </c>
      <c r="J1057" s="398">
        <v>3053.0459335954074</v>
      </c>
      <c r="K1057" s="311">
        <v>0.10596346207292026</v>
      </c>
      <c r="L1057" s="398">
        <v>726.56012288916986</v>
      </c>
      <c r="M1057" s="311">
        <v>2.5217054607100931E-2</v>
      </c>
      <c r="N1057" s="398">
        <v>28812.251637214446</v>
      </c>
      <c r="O1057" s="311">
        <v>0.28889908306318818</v>
      </c>
      <c r="P1057" s="326"/>
    </row>
    <row r="1058" spans="1:46" ht="28.5">
      <c r="A1058" s="313" t="s">
        <v>303</v>
      </c>
      <c r="B1058" s="398">
        <v>2429.1211497826998</v>
      </c>
      <c r="C1058" s="311">
        <v>9.0406189913935703E-2</v>
      </c>
      <c r="D1058" s="398">
        <v>8074.9586661947205</v>
      </c>
      <c r="E1058" s="311">
        <v>0.30053101583199598</v>
      </c>
      <c r="F1058" s="398">
        <v>12250.076231482453</v>
      </c>
      <c r="G1058" s="311">
        <v>0.45591909581894002</v>
      </c>
      <c r="H1058" s="398">
        <v>2410.1187145452459</v>
      </c>
      <c r="I1058" s="311">
        <v>8.9698963858513073E-2</v>
      </c>
      <c r="J1058" s="398">
        <v>1204.2980683843643</v>
      </c>
      <c r="K1058" s="311">
        <v>4.4821148542995647E-2</v>
      </c>
      <c r="L1058" s="398">
        <v>500.39656313475348</v>
      </c>
      <c r="M1058" s="311">
        <v>1.8623586033610612E-2</v>
      </c>
      <c r="N1058" s="398">
        <v>26868.96939352448</v>
      </c>
      <c r="O1058" s="311">
        <v>0.26941388400953714</v>
      </c>
      <c r="P1058" s="326"/>
    </row>
    <row r="1059" spans="1:46" ht="15.75" thickBot="1">
      <c r="A1059" s="310" t="s">
        <v>302</v>
      </c>
      <c r="B1059" s="351">
        <v>230.07633513931887</v>
      </c>
      <c r="C1059" s="352">
        <v>0.12960580486357559</v>
      </c>
      <c r="D1059" s="351">
        <v>550.22078173374609</v>
      </c>
      <c r="E1059" s="352">
        <v>0.30994846656474356</v>
      </c>
      <c r="F1059" s="351">
        <v>739.35594040247679</v>
      </c>
      <c r="G1059" s="352">
        <v>0.41649142958793967</v>
      </c>
      <c r="H1059" s="351">
        <v>56.691176470588239</v>
      </c>
      <c r="I1059" s="352">
        <v>3.1935077332853154E-2</v>
      </c>
      <c r="J1059" s="351">
        <v>167.35661764705884</v>
      </c>
      <c r="K1059" s="352">
        <v>9.4274750665940876E-2</v>
      </c>
      <c r="L1059" s="351">
        <v>31.5</v>
      </c>
      <c r="M1059" s="352">
        <v>1.7744470984947198E-2</v>
      </c>
      <c r="N1059" s="351">
        <v>1775.2008513931887</v>
      </c>
      <c r="O1059" s="352">
        <v>1.7799854890829546E-2</v>
      </c>
      <c r="P1059" s="326"/>
    </row>
    <row r="1063" spans="1:46" ht="15.75" thickBot="1"/>
    <row r="1064" spans="1:46" ht="15" customHeight="1">
      <c r="A1064" s="775" t="s">
        <v>310</v>
      </c>
      <c r="B1064" s="849" t="s">
        <v>340</v>
      </c>
      <c r="C1064" s="850"/>
      <c r="D1064" s="850"/>
      <c r="E1064" s="850"/>
      <c r="F1064" s="850"/>
      <c r="G1064" s="850"/>
      <c r="H1064" s="850"/>
      <c r="I1064" s="850"/>
      <c r="J1064" s="850"/>
      <c r="K1064" s="850"/>
      <c r="L1064" s="850"/>
      <c r="M1064" s="850"/>
      <c r="N1064" s="850"/>
      <c r="O1064" s="850"/>
      <c r="P1064" s="850"/>
      <c r="Q1064" s="850"/>
      <c r="R1064" s="850"/>
      <c r="S1064" s="850"/>
      <c r="T1064" s="850"/>
      <c r="U1064" s="850"/>
      <c r="V1064" s="850"/>
      <c r="W1064" s="850"/>
      <c r="X1064" s="850"/>
      <c r="Y1064" s="850"/>
      <c r="Z1064" s="850"/>
      <c r="AA1064" s="850"/>
      <c r="AB1064" s="850"/>
      <c r="AC1064" s="850"/>
      <c r="AD1064" s="850"/>
      <c r="AE1064" s="850"/>
      <c r="AF1064" s="850"/>
      <c r="AG1064" s="850"/>
      <c r="AH1064" s="850"/>
      <c r="AI1064" s="850"/>
      <c r="AJ1064" s="850"/>
      <c r="AK1064" s="850"/>
      <c r="AL1064" s="850"/>
      <c r="AM1064" s="850"/>
      <c r="AN1064" s="850"/>
      <c r="AO1064" s="850"/>
      <c r="AP1064" s="850"/>
      <c r="AQ1064" s="850"/>
      <c r="AR1064" s="850"/>
      <c r="AS1064" s="851"/>
      <c r="AT1064" s="326"/>
    </row>
    <row r="1065" spans="1:46" ht="50.25" customHeight="1">
      <c r="A1065" s="776"/>
      <c r="B1065" s="869" t="s">
        <v>117</v>
      </c>
      <c r="C1065" s="854"/>
      <c r="D1065" s="870" t="s">
        <v>116</v>
      </c>
      <c r="E1065" s="854"/>
      <c r="F1065" s="870" t="s">
        <v>115</v>
      </c>
      <c r="G1065" s="854"/>
      <c r="H1065" s="870" t="s">
        <v>114</v>
      </c>
      <c r="I1065" s="854"/>
      <c r="J1065" s="870" t="s">
        <v>113</v>
      </c>
      <c r="K1065" s="854"/>
      <c r="L1065" s="870" t="s">
        <v>112</v>
      </c>
      <c r="M1065" s="854"/>
      <c r="N1065" s="870" t="s">
        <v>111</v>
      </c>
      <c r="O1065" s="854"/>
      <c r="P1065" s="870" t="s">
        <v>110</v>
      </c>
      <c r="Q1065" s="854"/>
      <c r="R1065" s="870" t="s">
        <v>109</v>
      </c>
      <c r="S1065" s="854"/>
      <c r="T1065" s="870" t="s">
        <v>108</v>
      </c>
      <c r="U1065" s="854"/>
      <c r="V1065" s="870" t="s">
        <v>107</v>
      </c>
      <c r="W1065" s="854"/>
      <c r="X1065" s="870" t="s">
        <v>106</v>
      </c>
      <c r="Y1065" s="854"/>
      <c r="Z1065" s="870" t="s">
        <v>105</v>
      </c>
      <c r="AA1065" s="854"/>
      <c r="AB1065" s="870" t="s">
        <v>104</v>
      </c>
      <c r="AC1065" s="854"/>
      <c r="AD1065" s="870" t="s">
        <v>103</v>
      </c>
      <c r="AE1065" s="854"/>
      <c r="AF1065" s="870" t="s">
        <v>102</v>
      </c>
      <c r="AG1065" s="854"/>
      <c r="AH1065" s="870" t="s">
        <v>101</v>
      </c>
      <c r="AI1065" s="854"/>
      <c r="AJ1065" s="870" t="s">
        <v>100</v>
      </c>
      <c r="AK1065" s="854"/>
      <c r="AL1065" s="870" t="s">
        <v>99</v>
      </c>
      <c r="AM1065" s="854"/>
      <c r="AN1065" s="870" t="s">
        <v>98</v>
      </c>
      <c r="AO1065" s="854"/>
      <c r="AP1065" s="870" t="s">
        <v>97</v>
      </c>
      <c r="AQ1065" s="854"/>
      <c r="AR1065" s="871" t="s">
        <v>9</v>
      </c>
      <c r="AS1065" s="872"/>
      <c r="AT1065" s="326"/>
    </row>
    <row r="1066" spans="1:46" ht="15.75" customHeight="1" thickBot="1">
      <c r="A1066" s="754"/>
      <c r="B1066" s="318" t="s">
        <v>7</v>
      </c>
      <c r="C1066" s="318" t="s">
        <v>8</v>
      </c>
      <c r="D1066" s="318" t="s">
        <v>7</v>
      </c>
      <c r="E1066" s="318" t="s">
        <v>8</v>
      </c>
      <c r="F1066" s="318" t="s">
        <v>7</v>
      </c>
      <c r="G1066" s="318" t="s">
        <v>8</v>
      </c>
      <c r="H1066" s="318" t="s">
        <v>7</v>
      </c>
      <c r="I1066" s="318" t="s">
        <v>8</v>
      </c>
      <c r="J1066" s="318" t="s">
        <v>7</v>
      </c>
      <c r="K1066" s="318" t="s">
        <v>8</v>
      </c>
      <c r="L1066" s="318" t="s">
        <v>7</v>
      </c>
      <c r="M1066" s="318" t="s">
        <v>8</v>
      </c>
      <c r="N1066" s="318" t="s">
        <v>7</v>
      </c>
      <c r="O1066" s="318" t="s">
        <v>8</v>
      </c>
      <c r="P1066" s="318" t="s">
        <v>7</v>
      </c>
      <c r="Q1066" s="318" t="s">
        <v>8</v>
      </c>
      <c r="R1066" s="318" t="s">
        <v>7</v>
      </c>
      <c r="S1066" s="318" t="s">
        <v>8</v>
      </c>
      <c r="T1066" s="318" t="s">
        <v>7</v>
      </c>
      <c r="U1066" s="318" t="s">
        <v>8</v>
      </c>
      <c r="V1066" s="318" t="s">
        <v>7</v>
      </c>
      <c r="W1066" s="318" t="s">
        <v>8</v>
      </c>
      <c r="X1066" s="318" t="s">
        <v>7</v>
      </c>
      <c r="Y1066" s="318" t="s">
        <v>8</v>
      </c>
      <c r="Z1066" s="318" t="s">
        <v>7</v>
      </c>
      <c r="AA1066" s="318" t="s">
        <v>8</v>
      </c>
      <c r="AB1066" s="318" t="s">
        <v>7</v>
      </c>
      <c r="AC1066" s="318" t="s">
        <v>8</v>
      </c>
      <c r="AD1066" s="318" t="s">
        <v>7</v>
      </c>
      <c r="AE1066" s="318" t="s">
        <v>8</v>
      </c>
      <c r="AF1066" s="318" t="s">
        <v>7</v>
      </c>
      <c r="AG1066" s="318" t="s">
        <v>8</v>
      </c>
      <c r="AH1066" s="318" t="s">
        <v>7</v>
      </c>
      <c r="AI1066" s="318" t="s">
        <v>8</v>
      </c>
      <c r="AJ1066" s="318" t="s">
        <v>7</v>
      </c>
      <c r="AK1066" s="318" t="s">
        <v>8</v>
      </c>
      <c r="AL1066" s="318" t="s">
        <v>7</v>
      </c>
      <c r="AM1066" s="318" t="s">
        <v>8</v>
      </c>
      <c r="AN1066" s="318" t="s">
        <v>7</v>
      </c>
      <c r="AO1066" s="318" t="s">
        <v>8</v>
      </c>
      <c r="AP1066" s="318" t="s">
        <v>7</v>
      </c>
      <c r="AQ1066" s="318" t="s">
        <v>8</v>
      </c>
      <c r="AR1066" s="318" t="s">
        <v>7</v>
      </c>
      <c r="AS1066" s="318" t="s">
        <v>6</v>
      </c>
      <c r="AT1066" s="326"/>
    </row>
    <row r="1067" spans="1:46" ht="15.75" customHeight="1">
      <c r="A1067" s="316" t="s">
        <v>5</v>
      </c>
      <c r="B1067" s="400">
        <v>2520.2859015999998</v>
      </c>
      <c r="C1067" s="399">
        <v>1.6142093156435625E-2</v>
      </c>
      <c r="D1067" s="400">
        <v>1137.4043129999998</v>
      </c>
      <c r="E1067" s="399">
        <v>7.2849220659139454E-3</v>
      </c>
      <c r="F1067" s="400">
        <v>14857.701684300024</v>
      </c>
      <c r="G1067" s="399">
        <v>9.5161586439952289E-2</v>
      </c>
      <c r="H1067" s="400">
        <v>1924.1670475000003</v>
      </c>
      <c r="I1067" s="399">
        <v>1.2324031852723634E-2</v>
      </c>
      <c r="J1067" s="400">
        <v>1374.0673359999994</v>
      </c>
      <c r="K1067" s="399">
        <v>8.80071698486516E-3</v>
      </c>
      <c r="L1067" s="400">
        <v>9154.8286669999998</v>
      </c>
      <c r="M1067" s="399">
        <v>5.8635449684539626E-2</v>
      </c>
      <c r="N1067" s="400">
        <v>19484.345203000008</v>
      </c>
      <c r="O1067" s="399">
        <v>0.12479461761036888</v>
      </c>
      <c r="P1067" s="400">
        <v>4900.2092408000071</v>
      </c>
      <c r="Q1067" s="399">
        <v>3.1385182927383008E-2</v>
      </c>
      <c r="R1067" s="400">
        <v>1198.1837439999995</v>
      </c>
      <c r="S1067" s="399">
        <v>7.6742061691874239E-3</v>
      </c>
      <c r="T1067" s="400">
        <v>8487.9714355000106</v>
      </c>
      <c r="U1067" s="399">
        <v>5.4364318561645281E-2</v>
      </c>
      <c r="V1067" s="400">
        <v>23691.354008000013</v>
      </c>
      <c r="W1067" s="399">
        <v>0.15173994472470242</v>
      </c>
      <c r="X1067" s="400">
        <v>860.64400999999998</v>
      </c>
      <c r="Y1067" s="399">
        <v>5.5123094467689638E-3</v>
      </c>
      <c r="Z1067" s="400">
        <v>11879.508070799997</v>
      </c>
      <c r="AA1067" s="399">
        <v>7.6086655807479531E-2</v>
      </c>
      <c r="AB1067" s="400">
        <v>6310.7041820000068</v>
      </c>
      <c r="AC1067" s="399">
        <v>4.0419213837557581E-2</v>
      </c>
      <c r="AD1067" s="400">
        <v>6744.4768410000097</v>
      </c>
      <c r="AE1067" s="399">
        <v>4.319746953697947E-2</v>
      </c>
      <c r="AF1067" s="400">
        <v>21258.657324000033</v>
      </c>
      <c r="AG1067" s="399">
        <v>0.13615884875874473</v>
      </c>
      <c r="AH1067" s="400">
        <v>16511.300165999997</v>
      </c>
      <c r="AI1067" s="399">
        <v>0.10575266291980555</v>
      </c>
      <c r="AJ1067" s="400">
        <v>1040.891247</v>
      </c>
      <c r="AK1067" s="399">
        <v>6.6667688233805599E-3</v>
      </c>
      <c r="AL1067" s="400">
        <v>2399.4435664999992</v>
      </c>
      <c r="AM1067" s="399">
        <v>1.5368114208576159E-2</v>
      </c>
      <c r="AN1067" s="400">
        <v>76.361114999999998</v>
      </c>
      <c r="AO1067" s="399">
        <v>4.8908269933850025E-4</v>
      </c>
      <c r="AP1067" s="400">
        <v>318.789468</v>
      </c>
      <c r="AQ1067" s="399">
        <v>2.0418037836420337E-3</v>
      </c>
      <c r="AR1067" s="400">
        <v>156131.29457100161</v>
      </c>
      <c r="AS1067" s="399">
        <v>1</v>
      </c>
      <c r="AT1067" s="326"/>
    </row>
    <row r="1068" spans="1:46">
      <c r="A1068" s="313" t="s">
        <v>309</v>
      </c>
      <c r="B1068" s="398">
        <v>765.89590060000012</v>
      </c>
      <c r="C1068" s="311">
        <v>0.3093667652987509</v>
      </c>
      <c r="D1068" s="398">
        <v>0</v>
      </c>
      <c r="E1068" s="311">
        <v>0</v>
      </c>
      <c r="F1068" s="398">
        <v>213.90531479999999</v>
      </c>
      <c r="G1068" s="311">
        <v>8.6402336489914119E-2</v>
      </c>
      <c r="H1068" s="398">
        <v>0</v>
      </c>
      <c r="I1068" s="311">
        <v>0</v>
      </c>
      <c r="J1068" s="398">
        <v>0</v>
      </c>
      <c r="K1068" s="311">
        <v>0</v>
      </c>
      <c r="L1068" s="398">
        <v>52.237290000000002</v>
      </c>
      <c r="M1068" s="311">
        <v>2.1100101753531678E-2</v>
      </c>
      <c r="N1068" s="398">
        <v>479.40816000000007</v>
      </c>
      <c r="O1068" s="311">
        <v>0.19364635794608406</v>
      </c>
      <c r="P1068" s="398">
        <v>1.8888887999999999</v>
      </c>
      <c r="Q1068" s="311">
        <v>7.6297499125828208E-4</v>
      </c>
      <c r="R1068" s="398">
        <v>0</v>
      </c>
      <c r="S1068" s="311">
        <v>0</v>
      </c>
      <c r="T1068" s="398">
        <v>52.237290000000002</v>
      </c>
      <c r="U1068" s="311">
        <v>2.1100101753531678E-2</v>
      </c>
      <c r="V1068" s="398">
        <v>167.40866199999999</v>
      </c>
      <c r="W1068" s="311">
        <v>6.7621038584172191E-2</v>
      </c>
      <c r="X1068" s="398">
        <v>0</v>
      </c>
      <c r="Y1068" s="311">
        <v>0</v>
      </c>
      <c r="Z1068" s="398">
        <v>441.06137180000007</v>
      </c>
      <c r="AA1068" s="311">
        <v>0.17815701818628552</v>
      </c>
      <c r="AB1068" s="398">
        <v>84.085774999999998</v>
      </c>
      <c r="AC1068" s="311">
        <v>3.3964595187165533E-2</v>
      </c>
      <c r="AD1068" s="398">
        <v>52.237290000000002</v>
      </c>
      <c r="AE1068" s="311">
        <v>2.1100101753531678E-2</v>
      </c>
      <c r="AF1068" s="398">
        <v>19.333334000000001</v>
      </c>
      <c r="AG1068" s="311">
        <v>7.809274076718253E-3</v>
      </c>
      <c r="AH1068" s="398">
        <v>74.419107999999994</v>
      </c>
      <c r="AI1068" s="311">
        <v>3.0059958148806402E-2</v>
      </c>
      <c r="AJ1068" s="398">
        <v>0</v>
      </c>
      <c r="AK1068" s="311">
        <v>0</v>
      </c>
      <c r="AL1068" s="398">
        <v>71.570624000000009</v>
      </c>
      <c r="AM1068" s="311">
        <v>2.8909375830249936E-2</v>
      </c>
      <c r="AN1068" s="398">
        <v>0</v>
      </c>
      <c r="AO1068" s="311">
        <v>0</v>
      </c>
      <c r="AP1068" s="398">
        <v>0</v>
      </c>
      <c r="AQ1068" s="311">
        <v>0</v>
      </c>
      <c r="AR1068" s="398">
        <v>2475.6890089999997</v>
      </c>
      <c r="AS1068" s="311">
        <v>1.5856456041067193E-2</v>
      </c>
      <c r="AT1068" s="326"/>
    </row>
    <row r="1069" spans="1:46">
      <c r="A1069" s="313" t="s">
        <v>308</v>
      </c>
      <c r="B1069" s="398">
        <v>18.258823</v>
      </c>
      <c r="C1069" s="311">
        <v>3.6436688778670183E-3</v>
      </c>
      <c r="D1069" s="398">
        <v>0</v>
      </c>
      <c r="E1069" s="311">
        <v>0</v>
      </c>
      <c r="F1069" s="398">
        <v>773.4826569999999</v>
      </c>
      <c r="G1069" s="311">
        <v>0.15435357935617153</v>
      </c>
      <c r="H1069" s="398">
        <v>0</v>
      </c>
      <c r="I1069" s="311">
        <v>0</v>
      </c>
      <c r="J1069" s="398">
        <v>0</v>
      </c>
      <c r="K1069" s="311">
        <v>0</v>
      </c>
      <c r="L1069" s="398">
        <v>243.44479000000001</v>
      </c>
      <c r="M1069" s="311">
        <v>4.8581017779835645E-2</v>
      </c>
      <c r="N1069" s="398">
        <v>612.1689419999999</v>
      </c>
      <c r="O1069" s="311">
        <v>0.12216236073717235</v>
      </c>
      <c r="P1069" s="398">
        <v>35.405262999999998</v>
      </c>
      <c r="Q1069" s="311">
        <v>7.065354371735607E-3</v>
      </c>
      <c r="R1069" s="398">
        <v>90.308773000000002</v>
      </c>
      <c r="S1069" s="311">
        <v>1.802171287702703E-2</v>
      </c>
      <c r="T1069" s="398">
        <v>727.90382299999987</v>
      </c>
      <c r="U1069" s="311">
        <v>0.14525802161210075</v>
      </c>
      <c r="V1069" s="398">
        <v>280.56687999999997</v>
      </c>
      <c r="W1069" s="311">
        <v>5.5988976333044595E-2</v>
      </c>
      <c r="X1069" s="398">
        <v>87.616375000000005</v>
      </c>
      <c r="Y1069" s="311">
        <v>1.7484427050912642E-2</v>
      </c>
      <c r="Z1069" s="398">
        <v>731.25022199999978</v>
      </c>
      <c r="AA1069" s="311">
        <v>0.1459258176627676</v>
      </c>
      <c r="AB1069" s="398">
        <v>180.617546</v>
      </c>
      <c r="AC1069" s="311">
        <v>3.6043425754054059E-2</v>
      </c>
      <c r="AD1069" s="398">
        <v>6.9052629999999997</v>
      </c>
      <c r="AE1069" s="311">
        <v>1.3779908971452673E-3</v>
      </c>
      <c r="AF1069" s="398">
        <v>731.77868999999998</v>
      </c>
      <c r="AG1069" s="311">
        <v>0.14603127694700238</v>
      </c>
      <c r="AH1069" s="398">
        <v>174.69168200000001</v>
      </c>
      <c r="AI1069" s="311">
        <v>3.4860880404264945E-2</v>
      </c>
      <c r="AJ1069" s="398">
        <v>255.027839</v>
      </c>
      <c r="AK1069" s="311">
        <v>5.0892491808151086E-2</v>
      </c>
      <c r="AL1069" s="398">
        <v>25.164085999999998</v>
      </c>
      <c r="AM1069" s="311">
        <v>5.0216597750122847E-3</v>
      </c>
      <c r="AN1069" s="398">
        <v>0</v>
      </c>
      <c r="AO1069" s="311">
        <v>0</v>
      </c>
      <c r="AP1069" s="398">
        <v>36.517645999999999</v>
      </c>
      <c r="AQ1069" s="311">
        <v>7.2873377557340366E-3</v>
      </c>
      <c r="AR1069" s="398">
        <v>5011.1093000000055</v>
      </c>
      <c r="AS1069" s="311">
        <v>3.209548293165003E-2</v>
      </c>
      <c r="AT1069" s="326"/>
    </row>
    <row r="1070" spans="1:46">
      <c r="A1070" s="313" t="s">
        <v>307</v>
      </c>
      <c r="B1070" s="398">
        <v>9.375</v>
      </c>
      <c r="C1070" s="311">
        <v>7.2572979604267269E-4</v>
      </c>
      <c r="D1070" s="398">
        <v>0</v>
      </c>
      <c r="E1070" s="311">
        <v>0</v>
      </c>
      <c r="F1070" s="398">
        <v>9.375</v>
      </c>
      <c r="G1070" s="311">
        <v>7.2572979604267269E-4</v>
      </c>
      <c r="H1070" s="398">
        <v>0</v>
      </c>
      <c r="I1070" s="311">
        <v>0</v>
      </c>
      <c r="J1070" s="398">
        <v>0</v>
      </c>
      <c r="K1070" s="311">
        <v>0</v>
      </c>
      <c r="L1070" s="398">
        <v>89.726029999999994</v>
      </c>
      <c r="M1070" s="311">
        <v>6.9457977015059983E-3</v>
      </c>
      <c r="N1070" s="398">
        <v>151.41833700000001</v>
      </c>
      <c r="O1070" s="311">
        <v>1.1721471875000606E-2</v>
      </c>
      <c r="P1070" s="398">
        <v>62.282352000000003</v>
      </c>
      <c r="Q1070" s="311">
        <v>4.8213502521619149E-3</v>
      </c>
      <c r="R1070" s="398">
        <v>62.282352000000003</v>
      </c>
      <c r="S1070" s="311">
        <v>4.8213502521619149E-3</v>
      </c>
      <c r="T1070" s="398">
        <v>151.41833700000001</v>
      </c>
      <c r="U1070" s="311">
        <v>1.1721471875000606E-2</v>
      </c>
      <c r="V1070" s="398">
        <v>994.38132599999994</v>
      </c>
      <c r="W1070" s="311">
        <v>7.6976230070039731E-2</v>
      </c>
      <c r="X1070" s="398">
        <v>0</v>
      </c>
      <c r="Y1070" s="311">
        <v>0</v>
      </c>
      <c r="Z1070" s="398">
        <v>0</v>
      </c>
      <c r="AA1070" s="311">
        <v>0</v>
      </c>
      <c r="AB1070" s="398">
        <v>89.726029999999994</v>
      </c>
      <c r="AC1070" s="311">
        <v>6.9457977015059983E-3</v>
      </c>
      <c r="AD1070" s="398">
        <v>277.73304099999996</v>
      </c>
      <c r="AE1070" s="311">
        <v>2.1499641941252395E-2</v>
      </c>
      <c r="AF1070" s="398">
        <v>10481.957010999997</v>
      </c>
      <c r="AG1070" s="311">
        <v>0.8114206425302497</v>
      </c>
      <c r="AH1070" s="398">
        <v>358.90411999999998</v>
      </c>
      <c r="AI1070" s="311">
        <v>2.7783190806023993E-2</v>
      </c>
      <c r="AJ1070" s="398">
        <v>0</v>
      </c>
      <c r="AK1070" s="311">
        <v>0</v>
      </c>
      <c r="AL1070" s="398">
        <v>89.726029999999994</v>
      </c>
      <c r="AM1070" s="311">
        <v>6.9457977015059983E-3</v>
      </c>
      <c r="AN1070" s="398">
        <v>0</v>
      </c>
      <c r="AO1070" s="311">
        <v>0</v>
      </c>
      <c r="AP1070" s="398">
        <v>89.726029999999994</v>
      </c>
      <c r="AQ1070" s="311">
        <v>6.9457977015059983E-3</v>
      </c>
      <c r="AR1070" s="398">
        <v>12918.030995999994</v>
      </c>
      <c r="AS1070" s="311">
        <v>8.2738255847391612E-2</v>
      </c>
      <c r="AT1070" s="326"/>
    </row>
    <row r="1071" spans="1:46">
      <c r="A1071" s="313" t="s">
        <v>306</v>
      </c>
      <c r="B1071" s="398">
        <v>0</v>
      </c>
      <c r="C1071" s="311">
        <v>0</v>
      </c>
      <c r="D1071" s="398">
        <v>75.922303999999997</v>
      </c>
      <c r="E1071" s="311">
        <v>5.1375813432703137E-3</v>
      </c>
      <c r="F1071" s="398">
        <v>412.25531650000005</v>
      </c>
      <c r="G1071" s="311">
        <v>2.7896877612070339E-2</v>
      </c>
      <c r="H1071" s="398">
        <v>78.345109499999992</v>
      </c>
      <c r="I1071" s="311">
        <v>5.3015300076202877E-3</v>
      </c>
      <c r="J1071" s="398">
        <v>0</v>
      </c>
      <c r="K1071" s="311">
        <v>0</v>
      </c>
      <c r="L1071" s="398">
        <v>343.81083600000005</v>
      </c>
      <c r="M1071" s="311">
        <v>2.3265312610214906E-2</v>
      </c>
      <c r="N1071" s="398">
        <v>1635.3493529999989</v>
      </c>
      <c r="O1071" s="311">
        <v>0.11066234667617532</v>
      </c>
      <c r="P1071" s="398">
        <v>16.238094</v>
      </c>
      <c r="Q1071" s="311">
        <v>1.098814503636107E-3</v>
      </c>
      <c r="R1071" s="398">
        <v>13.346939000000001</v>
      </c>
      <c r="S1071" s="311">
        <v>9.0317312809904901E-4</v>
      </c>
      <c r="T1071" s="398">
        <v>39.149657500000004</v>
      </c>
      <c r="U1071" s="311">
        <v>2.6492155713217385E-3</v>
      </c>
      <c r="V1071" s="398">
        <v>1441.2127220000007</v>
      </c>
      <c r="W1071" s="311">
        <v>9.7525327896147984E-2</v>
      </c>
      <c r="X1071" s="398">
        <v>0</v>
      </c>
      <c r="Y1071" s="311">
        <v>0</v>
      </c>
      <c r="Z1071" s="398">
        <v>16.238094</v>
      </c>
      <c r="AA1071" s="311">
        <v>1.098814503636107E-3</v>
      </c>
      <c r="AB1071" s="398">
        <v>207.219988</v>
      </c>
      <c r="AC1071" s="311">
        <v>1.4022355595287233E-2</v>
      </c>
      <c r="AD1071" s="398">
        <v>501.39037399999995</v>
      </c>
      <c r="AE1071" s="311">
        <v>3.3928551893758714E-2</v>
      </c>
      <c r="AF1071" s="398">
        <v>233.72774999999999</v>
      </c>
      <c r="AG1071" s="311">
        <v>1.5816107580251357E-2</v>
      </c>
      <c r="AH1071" s="398">
        <v>9452.6248770000038</v>
      </c>
      <c r="AI1071" s="311">
        <v>0.63964904454174709</v>
      </c>
      <c r="AJ1071" s="398">
        <v>0</v>
      </c>
      <c r="AK1071" s="311">
        <v>0</v>
      </c>
      <c r="AL1071" s="398">
        <v>310.99864349999996</v>
      </c>
      <c r="AM1071" s="311">
        <v>2.1044946536764416E-2</v>
      </c>
      <c r="AN1071" s="398">
        <v>0</v>
      </c>
      <c r="AO1071" s="311">
        <v>0</v>
      </c>
      <c r="AP1071" s="398">
        <v>0</v>
      </c>
      <c r="AQ1071" s="311">
        <v>0</v>
      </c>
      <c r="AR1071" s="398">
        <v>14777.830057999989</v>
      </c>
      <c r="AS1071" s="311">
        <v>9.4650019386598283E-2</v>
      </c>
      <c r="AT1071" s="326"/>
    </row>
    <row r="1072" spans="1:46">
      <c r="A1072" s="313" t="s">
        <v>305</v>
      </c>
      <c r="B1072" s="398">
        <v>5.7886179999999996</v>
      </c>
      <c r="C1072" s="311">
        <v>3.0864599943049569E-4</v>
      </c>
      <c r="D1072" s="398">
        <v>54.263157</v>
      </c>
      <c r="E1072" s="311">
        <v>2.8932823559127407E-3</v>
      </c>
      <c r="F1072" s="398">
        <v>423.76704599999994</v>
      </c>
      <c r="G1072" s="311">
        <v>2.2595031048581689E-2</v>
      </c>
      <c r="H1072" s="398">
        <v>135.74549099999999</v>
      </c>
      <c r="I1072" s="311">
        <v>7.237876594703322E-3</v>
      </c>
      <c r="J1072" s="398">
        <v>370.07385099999999</v>
      </c>
      <c r="K1072" s="311">
        <v>1.9732138760061097E-2</v>
      </c>
      <c r="L1072" s="398">
        <v>467.11305099999993</v>
      </c>
      <c r="M1072" s="311">
        <v>2.4906216729610259E-2</v>
      </c>
      <c r="N1072" s="398">
        <v>366.22970599999996</v>
      </c>
      <c r="O1072" s="311">
        <v>1.9527171015518142E-2</v>
      </c>
      <c r="P1072" s="398">
        <v>493.67214399999995</v>
      </c>
      <c r="Q1072" s="311">
        <v>2.6322333288511281E-2</v>
      </c>
      <c r="R1072" s="398">
        <v>41.880809999999997</v>
      </c>
      <c r="S1072" s="311">
        <v>2.2330622714106713E-3</v>
      </c>
      <c r="T1072" s="398">
        <v>1043.1561609999999</v>
      </c>
      <c r="U1072" s="311">
        <v>5.5620525637366997E-2</v>
      </c>
      <c r="V1072" s="398">
        <v>3792.9242009999989</v>
      </c>
      <c r="W1072" s="311">
        <v>0.20223667907983547</v>
      </c>
      <c r="X1072" s="398">
        <v>60.051774999999999</v>
      </c>
      <c r="Y1072" s="311">
        <v>3.2019283553432363E-3</v>
      </c>
      <c r="Z1072" s="398">
        <v>2895.8607209999996</v>
      </c>
      <c r="AA1072" s="311">
        <v>0.15440573664466384</v>
      </c>
      <c r="AB1072" s="398">
        <v>579.3626559999999</v>
      </c>
      <c r="AC1072" s="311">
        <v>3.0891305315677499E-2</v>
      </c>
      <c r="AD1072" s="398">
        <v>2867.3217640000007</v>
      </c>
      <c r="AE1072" s="311">
        <v>0.1528840548017838</v>
      </c>
      <c r="AF1072" s="398">
        <v>2706.7276699999993</v>
      </c>
      <c r="AG1072" s="311">
        <v>0.14432126405531109</v>
      </c>
      <c r="AH1072" s="398">
        <v>2180.2530980000001</v>
      </c>
      <c r="AI1072" s="311">
        <v>0.11624992294251314</v>
      </c>
      <c r="AJ1072" s="398">
        <v>123.36314399999999</v>
      </c>
      <c r="AK1072" s="311">
        <v>6.5776565102012531E-3</v>
      </c>
      <c r="AL1072" s="398">
        <v>147.32272699999999</v>
      </c>
      <c r="AM1072" s="311">
        <v>7.8551685935643132E-3</v>
      </c>
      <c r="AN1072" s="398">
        <v>0</v>
      </c>
      <c r="AO1072" s="311">
        <v>0</v>
      </c>
      <c r="AP1072" s="398">
        <v>0</v>
      </c>
      <c r="AQ1072" s="311">
        <v>0</v>
      </c>
      <c r="AR1072" s="398">
        <v>18754.877790999992</v>
      </c>
      <c r="AS1072" s="311">
        <v>0.1201224766792099</v>
      </c>
      <c r="AT1072" s="326"/>
    </row>
    <row r="1073" spans="1:46" ht="28.5">
      <c r="A1073" s="313" t="s">
        <v>304</v>
      </c>
      <c r="B1073" s="398">
        <v>940.8223969999998</v>
      </c>
      <c r="C1073" s="311">
        <v>1.6152220480695405E-2</v>
      </c>
      <c r="D1073" s="398">
        <v>364.39354000000003</v>
      </c>
      <c r="E1073" s="311">
        <v>6.2559786189072862E-3</v>
      </c>
      <c r="F1073" s="398">
        <v>6039.7175970000126</v>
      </c>
      <c r="G1073" s="311">
        <v>0.10369103730837317</v>
      </c>
      <c r="H1073" s="398">
        <v>668.38552199999992</v>
      </c>
      <c r="I1073" s="311">
        <v>1.1474971633194114E-2</v>
      </c>
      <c r="J1073" s="398">
        <v>224.46326599999995</v>
      </c>
      <c r="K1073" s="311">
        <v>3.8536286697785538E-3</v>
      </c>
      <c r="L1073" s="398">
        <v>2462.233968999999</v>
      </c>
      <c r="M1073" s="311">
        <v>4.22721079655013E-2</v>
      </c>
      <c r="N1073" s="398">
        <v>11749.593353999981</v>
      </c>
      <c r="O1073" s="311">
        <v>0.20171928625155927</v>
      </c>
      <c r="P1073" s="398">
        <v>2291.7505239999987</v>
      </c>
      <c r="Q1073" s="311">
        <v>3.9345215280198326E-2</v>
      </c>
      <c r="R1073" s="398">
        <v>895.36506399999996</v>
      </c>
      <c r="S1073" s="311">
        <v>1.5371800214955933E-2</v>
      </c>
      <c r="T1073" s="398">
        <v>1911.5027029999983</v>
      </c>
      <c r="U1073" s="311">
        <v>3.2817047305370647E-2</v>
      </c>
      <c r="V1073" s="398">
        <v>12331.923135999972</v>
      </c>
      <c r="W1073" s="311">
        <v>0.21171683633256483</v>
      </c>
      <c r="X1073" s="398">
        <v>513.500272</v>
      </c>
      <c r="Y1073" s="311">
        <v>8.8158717699415735E-3</v>
      </c>
      <c r="Z1073" s="398">
        <v>4417.7117550000021</v>
      </c>
      <c r="AA1073" s="311">
        <v>7.5844127982552578E-2</v>
      </c>
      <c r="AB1073" s="398">
        <v>3217.3849779999991</v>
      </c>
      <c r="AC1073" s="311">
        <v>5.5236686224353709E-2</v>
      </c>
      <c r="AD1073" s="398">
        <v>2074.5378789999986</v>
      </c>
      <c r="AE1073" s="311">
        <v>3.5616066671042688E-2</v>
      </c>
      <c r="AF1073" s="398">
        <v>3358.8047370000004</v>
      </c>
      <c r="AG1073" s="311">
        <v>5.7664607939417668E-2</v>
      </c>
      <c r="AH1073" s="398">
        <v>2554.069492000001</v>
      </c>
      <c r="AI1073" s="311">
        <v>4.3848757947672172E-2</v>
      </c>
      <c r="AJ1073" s="398">
        <v>496.49240499999996</v>
      </c>
      <c r="AK1073" s="311">
        <v>8.5238774269430148E-3</v>
      </c>
      <c r="AL1073" s="398">
        <v>1536.318096</v>
      </c>
      <c r="AM1073" s="311">
        <v>2.6375805565642986E-2</v>
      </c>
      <c r="AN1073" s="398">
        <v>76.361114999999998</v>
      </c>
      <c r="AO1073" s="311">
        <v>1.3109823592260181E-3</v>
      </c>
      <c r="AP1073" s="398">
        <v>121.91650300000001</v>
      </c>
      <c r="AQ1073" s="311">
        <v>2.0930860521290963E-3</v>
      </c>
      <c r="AR1073" s="398">
        <v>58247.248303998778</v>
      </c>
      <c r="AS1073" s="311">
        <v>0.37306581274460965</v>
      </c>
      <c r="AT1073" s="326"/>
    </row>
    <row r="1074" spans="1:46" ht="28.5">
      <c r="A1074" s="313" t="s">
        <v>303</v>
      </c>
      <c r="B1074" s="398">
        <v>711.87849299999993</v>
      </c>
      <c r="C1074" s="311">
        <v>1.7136771445208202E-2</v>
      </c>
      <c r="D1074" s="398">
        <v>642.82531199999994</v>
      </c>
      <c r="E1074" s="311">
        <v>1.5474481332502701E-2</v>
      </c>
      <c r="F1074" s="398">
        <v>6916.932083000007</v>
      </c>
      <c r="G1074" s="311">
        <v>0.16650859012311675</v>
      </c>
      <c r="H1074" s="398">
        <v>1041.6909249999999</v>
      </c>
      <c r="I1074" s="311">
        <v>2.5076216620962759E-2</v>
      </c>
      <c r="J1074" s="398">
        <v>711.26354900000013</v>
      </c>
      <c r="K1074" s="311">
        <v>1.7121968139751975E-2</v>
      </c>
      <c r="L1074" s="398">
        <v>5496.2627009999978</v>
      </c>
      <c r="M1074" s="311">
        <v>0.13230937391145442</v>
      </c>
      <c r="N1074" s="398">
        <v>4254.0940229999951</v>
      </c>
      <c r="O1074" s="311">
        <v>0.10240713505946192</v>
      </c>
      <c r="P1074" s="398">
        <v>1998.9719750000011</v>
      </c>
      <c r="Q1074" s="311">
        <v>4.8120467464314122E-2</v>
      </c>
      <c r="R1074" s="398">
        <v>94.999806000000007</v>
      </c>
      <c r="S1074" s="311">
        <v>2.2868930284723737E-3</v>
      </c>
      <c r="T1074" s="398">
        <v>4562.6034640000016</v>
      </c>
      <c r="U1074" s="311">
        <v>0.10983376169742394</v>
      </c>
      <c r="V1074" s="398">
        <v>4473.5870830000013</v>
      </c>
      <c r="W1074" s="311">
        <v>0.10769090530960414</v>
      </c>
      <c r="X1074" s="398">
        <v>199.47558800000002</v>
      </c>
      <c r="Y1074" s="311">
        <v>4.8018975064815124E-3</v>
      </c>
      <c r="Z1074" s="398">
        <v>3254.9859070000002</v>
      </c>
      <c r="AA1074" s="311">
        <v>7.8355997679554465E-2</v>
      </c>
      <c r="AB1074" s="398">
        <v>1881.765545</v>
      </c>
      <c r="AC1074" s="311">
        <v>4.5299003095648598E-2</v>
      </c>
      <c r="AD1074" s="398">
        <v>896.08456000000001</v>
      </c>
      <c r="AE1074" s="311">
        <v>2.15710917681846E-2</v>
      </c>
      <c r="AF1074" s="398">
        <v>2935.3947719999978</v>
      </c>
      <c r="AG1074" s="311">
        <v>7.0662605773121751E-2</v>
      </c>
      <c r="AH1074" s="398">
        <v>1013.1961429999999</v>
      </c>
      <c r="AI1074" s="311">
        <v>2.4390272922260467E-2</v>
      </c>
      <c r="AJ1074" s="398">
        <v>166.00785900000002</v>
      </c>
      <c r="AK1074" s="311">
        <v>3.9962420072597281E-3</v>
      </c>
      <c r="AL1074" s="398">
        <v>218.34336000000002</v>
      </c>
      <c r="AM1074" s="311">
        <v>5.2560939734680482E-3</v>
      </c>
      <c r="AN1074" s="398">
        <v>0</v>
      </c>
      <c r="AO1074" s="311">
        <v>0</v>
      </c>
      <c r="AP1074" s="398">
        <v>70.629289</v>
      </c>
      <c r="AQ1074" s="311">
        <v>1.7002311417358103E-3</v>
      </c>
      <c r="AR1074" s="398">
        <v>41540.992437000488</v>
      </c>
      <c r="AS1074" s="311">
        <v>0.26606448470911437</v>
      </c>
      <c r="AT1074" s="326"/>
    </row>
    <row r="1075" spans="1:46" ht="15.75" thickBot="1">
      <c r="A1075" s="313" t="s">
        <v>302</v>
      </c>
      <c r="B1075" s="398">
        <v>68.266670000000005</v>
      </c>
      <c r="C1075" s="311">
        <v>2.8379212948761116E-2</v>
      </c>
      <c r="D1075" s="398">
        <v>0</v>
      </c>
      <c r="E1075" s="311">
        <v>0</v>
      </c>
      <c r="F1075" s="398">
        <v>68.266670000000005</v>
      </c>
      <c r="G1075" s="311">
        <v>2.8379212948761116E-2</v>
      </c>
      <c r="H1075" s="398">
        <v>0</v>
      </c>
      <c r="I1075" s="311">
        <v>0</v>
      </c>
      <c r="J1075" s="398">
        <v>68.266670000000005</v>
      </c>
      <c r="K1075" s="311">
        <v>2.8379212948761116E-2</v>
      </c>
      <c r="L1075" s="398">
        <v>0</v>
      </c>
      <c r="M1075" s="311">
        <v>0</v>
      </c>
      <c r="N1075" s="398">
        <v>236.08332799999999</v>
      </c>
      <c r="O1075" s="311">
        <v>9.8142461598965017E-2</v>
      </c>
      <c r="P1075" s="398">
        <v>0</v>
      </c>
      <c r="Q1075" s="311">
        <v>0</v>
      </c>
      <c r="R1075" s="398">
        <v>0</v>
      </c>
      <c r="S1075" s="311">
        <v>0</v>
      </c>
      <c r="T1075" s="398">
        <v>0</v>
      </c>
      <c r="U1075" s="311">
        <v>0</v>
      </c>
      <c r="V1075" s="398">
        <v>209.349998</v>
      </c>
      <c r="W1075" s="311">
        <v>8.7029119394057358E-2</v>
      </c>
      <c r="X1075" s="398">
        <v>0</v>
      </c>
      <c r="Y1075" s="311">
        <v>0</v>
      </c>
      <c r="Z1075" s="398">
        <v>122.4</v>
      </c>
      <c r="AA1075" s="311">
        <v>5.0883039482200625E-2</v>
      </c>
      <c r="AB1075" s="398">
        <v>70.541663999999997</v>
      </c>
      <c r="AC1075" s="311">
        <v>2.932495322264812E-2</v>
      </c>
      <c r="AD1075" s="398">
        <v>68.266670000000005</v>
      </c>
      <c r="AE1075" s="311">
        <v>2.8379212948761116E-2</v>
      </c>
      <c r="AF1075" s="398">
        <v>790.93335999999988</v>
      </c>
      <c r="AG1075" s="311">
        <v>0.32879978255449011</v>
      </c>
      <c r="AH1075" s="398">
        <v>703.14164599999981</v>
      </c>
      <c r="AI1075" s="311">
        <v>0.29230379195259415</v>
      </c>
      <c r="AJ1075" s="398">
        <v>0</v>
      </c>
      <c r="AK1075" s="311">
        <v>0</v>
      </c>
      <c r="AL1075" s="398">
        <v>0</v>
      </c>
      <c r="AM1075" s="311">
        <v>0</v>
      </c>
      <c r="AN1075" s="398">
        <v>0</v>
      </c>
      <c r="AO1075" s="311">
        <v>0</v>
      </c>
      <c r="AP1075" s="398">
        <v>0</v>
      </c>
      <c r="AQ1075" s="311">
        <v>0</v>
      </c>
      <c r="AR1075" s="398">
        <v>2405.5166760000002</v>
      </c>
      <c r="AS1075" s="311">
        <v>1.5407011660343837E-2</v>
      </c>
      <c r="AT1075" s="326"/>
    </row>
    <row r="1076" spans="1:46" ht="15" customHeight="1">
      <c r="A1076" s="316" t="s">
        <v>4</v>
      </c>
      <c r="B1076" s="400">
        <v>1708.8736184924935</v>
      </c>
      <c r="C1076" s="399">
        <v>1.1930938753034899E-2</v>
      </c>
      <c r="D1076" s="400">
        <v>2215.6935608368608</v>
      </c>
      <c r="E1076" s="399">
        <v>1.5469431960192973E-2</v>
      </c>
      <c r="F1076" s="400">
        <v>12330.526808128136</v>
      </c>
      <c r="G1076" s="399">
        <v>8.6088730347543801E-2</v>
      </c>
      <c r="H1076" s="400">
        <v>1525.9101390939554</v>
      </c>
      <c r="I1076" s="399">
        <v>1.0653532370770179E-2</v>
      </c>
      <c r="J1076" s="400">
        <v>1348.8224006884059</v>
      </c>
      <c r="K1076" s="399">
        <v>9.417148978829273E-3</v>
      </c>
      <c r="L1076" s="400">
        <v>7031.3287007458202</v>
      </c>
      <c r="M1076" s="399">
        <v>4.9091021812988057E-2</v>
      </c>
      <c r="N1076" s="400">
        <v>13968.693755107557</v>
      </c>
      <c r="O1076" s="399">
        <v>9.752601236779021E-2</v>
      </c>
      <c r="P1076" s="400">
        <v>4597.4797730688506</v>
      </c>
      <c r="Q1076" s="399">
        <v>3.2098482296888588E-2</v>
      </c>
      <c r="R1076" s="400">
        <v>1710.8744923057745</v>
      </c>
      <c r="S1076" s="399">
        <v>1.194490836591936E-2</v>
      </c>
      <c r="T1076" s="400">
        <v>11795.518570855311</v>
      </c>
      <c r="U1076" s="399">
        <v>8.2353433341260662E-2</v>
      </c>
      <c r="V1076" s="400">
        <v>18928.261729374019</v>
      </c>
      <c r="W1076" s="399">
        <v>0.13215250616004981</v>
      </c>
      <c r="X1076" s="400">
        <v>736.7722683206357</v>
      </c>
      <c r="Y1076" s="399">
        <v>5.143964254081387E-3</v>
      </c>
      <c r="Z1076" s="400">
        <v>9378.7106541523208</v>
      </c>
      <c r="AA1076" s="399">
        <v>6.5479870006910496E-2</v>
      </c>
      <c r="AB1076" s="400">
        <v>5600.105382983611</v>
      </c>
      <c r="AC1076" s="399">
        <v>3.9098569731481875E-2</v>
      </c>
      <c r="AD1076" s="400">
        <v>8426.4923764292234</v>
      </c>
      <c r="AE1076" s="399">
        <v>5.8831714269649595E-2</v>
      </c>
      <c r="AF1076" s="400">
        <v>23720.226955430433</v>
      </c>
      <c r="AG1076" s="399">
        <v>0.16560883844820801</v>
      </c>
      <c r="AH1076" s="400">
        <v>14894.511693494058</v>
      </c>
      <c r="AI1076" s="399">
        <v>0.10398984737572642</v>
      </c>
      <c r="AJ1076" s="400">
        <v>1121.3072574785806</v>
      </c>
      <c r="AK1076" s="399">
        <v>7.8286937474710896E-3</v>
      </c>
      <c r="AL1076" s="400">
        <v>1506.5453766409496</v>
      </c>
      <c r="AM1076" s="399">
        <v>1.0518332323034818E-2</v>
      </c>
      <c r="AN1076" s="400">
        <v>0</v>
      </c>
      <c r="AO1076" s="399">
        <v>0</v>
      </c>
      <c r="AP1076" s="400">
        <v>683.78543200315107</v>
      </c>
      <c r="AQ1076" s="399">
        <v>4.7740230881696075E-3</v>
      </c>
      <c r="AR1076" s="400">
        <v>143230.44094562999</v>
      </c>
      <c r="AS1076" s="399">
        <v>1</v>
      </c>
      <c r="AT1076" s="326"/>
    </row>
    <row r="1077" spans="1:46">
      <c r="A1077" s="313" t="s">
        <v>309</v>
      </c>
      <c r="B1077" s="398">
        <v>608.99812030075179</v>
      </c>
      <c r="C1077" s="311">
        <v>0.16929215695081801</v>
      </c>
      <c r="D1077" s="398">
        <v>0</v>
      </c>
      <c r="E1077" s="311">
        <v>0</v>
      </c>
      <c r="F1077" s="398">
        <v>477.94505494505495</v>
      </c>
      <c r="G1077" s="311">
        <v>0.13286141050101646</v>
      </c>
      <c r="H1077" s="398">
        <v>39.839285714285715</v>
      </c>
      <c r="I1077" s="311">
        <v>1.1074711702920528E-2</v>
      </c>
      <c r="J1077" s="398">
        <v>79.678571428571431</v>
      </c>
      <c r="K1077" s="311">
        <v>2.2149423405841057E-2</v>
      </c>
      <c r="L1077" s="398">
        <v>119.51785714285714</v>
      </c>
      <c r="M1077" s="311">
        <v>3.3224135108761585E-2</v>
      </c>
      <c r="N1077" s="398">
        <v>342.15109890109898</v>
      </c>
      <c r="O1077" s="311">
        <v>9.5112768997471411E-2</v>
      </c>
      <c r="P1077" s="398">
        <v>79.678571428571431</v>
      </c>
      <c r="Q1077" s="311">
        <v>2.2149423405841057E-2</v>
      </c>
      <c r="R1077" s="398">
        <v>39.839285714285715</v>
      </c>
      <c r="S1077" s="311">
        <v>1.1074711702920528E-2</v>
      </c>
      <c r="T1077" s="398">
        <v>25</v>
      </c>
      <c r="U1077" s="311">
        <v>6.9496173841724516E-3</v>
      </c>
      <c r="V1077" s="398">
        <v>280.18587333718915</v>
      </c>
      <c r="W1077" s="311">
        <v>7.7887384645746807E-2</v>
      </c>
      <c r="X1077" s="398">
        <v>0</v>
      </c>
      <c r="Y1077" s="311">
        <v>0</v>
      </c>
      <c r="Z1077" s="398">
        <v>199.19642857142858</v>
      </c>
      <c r="AA1077" s="311">
        <v>5.5373558514602648E-2</v>
      </c>
      <c r="AB1077" s="398">
        <v>159.35714285714286</v>
      </c>
      <c r="AC1077" s="311">
        <v>4.4298846811682113E-2</v>
      </c>
      <c r="AD1077" s="398">
        <v>384.8644447657606</v>
      </c>
      <c r="AE1077" s="311">
        <v>0.10698642543576031</v>
      </c>
      <c r="AF1077" s="398">
        <v>480.81954887218052</v>
      </c>
      <c r="AG1077" s="311">
        <v>0.13366047581968246</v>
      </c>
      <c r="AH1077" s="398">
        <v>200.57048872180451</v>
      </c>
      <c r="AI1077" s="311">
        <v>5.5755526206920696E-2</v>
      </c>
      <c r="AJ1077" s="398">
        <v>39.839285714285715</v>
      </c>
      <c r="AK1077" s="311">
        <v>1.1074711702920528E-2</v>
      </c>
      <c r="AL1077" s="398">
        <v>0</v>
      </c>
      <c r="AM1077" s="311">
        <v>0</v>
      </c>
      <c r="AN1077" s="398">
        <v>0</v>
      </c>
      <c r="AO1077" s="311">
        <v>0</v>
      </c>
      <c r="AP1077" s="398">
        <v>39.839285714285715</v>
      </c>
      <c r="AQ1077" s="311">
        <v>1.1074711702920528E-2</v>
      </c>
      <c r="AR1077" s="398">
        <v>3597.3203441295577</v>
      </c>
      <c r="AS1077" s="311">
        <v>2.5115613136282206E-2</v>
      </c>
      <c r="AT1077" s="326"/>
    </row>
    <row r="1078" spans="1:46">
      <c r="A1078" s="313" t="s">
        <v>308</v>
      </c>
      <c r="B1078" s="398">
        <v>0</v>
      </c>
      <c r="C1078" s="311">
        <v>0</v>
      </c>
      <c r="D1078" s="398">
        <v>40.641509433962263</v>
      </c>
      <c r="E1078" s="311">
        <v>9.2506770789808727E-3</v>
      </c>
      <c r="F1078" s="398">
        <v>581.23870229719569</v>
      </c>
      <c r="G1078" s="311">
        <v>0.13229950402048959</v>
      </c>
      <c r="H1078" s="398">
        <v>0</v>
      </c>
      <c r="I1078" s="311">
        <v>0</v>
      </c>
      <c r="J1078" s="398">
        <v>10.759398496240602</v>
      </c>
      <c r="K1078" s="311">
        <v>2.4490163490241842E-3</v>
      </c>
      <c r="L1078" s="398">
        <v>306.22851271549501</v>
      </c>
      <c r="M1078" s="311">
        <v>6.9702654329574995E-2</v>
      </c>
      <c r="N1078" s="398">
        <v>883.52977553448807</v>
      </c>
      <c r="O1078" s="311">
        <v>0.2011059322591004</v>
      </c>
      <c r="P1078" s="398">
        <v>72.620383098279206</v>
      </c>
      <c r="Q1078" s="311">
        <v>1.6529595547764744E-2</v>
      </c>
      <c r="R1078" s="398">
        <v>118.52648651022696</v>
      </c>
      <c r="S1078" s="311">
        <v>2.6978580945520653E-2</v>
      </c>
      <c r="T1078" s="398">
        <v>702.91071038625603</v>
      </c>
      <c r="U1078" s="311">
        <v>0.15999405749695264</v>
      </c>
      <c r="V1078" s="398">
        <v>428.13211484052118</v>
      </c>
      <c r="W1078" s="311">
        <v>9.7449922423924459E-2</v>
      </c>
      <c r="X1078" s="398">
        <v>0</v>
      </c>
      <c r="Y1078" s="311">
        <v>0</v>
      </c>
      <c r="Z1078" s="398">
        <v>513.49141541792426</v>
      </c>
      <c r="AA1078" s="311">
        <v>0.11687910545198793</v>
      </c>
      <c r="AB1078" s="398">
        <v>95.337222366260491</v>
      </c>
      <c r="AC1078" s="311">
        <v>2.1700322404371048E-2</v>
      </c>
      <c r="AD1078" s="398">
        <v>51.400907930202862</v>
      </c>
      <c r="AE1078" s="311">
        <v>1.1699693428005057E-2</v>
      </c>
      <c r="AF1078" s="398">
        <v>442.09916445336478</v>
      </c>
      <c r="AG1078" s="311">
        <v>0.10062905301021489</v>
      </c>
      <c r="AH1078" s="398">
        <v>57.679327629418374</v>
      </c>
      <c r="AI1078" s="311">
        <v>1.3128765182786399E-2</v>
      </c>
      <c r="AJ1078" s="398">
        <v>57.679327629418381</v>
      </c>
      <c r="AK1078" s="311">
        <v>1.3128765182786401E-2</v>
      </c>
      <c r="AL1078" s="398">
        <v>31.080153213221731</v>
      </c>
      <c r="AM1078" s="311">
        <v>7.0743548885146201E-3</v>
      </c>
      <c r="AN1078" s="398">
        <v>0</v>
      </c>
      <c r="AO1078" s="311">
        <v>0</v>
      </c>
      <c r="AP1078" s="398">
        <v>0</v>
      </c>
      <c r="AQ1078" s="311">
        <v>0</v>
      </c>
      <c r="AR1078" s="398">
        <v>4393.3551119524809</v>
      </c>
      <c r="AS1078" s="311">
        <v>3.0673333705788078E-2</v>
      </c>
      <c r="AT1078" s="326"/>
    </row>
    <row r="1079" spans="1:46">
      <c r="A1079" s="313" t="s">
        <v>307</v>
      </c>
      <c r="B1079" s="398">
        <v>0</v>
      </c>
      <c r="C1079" s="311">
        <v>0</v>
      </c>
      <c r="D1079" s="398">
        <v>0</v>
      </c>
      <c r="E1079" s="311">
        <v>0</v>
      </c>
      <c r="F1079" s="398">
        <v>0</v>
      </c>
      <c r="G1079" s="311">
        <v>0</v>
      </c>
      <c r="H1079" s="398">
        <v>0</v>
      </c>
      <c r="I1079" s="311">
        <v>0</v>
      </c>
      <c r="J1079" s="398">
        <v>0</v>
      </c>
      <c r="K1079" s="311">
        <v>0</v>
      </c>
      <c r="L1079" s="398">
        <v>0</v>
      </c>
      <c r="M1079" s="311">
        <v>0</v>
      </c>
      <c r="N1079" s="398">
        <v>150.26259196378041</v>
      </c>
      <c r="O1079" s="311">
        <v>1.0793095799866027E-2</v>
      </c>
      <c r="P1079" s="398">
        <v>120.45614035087719</v>
      </c>
      <c r="Q1079" s="311">
        <v>8.652151180797563E-3</v>
      </c>
      <c r="R1079" s="398">
        <v>0</v>
      </c>
      <c r="S1079" s="311">
        <v>0</v>
      </c>
      <c r="T1079" s="398">
        <v>120.45614035087719</v>
      </c>
      <c r="U1079" s="311">
        <v>8.652151180797563E-3</v>
      </c>
      <c r="V1079" s="398">
        <v>507.99305448371666</v>
      </c>
      <c r="W1079" s="311">
        <v>3.6488241225273853E-2</v>
      </c>
      <c r="X1079" s="398">
        <v>0</v>
      </c>
      <c r="Y1079" s="311">
        <v>0</v>
      </c>
      <c r="Z1079" s="398">
        <v>120.45614035087719</v>
      </c>
      <c r="AA1079" s="311">
        <v>8.652151180797563E-3</v>
      </c>
      <c r="AB1079" s="398">
        <v>237.27432216905902</v>
      </c>
      <c r="AC1079" s="311">
        <v>1.7042994244610258E-2</v>
      </c>
      <c r="AD1079" s="398">
        <v>360.13808715336728</v>
      </c>
      <c r="AE1079" s="311">
        <v>2.5868080837868977E-2</v>
      </c>
      <c r="AF1079" s="398">
        <v>11587.198024386493</v>
      </c>
      <c r="AG1079" s="311">
        <v>0.8322879080867106</v>
      </c>
      <c r="AH1079" s="398">
        <v>180.06904357668364</v>
      </c>
      <c r="AI1079" s="311">
        <v>1.2934040418934489E-2</v>
      </c>
      <c r="AJ1079" s="398">
        <v>270.71873231465759</v>
      </c>
      <c r="AK1079" s="311">
        <v>1.9445246980663588E-2</v>
      </c>
      <c r="AL1079" s="398">
        <v>116.81818181818181</v>
      </c>
      <c r="AM1079" s="311">
        <v>8.3908430638126932E-3</v>
      </c>
      <c r="AN1079" s="398">
        <v>0</v>
      </c>
      <c r="AO1079" s="311">
        <v>0</v>
      </c>
      <c r="AP1079" s="398">
        <v>150.26259196378041</v>
      </c>
      <c r="AQ1079" s="311">
        <v>1.0793095799866027E-2</v>
      </c>
      <c r="AR1079" s="398">
        <v>13922.103050882362</v>
      </c>
      <c r="AS1079" s="311">
        <v>9.7200727435916831E-2</v>
      </c>
      <c r="AT1079" s="326"/>
    </row>
    <row r="1080" spans="1:46">
      <c r="A1080" s="313" t="s">
        <v>306</v>
      </c>
      <c r="B1080" s="398">
        <v>0</v>
      </c>
      <c r="C1080" s="311">
        <v>0</v>
      </c>
      <c r="D1080" s="398">
        <v>0</v>
      </c>
      <c r="E1080" s="311">
        <v>0</v>
      </c>
      <c r="F1080" s="398">
        <v>306.65033259423495</v>
      </c>
      <c r="G1080" s="311">
        <v>2.1565302142151382E-2</v>
      </c>
      <c r="H1080" s="398">
        <v>15.375</v>
      </c>
      <c r="I1080" s="311">
        <v>1.0812527664018942E-3</v>
      </c>
      <c r="J1080" s="398">
        <v>0</v>
      </c>
      <c r="K1080" s="311">
        <v>0</v>
      </c>
      <c r="L1080" s="398">
        <v>332.49896064301549</v>
      </c>
      <c r="M1080" s="311">
        <v>2.3383116814374962E-2</v>
      </c>
      <c r="N1080" s="398">
        <v>901.2837662337663</v>
      </c>
      <c r="O1080" s="311">
        <v>6.3383126214853855E-2</v>
      </c>
      <c r="P1080" s="398">
        <v>63.357142857142854</v>
      </c>
      <c r="Q1080" s="311">
        <v>4.4556153486572823E-3</v>
      </c>
      <c r="R1080" s="398">
        <v>63.357142857142854</v>
      </c>
      <c r="S1080" s="311">
        <v>4.4556153486572823E-3</v>
      </c>
      <c r="T1080" s="398">
        <v>57.112499999999997</v>
      </c>
      <c r="U1080" s="311">
        <v>4.0164584469026456E-3</v>
      </c>
      <c r="V1080" s="398">
        <v>1436.3966799968323</v>
      </c>
      <c r="W1080" s="311">
        <v>0.10101514692013472</v>
      </c>
      <c r="X1080" s="398">
        <v>0</v>
      </c>
      <c r="Y1080" s="311">
        <v>0</v>
      </c>
      <c r="Z1080" s="398">
        <v>291.70397727272723</v>
      </c>
      <c r="AA1080" s="311">
        <v>2.0514193977012787E-2</v>
      </c>
      <c r="AB1080" s="398">
        <v>274.30860389610388</v>
      </c>
      <c r="AC1080" s="311">
        <v>1.9290857678731951E-2</v>
      </c>
      <c r="AD1080" s="398">
        <v>657.80803571428567</v>
      </c>
      <c r="AE1080" s="311">
        <v>4.6260602170892187E-2</v>
      </c>
      <c r="AF1080" s="398">
        <v>531.2640501267025</v>
      </c>
      <c r="AG1080" s="311">
        <v>3.7361347895243681E-2</v>
      </c>
      <c r="AH1080" s="398">
        <v>9081.0338038485988</v>
      </c>
      <c r="AI1080" s="311">
        <v>0.63862718193173418</v>
      </c>
      <c r="AJ1080" s="398">
        <v>74.15625</v>
      </c>
      <c r="AK1080" s="311">
        <v>5.2150666964871847E-3</v>
      </c>
      <c r="AL1080" s="398">
        <v>76.19805194805194</v>
      </c>
      <c r="AM1080" s="311">
        <v>5.3586572008628552E-3</v>
      </c>
      <c r="AN1080" s="398">
        <v>0</v>
      </c>
      <c r="AO1080" s="311">
        <v>0</v>
      </c>
      <c r="AP1080" s="398">
        <v>57.112499999999997</v>
      </c>
      <c r="AQ1080" s="311">
        <v>4.0164584469026456E-3</v>
      </c>
      <c r="AR1080" s="398">
        <v>14219.616797988583</v>
      </c>
      <c r="AS1080" s="311">
        <v>9.9277895844685174E-2</v>
      </c>
      <c r="AT1080" s="326"/>
    </row>
    <row r="1081" spans="1:46">
      <c r="A1081" s="313" t="s">
        <v>305</v>
      </c>
      <c r="B1081" s="398">
        <v>0</v>
      </c>
      <c r="C1081" s="311">
        <v>0</v>
      </c>
      <c r="D1081" s="398">
        <v>0</v>
      </c>
      <c r="E1081" s="311">
        <v>0</v>
      </c>
      <c r="F1081" s="398">
        <v>133.60309397701945</v>
      </c>
      <c r="G1081" s="311">
        <v>8.8650218906080915E-3</v>
      </c>
      <c r="H1081" s="398">
        <v>74.049105819583048</v>
      </c>
      <c r="I1081" s="311">
        <v>4.9134112431817754E-3</v>
      </c>
      <c r="J1081" s="398">
        <v>255.47891522676622</v>
      </c>
      <c r="K1081" s="311">
        <v>1.6951899156344805E-2</v>
      </c>
      <c r="L1081" s="398">
        <v>298.20025469595669</v>
      </c>
      <c r="M1081" s="311">
        <v>1.9786606035630219E-2</v>
      </c>
      <c r="N1081" s="398">
        <v>368.19588883599357</v>
      </c>
      <c r="O1081" s="311">
        <v>2.4431055579629209E-2</v>
      </c>
      <c r="P1081" s="398">
        <v>286.47298196868394</v>
      </c>
      <c r="Q1081" s="311">
        <v>1.9008461410758834E-2</v>
      </c>
      <c r="R1081" s="398">
        <v>0</v>
      </c>
      <c r="S1081" s="311">
        <v>0</v>
      </c>
      <c r="T1081" s="398">
        <v>815.89751282212478</v>
      </c>
      <c r="U1081" s="311">
        <v>5.4137588407233615E-2</v>
      </c>
      <c r="V1081" s="398">
        <v>1928.8067060287678</v>
      </c>
      <c r="W1081" s="311">
        <v>0.1279829168824326</v>
      </c>
      <c r="X1081" s="398">
        <v>0</v>
      </c>
      <c r="Y1081" s="311">
        <v>0</v>
      </c>
      <c r="Z1081" s="398">
        <v>2368.659429872896</v>
      </c>
      <c r="AA1081" s="311">
        <v>0.15716864836102018</v>
      </c>
      <c r="AB1081" s="398">
        <v>666.44756695729916</v>
      </c>
      <c r="AC1081" s="311">
        <v>4.422107373527729E-2</v>
      </c>
      <c r="AD1081" s="398">
        <v>2890.8893611082117</v>
      </c>
      <c r="AE1081" s="311">
        <v>0.19182038908439109</v>
      </c>
      <c r="AF1081" s="398">
        <v>3332.6683998904618</v>
      </c>
      <c r="AG1081" s="311">
        <v>0.22113393814254453</v>
      </c>
      <c r="AH1081" s="398">
        <v>1194.2380460990771</v>
      </c>
      <c r="AI1081" s="311">
        <v>7.9241775816107765E-2</v>
      </c>
      <c r="AJ1081" s="398">
        <v>105.82234957020057</v>
      </c>
      <c r="AK1081" s="311">
        <v>7.0216745550576234E-3</v>
      </c>
      <c r="AL1081" s="398">
        <v>52.911174785100286</v>
      </c>
      <c r="AM1081" s="311">
        <v>3.5108372775288117E-3</v>
      </c>
      <c r="AN1081" s="398">
        <v>0</v>
      </c>
      <c r="AO1081" s="311">
        <v>0</v>
      </c>
      <c r="AP1081" s="398">
        <v>298.47298196868394</v>
      </c>
      <c r="AQ1081" s="311">
        <v>1.9804702422255134E-2</v>
      </c>
      <c r="AR1081" s="398">
        <v>15070.813769626802</v>
      </c>
      <c r="AS1081" s="311">
        <v>0.10522074546532784</v>
      </c>
      <c r="AT1081" s="326"/>
    </row>
    <row r="1082" spans="1:46" ht="28.5">
      <c r="A1082" s="313" t="s">
        <v>304</v>
      </c>
      <c r="B1082" s="398">
        <v>765.03677168966681</v>
      </c>
      <c r="C1082" s="311">
        <v>1.5382924995261442E-2</v>
      </c>
      <c r="D1082" s="398">
        <v>351.42928792942519</v>
      </c>
      <c r="E1082" s="311">
        <v>7.066340570031325E-3</v>
      </c>
      <c r="F1082" s="398">
        <v>4151.0594635594525</v>
      </c>
      <c r="G1082" s="311">
        <v>8.346714660234382E-2</v>
      </c>
      <c r="H1082" s="398">
        <v>518.43689419343252</v>
      </c>
      <c r="I1082" s="311">
        <v>1.0424434685067548E-2</v>
      </c>
      <c r="J1082" s="398">
        <v>456.28947997749918</v>
      </c>
      <c r="K1082" s="311">
        <v>9.1748097691021387E-3</v>
      </c>
      <c r="L1082" s="398">
        <v>2011.5861841894832</v>
      </c>
      <c r="M1082" s="311">
        <v>4.0447832755212056E-2</v>
      </c>
      <c r="N1082" s="398">
        <v>7931.3247783943943</v>
      </c>
      <c r="O1082" s="311">
        <v>0.15947857500971346</v>
      </c>
      <c r="P1082" s="398">
        <v>2328.4240171483925</v>
      </c>
      <c r="Q1082" s="311">
        <v>4.6818627990718911E-2</v>
      </c>
      <c r="R1082" s="398">
        <v>1130.9704983255951</v>
      </c>
      <c r="S1082" s="311">
        <v>2.2740912582765824E-2</v>
      </c>
      <c r="T1082" s="398">
        <v>2897.1326767264486</v>
      </c>
      <c r="U1082" s="311">
        <v>5.8253898788386736E-2</v>
      </c>
      <c r="V1082" s="398">
        <v>10583.842075769706</v>
      </c>
      <c r="W1082" s="311">
        <v>0.21281388664975281</v>
      </c>
      <c r="X1082" s="398">
        <v>572.78801635213188</v>
      </c>
      <c r="Y1082" s="311">
        <v>1.1517296187304875E-2</v>
      </c>
      <c r="Z1082" s="398">
        <v>3035.3423285507488</v>
      </c>
      <c r="AA1082" s="311">
        <v>6.1032939987855812E-2</v>
      </c>
      <c r="AB1082" s="398">
        <v>2509.3046757325051</v>
      </c>
      <c r="AC1082" s="311">
        <v>5.0455673564289844E-2</v>
      </c>
      <c r="AD1082" s="398">
        <v>2850.3405326826328</v>
      </c>
      <c r="AE1082" s="311">
        <v>5.7313028925878376E-2</v>
      </c>
      <c r="AF1082" s="398">
        <v>3961.7133913020657</v>
      </c>
      <c r="AG1082" s="311">
        <v>7.9659883297535969E-2</v>
      </c>
      <c r="AH1082" s="398">
        <v>2660.6479822904666</v>
      </c>
      <c r="AI1082" s="311">
        <v>5.3498798835476633E-2</v>
      </c>
      <c r="AJ1082" s="398">
        <v>437.4119348870779</v>
      </c>
      <c r="AK1082" s="311">
        <v>8.7952308116367953E-3</v>
      </c>
      <c r="AL1082" s="398">
        <v>441.67551048492084</v>
      </c>
      <c r="AM1082" s="311">
        <v>8.8809603687774151E-3</v>
      </c>
      <c r="AN1082" s="398">
        <v>0</v>
      </c>
      <c r="AO1082" s="311">
        <v>0</v>
      </c>
      <c r="AP1082" s="398">
        <v>138.09807235640082</v>
      </c>
      <c r="AQ1082" s="311">
        <v>2.7767976228865949E-3</v>
      </c>
      <c r="AR1082" s="398">
        <v>49732.854572542528</v>
      </c>
      <c r="AS1082" s="311">
        <v>0.34722265912328676</v>
      </c>
      <c r="AT1082" s="326"/>
    </row>
    <row r="1083" spans="1:46" ht="28.5">
      <c r="A1083" s="313" t="s">
        <v>303</v>
      </c>
      <c r="B1083" s="398">
        <v>334.83872650207473</v>
      </c>
      <c r="C1083" s="311">
        <v>8.3019399579577682E-3</v>
      </c>
      <c r="D1083" s="398">
        <v>1554.6415134734727</v>
      </c>
      <c r="E1083" s="311">
        <v>3.854554291206036E-2</v>
      </c>
      <c r="F1083" s="398">
        <v>6346.2426607552115</v>
      </c>
      <c r="G1083" s="311">
        <v>0.15734776582927143</v>
      </c>
      <c r="H1083" s="398">
        <v>878.20985336665353</v>
      </c>
      <c r="I1083" s="311">
        <v>2.1774200222600827E-2</v>
      </c>
      <c r="J1083" s="398">
        <v>476.72714667043931</v>
      </c>
      <c r="K1083" s="311">
        <v>1.1819899655370331E-2</v>
      </c>
      <c r="L1083" s="398">
        <v>3963.2969313590224</v>
      </c>
      <c r="M1083" s="311">
        <v>9.8265375404529273E-2</v>
      </c>
      <c r="N1083" s="398">
        <v>3367.2315695297279</v>
      </c>
      <c r="O1083" s="311">
        <v>8.3486622371329824E-2</v>
      </c>
      <c r="P1083" s="398">
        <v>1646.4705362169034</v>
      </c>
      <c r="Q1083" s="311">
        <v>4.0822337598200635E-2</v>
      </c>
      <c r="R1083" s="398">
        <v>358.18107889852337</v>
      </c>
      <c r="S1083" s="311">
        <v>8.8806866581893126E-3</v>
      </c>
      <c r="T1083" s="398">
        <v>7177.0090305696158</v>
      </c>
      <c r="U1083" s="311">
        <v>0.17794565960738848</v>
      </c>
      <c r="V1083" s="398">
        <v>3672.7052249172261</v>
      </c>
      <c r="W1083" s="311">
        <v>9.1060489266171149E-2</v>
      </c>
      <c r="X1083" s="398">
        <v>163.98425196850394</v>
      </c>
      <c r="Y1083" s="311">
        <v>4.0658003574287945E-3</v>
      </c>
      <c r="Z1083" s="398">
        <v>2782.2671841157285</v>
      </c>
      <c r="AA1083" s="311">
        <v>6.8983105242403586E-2</v>
      </c>
      <c r="AB1083" s="398">
        <v>1658.0758490052494</v>
      </c>
      <c r="AC1083" s="311">
        <v>4.1110077941047658E-2</v>
      </c>
      <c r="AD1083" s="398">
        <v>1164.8510070747739</v>
      </c>
      <c r="AE1083" s="311">
        <v>2.8881136963234421E-2</v>
      </c>
      <c r="AF1083" s="398">
        <v>2495.8348129070837</v>
      </c>
      <c r="AG1083" s="311">
        <v>6.1881345022995665E-2</v>
      </c>
      <c r="AH1083" s="398">
        <v>1436.073001328039</v>
      </c>
      <c r="AI1083" s="311">
        <v>3.5605773432529506E-2</v>
      </c>
      <c r="AJ1083" s="398">
        <v>135.67937736294036</v>
      </c>
      <c r="AK1083" s="311">
        <v>3.3640136437242296E-3</v>
      </c>
      <c r="AL1083" s="398">
        <v>720.268554391473</v>
      </c>
      <c r="AM1083" s="311">
        <v>1.7858227913568406E-2</v>
      </c>
      <c r="AN1083" s="398">
        <v>0</v>
      </c>
      <c r="AO1083" s="311">
        <v>0</v>
      </c>
      <c r="AP1083" s="398">
        <v>0</v>
      </c>
      <c r="AQ1083" s="311">
        <v>0</v>
      </c>
      <c r="AR1083" s="398">
        <v>40332.588310412597</v>
      </c>
      <c r="AS1083" s="311">
        <v>0.28159229311960837</v>
      </c>
      <c r="AT1083" s="326"/>
    </row>
    <row r="1084" spans="1:46" ht="15.75" thickBot="1">
      <c r="A1084" s="313" t="s">
        <v>302</v>
      </c>
      <c r="B1084" s="398">
        <v>0</v>
      </c>
      <c r="C1084" s="311">
        <v>0</v>
      </c>
      <c r="D1084" s="398">
        <v>268.98124999999999</v>
      </c>
      <c r="E1084" s="311">
        <v>0.13711018444504686</v>
      </c>
      <c r="F1084" s="398">
        <v>333.78749999999997</v>
      </c>
      <c r="G1084" s="311">
        <v>0.17014444572047707</v>
      </c>
      <c r="H1084" s="398">
        <v>0</v>
      </c>
      <c r="I1084" s="311">
        <v>0</v>
      </c>
      <c r="J1084" s="398">
        <v>69.888888888888886</v>
      </c>
      <c r="K1084" s="311">
        <v>3.562507961508448E-2</v>
      </c>
      <c r="L1084" s="398">
        <v>0</v>
      </c>
      <c r="M1084" s="311">
        <v>0</v>
      </c>
      <c r="N1084" s="398">
        <v>24.714285714285715</v>
      </c>
      <c r="O1084" s="311">
        <v>1.2597830788254948E-2</v>
      </c>
      <c r="P1084" s="398">
        <v>0</v>
      </c>
      <c r="Q1084" s="311">
        <v>0</v>
      </c>
      <c r="R1084" s="398">
        <v>0</v>
      </c>
      <c r="S1084" s="311">
        <v>0</v>
      </c>
      <c r="T1084" s="398">
        <v>0</v>
      </c>
      <c r="U1084" s="311">
        <v>0</v>
      </c>
      <c r="V1084" s="398">
        <v>90.2</v>
      </c>
      <c r="W1084" s="311">
        <v>4.5978441385573256E-2</v>
      </c>
      <c r="X1084" s="398">
        <v>0</v>
      </c>
      <c r="Y1084" s="311">
        <v>0</v>
      </c>
      <c r="Z1084" s="398">
        <v>67.59375</v>
      </c>
      <c r="AA1084" s="311">
        <v>3.4455158230666215E-2</v>
      </c>
      <c r="AB1084" s="398">
        <v>0</v>
      </c>
      <c r="AC1084" s="311">
        <v>0</v>
      </c>
      <c r="AD1084" s="398">
        <v>66.2</v>
      </c>
      <c r="AE1084" s="311">
        <v>3.3744709753048226E-2</v>
      </c>
      <c r="AF1084" s="398">
        <v>888.62956349206354</v>
      </c>
      <c r="AG1084" s="311">
        <v>0.45296898335374053</v>
      </c>
      <c r="AH1084" s="398">
        <v>84.2</v>
      </c>
      <c r="AI1084" s="311">
        <v>4.2920008477441998E-2</v>
      </c>
      <c r="AJ1084" s="398">
        <v>0</v>
      </c>
      <c r="AK1084" s="311">
        <v>0</v>
      </c>
      <c r="AL1084" s="398">
        <v>67.59375</v>
      </c>
      <c r="AM1084" s="311">
        <v>3.4455158230666215E-2</v>
      </c>
      <c r="AN1084" s="398">
        <v>0</v>
      </c>
      <c r="AO1084" s="311">
        <v>0</v>
      </c>
      <c r="AP1084" s="398">
        <v>0</v>
      </c>
      <c r="AQ1084" s="311">
        <v>0</v>
      </c>
      <c r="AR1084" s="398">
        <v>1961.7889880952384</v>
      </c>
      <c r="AS1084" s="311">
        <v>1.3696732169105936E-2</v>
      </c>
      <c r="AT1084" s="326"/>
    </row>
    <row r="1085" spans="1:46" ht="15.75" customHeight="1">
      <c r="A1085" s="316" t="s">
        <v>3</v>
      </c>
      <c r="B1085" s="400">
        <v>1174.817514379597</v>
      </c>
      <c r="C1085" s="399">
        <v>1.1779839595474699E-2</v>
      </c>
      <c r="D1085" s="400">
        <v>1429.4521763523933</v>
      </c>
      <c r="E1085" s="399">
        <v>1.43330492955118E-2</v>
      </c>
      <c r="F1085" s="400">
        <v>7847.3044770088254</v>
      </c>
      <c r="G1085" s="399">
        <v>7.8684550463848479E-2</v>
      </c>
      <c r="H1085" s="400">
        <v>866.41749881865894</v>
      </c>
      <c r="I1085" s="399">
        <v>8.6875272405059108E-3</v>
      </c>
      <c r="J1085" s="400">
        <v>1211.8290003968405</v>
      </c>
      <c r="K1085" s="399">
        <v>1.2150952013477356E-2</v>
      </c>
      <c r="L1085" s="400">
        <v>4403.6929405495212</v>
      </c>
      <c r="M1085" s="399">
        <v>4.4155620624018309E-2</v>
      </c>
      <c r="N1085" s="400">
        <v>8209.0861161510784</v>
      </c>
      <c r="O1085" s="399">
        <v>8.2312117831138037E-2</v>
      </c>
      <c r="P1085" s="400">
        <v>2400.7276808860192</v>
      </c>
      <c r="Q1085" s="399">
        <v>2.4071982794866321E-2</v>
      </c>
      <c r="R1085" s="400">
        <v>676.27097438448425</v>
      </c>
      <c r="S1085" s="399">
        <v>6.7809370424065539E-3</v>
      </c>
      <c r="T1085" s="400">
        <v>7065.9560561161898</v>
      </c>
      <c r="U1085" s="399">
        <v>7.0850006840149374E-2</v>
      </c>
      <c r="V1085" s="400">
        <v>13561.297218167743</v>
      </c>
      <c r="W1085" s="399">
        <v>0.13597848515301947</v>
      </c>
      <c r="X1085" s="400">
        <v>334.55872765582285</v>
      </c>
      <c r="Y1085" s="399">
        <v>3.3546045226716809E-3</v>
      </c>
      <c r="Z1085" s="400">
        <v>6642.750132745773</v>
      </c>
      <c r="AA1085" s="399">
        <v>6.6606541083009285E-2</v>
      </c>
      <c r="AB1085" s="400">
        <v>2891.4371255810579</v>
      </c>
      <c r="AC1085" s="399">
        <v>2.8992303164404393E-2</v>
      </c>
      <c r="AD1085" s="400">
        <v>6016.2508595830377</v>
      </c>
      <c r="AE1085" s="399">
        <v>6.0324662532334282E-2</v>
      </c>
      <c r="AF1085" s="400">
        <v>20637.075486948735</v>
      </c>
      <c r="AG1085" s="399">
        <v>0.20692697885453057</v>
      </c>
      <c r="AH1085" s="400">
        <v>11392.688562325769</v>
      </c>
      <c r="AI1085" s="399">
        <v>0.11423394883269843</v>
      </c>
      <c r="AJ1085" s="400">
        <v>895.4542513957814</v>
      </c>
      <c r="AK1085" s="399">
        <v>8.9786773838646597E-3</v>
      </c>
      <c r="AL1085" s="400">
        <v>1064.5266812556215</v>
      </c>
      <c r="AM1085" s="399">
        <v>1.0673958633410738E-2</v>
      </c>
      <c r="AN1085" s="400">
        <v>61.186773120425812</v>
      </c>
      <c r="AO1085" s="399">
        <v>6.1351687721811568E-4</v>
      </c>
      <c r="AP1085" s="400">
        <v>948.41768463755193</v>
      </c>
      <c r="AQ1085" s="399">
        <v>9.5097392214498443E-3</v>
      </c>
      <c r="AR1085" s="400">
        <v>99731.1979384601</v>
      </c>
      <c r="AS1085" s="399">
        <v>1</v>
      </c>
      <c r="AT1085" s="326"/>
    </row>
    <row r="1086" spans="1:46">
      <c r="A1086" s="313" t="s">
        <v>309</v>
      </c>
      <c r="B1086" s="398">
        <v>111.55614973262031</v>
      </c>
      <c r="C1086" s="311">
        <v>8.5490077725123945E-2</v>
      </c>
      <c r="D1086" s="398">
        <v>0</v>
      </c>
      <c r="E1086" s="311">
        <v>0</v>
      </c>
      <c r="F1086" s="398">
        <v>79.584313725490205</v>
      </c>
      <c r="G1086" s="311">
        <v>6.0988741386288042E-2</v>
      </c>
      <c r="H1086" s="398">
        <v>23.411764705882351</v>
      </c>
      <c r="I1086" s="311">
        <v>1.7941400713321155E-2</v>
      </c>
      <c r="J1086" s="398">
        <v>11.705882352941176</v>
      </c>
      <c r="K1086" s="311">
        <v>8.9707003566605777E-3</v>
      </c>
      <c r="L1086" s="398">
        <v>0</v>
      </c>
      <c r="M1086" s="311">
        <v>0</v>
      </c>
      <c r="N1086" s="398">
        <v>122.43398692810457</v>
      </c>
      <c r="O1086" s="311">
        <v>9.3826212931942266E-2</v>
      </c>
      <c r="P1086" s="398">
        <v>11.705882352941176</v>
      </c>
      <c r="Q1086" s="311">
        <v>8.9707003566605777E-3</v>
      </c>
      <c r="R1086" s="398">
        <v>0</v>
      </c>
      <c r="S1086" s="311">
        <v>0</v>
      </c>
      <c r="T1086" s="398">
        <v>72.464646464646464</v>
      </c>
      <c r="U1086" s="311">
        <v>5.5532646774154142E-2</v>
      </c>
      <c r="V1086" s="398">
        <v>321.21830065359472</v>
      </c>
      <c r="W1086" s="311">
        <v>0.24616282970886844</v>
      </c>
      <c r="X1086" s="398">
        <v>0</v>
      </c>
      <c r="Y1086" s="311">
        <v>0</v>
      </c>
      <c r="Z1086" s="398">
        <v>105.7281045751634</v>
      </c>
      <c r="AA1086" s="311">
        <v>8.1023806392788486E-2</v>
      </c>
      <c r="AB1086" s="398">
        <v>127.02020202020202</v>
      </c>
      <c r="AC1086" s="311">
        <v>9.734081867646896E-2</v>
      </c>
      <c r="AD1086" s="398">
        <v>95.876411170528812</v>
      </c>
      <c r="AE1086" s="311">
        <v>7.3474047487475297E-2</v>
      </c>
      <c r="AF1086" s="398">
        <v>155.93464052287581</v>
      </c>
      <c r="AG1086" s="311">
        <v>0.11949914523127195</v>
      </c>
      <c r="AH1086" s="398">
        <v>11.705882352941176</v>
      </c>
      <c r="AI1086" s="311">
        <v>8.9707003566605777E-3</v>
      </c>
      <c r="AJ1086" s="398">
        <v>0</v>
      </c>
      <c r="AK1086" s="311">
        <v>0</v>
      </c>
      <c r="AL1086" s="398">
        <v>54.555555555555557</v>
      </c>
      <c r="AM1086" s="311">
        <v>4.1808171902314825E-2</v>
      </c>
      <c r="AN1086" s="398">
        <v>0</v>
      </c>
      <c r="AO1086" s="311">
        <v>0</v>
      </c>
      <c r="AP1086" s="398">
        <v>0</v>
      </c>
      <c r="AQ1086" s="311">
        <v>0</v>
      </c>
      <c r="AR1086" s="398">
        <v>1304.9017231134887</v>
      </c>
      <c r="AS1086" s="311">
        <v>1.3084187797670779E-2</v>
      </c>
      <c r="AT1086" s="326"/>
    </row>
    <row r="1087" spans="1:46">
      <c r="A1087" s="313" t="s">
        <v>308</v>
      </c>
      <c r="B1087" s="398">
        <v>44.237373737373737</v>
      </c>
      <c r="C1087" s="311">
        <v>1.0447669883143303E-2</v>
      </c>
      <c r="D1087" s="398">
        <v>44.237373737373737</v>
      </c>
      <c r="E1087" s="311">
        <v>1.0447669883143303E-2</v>
      </c>
      <c r="F1087" s="398">
        <v>588.23137030684165</v>
      </c>
      <c r="G1087" s="311">
        <v>0.13892432241479979</v>
      </c>
      <c r="H1087" s="398">
        <v>25.90556508481037</v>
      </c>
      <c r="I1087" s="311">
        <v>6.1181930407799559E-3</v>
      </c>
      <c r="J1087" s="398">
        <v>0</v>
      </c>
      <c r="K1087" s="311">
        <v>0</v>
      </c>
      <c r="L1087" s="398">
        <v>30.764150943396224</v>
      </c>
      <c r="M1087" s="311">
        <v>7.265659467036817E-3</v>
      </c>
      <c r="N1087" s="398">
        <v>363.34095673718309</v>
      </c>
      <c r="O1087" s="311">
        <v>8.5811295976832652E-2</v>
      </c>
      <c r="P1087" s="398">
        <v>51.80808080808081</v>
      </c>
      <c r="Q1087" s="311">
        <v>1.2235665904930243E-2</v>
      </c>
      <c r="R1087" s="398">
        <v>99.238898418143691</v>
      </c>
      <c r="S1087" s="311">
        <v>2.3437540763492679E-2</v>
      </c>
      <c r="T1087" s="398">
        <v>480.29502572898792</v>
      </c>
      <c r="U1087" s="311">
        <v>0.11343268036485814</v>
      </c>
      <c r="V1087" s="398">
        <v>356.33743091290256</v>
      </c>
      <c r="W1087" s="311">
        <v>8.4157252808163857E-2</v>
      </c>
      <c r="X1087" s="398">
        <v>10.764150943396226</v>
      </c>
      <c r="Y1087" s="311">
        <v>2.5422009972060743E-3</v>
      </c>
      <c r="Z1087" s="398">
        <v>1047.2612921669518</v>
      </c>
      <c r="AA1087" s="311">
        <v>0.24733476103059385</v>
      </c>
      <c r="AB1087" s="398">
        <v>137.51820087669145</v>
      </c>
      <c r="AC1087" s="311">
        <v>3.2478075534344689E-2</v>
      </c>
      <c r="AD1087" s="398">
        <v>69.092754757104302</v>
      </c>
      <c r="AE1087" s="311">
        <v>1.6317837883069133E-2</v>
      </c>
      <c r="AF1087" s="398">
        <v>621.79562757666042</v>
      </c>
      <c r="AG1087" s="311">
        <v>0.14685129117903498</v>
      </c>
      <c r="AH1087" s="398">
        <v>111.80960548885076</v>
      </c>
      <c r="AI1087" s="311">
        <v>2.6406401402737308E-2</v>
      </c>
      <c r="AJ1087" s="398">
        <v>114.88111000772372</v>
      </c>
      <c r="AK1087" s="311">
        <v>2.7131807604476997E-2</v>
      </c>
      <c r="AL1087" s="398">
        <v>36.666666666666664</v>
      </c>
      <c r="AM1087" s="311">
        <v>8.6596738613563609E-3</v>
      </c>
      <c r="AN1087" s="398">
        <v>0</v>
      </c>
      <c r="AO1087" s="311">
        <v>0</v>
      </c>
      <c r="AP1087" s="398">
        <v>0</v>
      </c>
      <c r="AQ1087" s="311">
        <v>0</v>
      </c>
      <c r="AR1087" s="398">
        <v>4234.1856348991387</v>
      </c>
      <c r="AS1087" s="311">
        <v>4.2455978895509457E-2</v>
      </c>
      <c r="AT1087" s="326"/>
    </row>
    <row r="1088" spans="1:46">
      <c r="A1088" s="313" t="s">
        <v>307</v>
      </c>
      <c r="B1088" s="398">
        <v>191.328125</v>
      </c>
      <c r="C1088" s="311">
        <v>1.5559182886296541E-2</v>
      </c>
      <c r="D1088" s="398">
        <v>0</v>
      </c>
      <c r="E1088" s="311">
        <v>0</v>
      </c>
      <c r="F1088" s="398">
        <v>0</v>
      </c>
      <c r="G1088" s="311">
        <v>0</v>
      </c>
      <c r="H1088" s="398">
        <v>0</v>
      </c>
      <c r="I1088" s="311">
        <v>0</v>
      </c>
      <c r="J1088" s="398">
        <v>0</v>
      </c>
      <c r="K1088" s="311">
        <v>0</v>
      </c>
      <c r="L1088" s="398">
        <v>95.6640625</v>
      </c>
      <c r="M1088" s="311">
        <v>7.7795914431482704E-3</v>
      </c>
      <c r="N1088" s="398">
        <v>0</v>
      </c>
      <c r="O1088" s="311">
        <v>0</v>
      </c>
      <c r="P1088" s="398">
        <v>191.328125</v>
      </c>
      <c r="Q1088" s="311">
        <v>1.5559182886296541E-2</v>
      </c>
      <c r="R1088" s="398">
        <v>0</v>
      </c>
      <c r="S1088" s="311">
        <v>0</v>
      </c>
      <c r="T1088" s="398">
        <v>95.6640625</v>
      </c>
      <c r="U1088" s="311">
        <v>7.7795914431482704E-3</v>
      </c>
      <c r="V1088" s="398">
        <v>600.04513888888891</v>
      </c>
      <c r="W1088" s="311">
        <v>4.8796861705540845E-2</v>
      </c>
      <c r="X1088" s="398">
        <v>0</v>
      </c>
      <c r="Y1088" s="311">
        <v>0</v>
      </c>
      <c r="Z1088" s="398">
        <v>0</v>
      </c>
      <c r="AA1088" s="311">
        <v>0</v>
      </c>
      <c r="AB1088" s="398">
        <v>0</v>
      </c>
      <c r="AC1088" s="311">
        <v>0</v>
      </c>
      <c r="AD1088" s="398">
        <v>600.0451388888888</v>
      </c>
      <c r="AE1088" s="311">
        <v>4.8796861705540831E-2</v>
      </c>
      <c r="AF1088" s="398">
        <v>9731.3498263888887</v>
      </c>
      <c r="AG1088" s="311">
        <v>0.79137268333819089</v>
      </c>
      <c r="AH1088" s="398">
        <v>95.6640625</v>
      </c>
      <c r="AI1088" s="311">
        <v>7.7795914431482704E-3</v>
      </c>
      <c r="AJ1088" s="398">
        <v>286.9921875</v>
      </c>
      <c r="AK1088" s="311">
        <v>2.3338774329444808E-2</v>
      </c>
      <c r="AL1088" s="398">
        <v>217.38888888888889</v>
      </c>
      <c r="AM1088" s="311">
        <v>1.7678495932947756E-2</v>
      </c>
      <c r="AN1088" s="398">
        <v>0</v>
      </c>
      <c r="AO1088" s="311">
        <v>0</v>
      </c>
      <c r="AP1088" s="398">
        <v>191.328125</v>
      </c>
      <c r="AQ1088" s="311">
        <v>1.5559182886296541E-2</v>
      </c>
      <c r="AR1088" s="398">
        <v>12296.79774305556</v>
      </c>
      <c r="AS1088" s="311">
        <v>0.12329940878323142</v>
      </c>
      <c r="AT1088" s="326"/>
    </row>
    <row r="1089" spans="1:46">
      <c r="A1089" s="313" t="s">
        <v>306</v>
      </c>
      <c r="B1089" s="398">
        <v>0</v>
      </c>
      <c r="C1089" s="311">
        <v>0</v>
      </c>
      <c r="D1089" s="398">
        <v>0</v>
      </c>
      <c r="E1089" s="311">
        <v>0</v>
      </c>
      <c r="F1089" s="398">
        <v>169.52203703703705</v>
      </c>
      <c r="G1089" s="311">
        <v>1.743916936575609E-2</v>
      </c>
      <c r="H1089" s="398">
        <v>0</v>
      </c>
      <c r="I1089" s="311">
        <v>0</v>
      </c>
      <c r="J1089" s="398">
        <v>0</v>
      </c>
      <c r="K1089" s="311">
        <v>0</v>
      </c>
      <c r="L1089" s="398">
        <v>25.033333333333335</v>
      </c>
      <c r="M1089" s="311">
        <v>2.5752435932211459E-3</v>
      </c>
      <c r="N1089" s="398">
        <v>225.62314814814815</v>
      </c>
      <c r="O1089" s="311">
        <v>2.321043542280575E-2</v>
      </c>
      <c r="P1089" s="398">
        <v>16.192592592592593</v>
      </c>
      <c r="Q1089" s="311">
        <v>1.665773781559824E-3</v>
      </c>
      <c r="R1089" s="398">
        <v>8.9333333333333336</v>
      </c>
      <c r="S1089" s="311">
        <v>9.189950505769204E-4</v>
      </c>
      <c r="T1089" s="398">
        <v>7.2592592592592595</v>
      </c>
      <c r="U1089" s="311">
        <v>7.4677873098290368E-4</v>
      </c>
      <c r="V1089" s="398">
        <v>849.44477705861243</v>
      </c>
      <c r="W1089" s="311">
        <v>8.7384576028576147E-2</v>
      </c>
      <c r="X1089" s="398">
        <v>0</v>
      </c>
      <c r="Y1089" s="311">
        <v>0</v>
      </c>
      <c r="Z1089" s="398">
        <v>158.90136281912982</v>
      </c>
      <c r="AA1089" s="311">
        <v>1.634659320455684E-2</v>
      </c>
      <c r="AB1089" s="398">
        <v>52.287592592592588</v>
      </c>
      <c r="AC1089" s="311">
        <v>5.3789595670718313E-3</v>
      </c>
      <c r="AD1089" s="398">
        <v>403.09013304566702</v>
      </c>
      <c r="AE1089" s="311">
        <v>4.1466922075226897E-2</v>
      </c>
      <c r="AF1089" s="398">
        <v>718.43996224379737</v>
      </c>
      <c r="AG1089" s="311">
        <v>7.3907772698364099E-2</v>
      </c>
      <c r="AH1089" s="398">
        <v>6989.936783531105</v>
      </c>
      <c r="AI1089" s="311">
        <v>0.71907283297507207</v>
      </c>
      <c r="AJ1089" s="398">
        <v>7.2592592592592595</v>
      </c>
      <c r="AK1089" s="311">
        <v>7.4677873098290368E-4</v>
      </c>
      <c r="AL1089" s="398">
        <v>7.2592592592592595</v>
      </c>
      <c r="AM1089" s="311">
        <v>7.4677873098290368E-4</v>
      </c>
      <c r="AN1089" s="398">
        <v>0</v>
      </c>
      <c r="AO1089" s="311">
        <v>0</v>
      </c>
      <c r="AP1089" s="398">
        <v>81.580436893203881</v>
      </c>
      <c r="AQ1089" s="311">
        <v>8.3923900442638612E-3</v>
      </c>
      <c r="AR1089" s="398">
        <v>9720.763270406329</v>
      </c>
      <c r="AS1089" s="311">
        <v>9.7469633087176988E-2</v>
      </c>
      <c r="AT1089" s="326"/>
    </row>
    <row r="1090" spans="1:46">
      <c r="A1090" s="313" t="s">
        <v>305</v>
      </c>
      <c r="B1090" s="398">
        <v>45.954268292682926</v>
      </c>
      <c r="C1090" s="311">
        <v>3.122290367134893E-3</v>
      </c>
      <c r="D1090" s="398">
        <v>148.17466561762393</v>
      </c>
      <c r="E1090" s="311">
        <v>1.0067494235024206E-2</v>
      </c>
      <c r="F1090" s="398">
        <v>510.89641948893569</v>
      </c>
      <c r="G1090" s="311">
        <v>3.4712052404237755E-2</v>
      </c>
      <c r="H1090" s="398">
        <v>11.181818181818182</v>
      </c>
      <c r="I1090" s="311">
        <v>7.5973102158398897E-4</v>
      </c>
      <c r="J1090" s="398">
        <v>240.08320220298975</v>
      </c>
      <c r="K1090" s="311">
        <v>1.6312074969293988E-2</v>
      </c>
      <c r="L1090" s="398">
        <v>423.6037610917337</v>
      </c>
      <c r="M1090" s="311">
        <v>2.878109024204448E-2</v>
      </c>
      <c r="N1090" s="398">
        <v>459.54268292682917</v>
      </c>
      <c r="O1090" s="311">
        <v>3.1222903671348917E-2</v>
      </c>
      <c r="P1090" s="398">
        <v>149.04462305986698</v>
      </c>
      <c r="Q1090" s="311">
        <v>1.0126602122988668E-2</v>
      </c>
      <c r="R1090" s="398">
        <v>148.17466561762393</v>
      </c>
      <c r="S1090" s="311">
        <v>1.0067494235024206E-2</v>
      </c>
      <c r="T1090" s="398">
        <v>947.27502244481116</v>
      </c>
      <c r="U1090" s="311">
        <v>6.4361109152462737E-2</v>
      </c>
      <c r="V1090" s="398">
        <v>2239.0261268848699</v>
      </c>
      <c r="W1090" s="311">
        <v>0.15212710304102703</v>
      </c>
      <c r="X1090" s="398">
        <v>45.954268292682926</v>
      </c>
      <c r="Y1090" s="311">
        <v>3.122290367134893E-3</v>
      </c>
      <c r="Z1090" s="398">
        <v>1784.9692795884478</v>
      </c>
      <c r="AA1090" s="311">
        <v>0.12127692582971911</v>
      </c>
      <c r="AB1090" s="398">
        <v>307.53114941706599</v>
      </c>
      <c r="AC1090" s="311">
        <v>2.0894719491632397E-2</v>
      </c>
      <c r="AD1090" s="398">
        <v>1629.6552308169139</v>
      </c>
      <c r="AE1090" s="311">
        <v>0.11072435745301201</v>
      </c>
      <c r="AF1090" s="398">
        <v>3524.9126014911653</v>
      </c>
      <c r="AG1090" s="311">
        <v>0.23949463389411993</v>
      </c>
      <c r="AH1090" s="398">
        <v>1487.9555580467263</v>
      </c>
      <c r="AI1090" s="311">
        <v>0.10109679640691505</v>
      </c>
      <c r="AJ1090" s="398">
        <v>123.71407624633432</v>
      </c>
      <c r="AK1090" s="311">
        <v>8.4055580230928267E-3</v>
      </c>
      <c r="AL1090" s="398">
        <v>183.8170731707317</v>
      </c>
      <c r="AM1090" s="311">
        <v>1.2489161468539572E-2</v>
      </c>
      <c r="AN1090" s="398">
        <v>0</v>
      </c>
      <c r="AO1090" s="311">
        <v>0</v>
      </c>
      <c r="AP1090" s="398">
        <v>306.66119197482294</v>
      </c>
      <c r="AQ1090" s="311">
        <v>2.0835611603667932E-2</v>
      </c>
      <c r="AR1090" s="398">
        <v>14718.127684854609</v>
      </c>
      <c r="AS1090" s="311">
        <v>0.14757796947286789</v>
      </c>
      <c r="AT1090" s="326"/>
    </row>
    <row r="1091" spans="1:46" ht="28.5">
      <c r="A1091" s="313" t="s">
        <v>304</v>
      </c>
      <c r="B1091" s="398">
        <v>313.30735446582707</v>
      </c>
      <c r="C1091" s="311">
        <v>1.0874101698499448E-2</v>
      </c>
      <c r="D1091" s="398">
        <v>259.82666081250932</v>
      </c>
      <c r="E1091" s="311">
        <v>9.0179227949304837E-3</v>
      </c>
      <c r="F1091" s="398">
        <v>2843.0370165150689</v>
      </c>
      <c r="G1091" s="311">
        <v>9.8674586502741371E-2</v>
      </c>
      <c r="H1091" s="398">
        <v>233.56221394742599</v>
      </c>
      <c r="I1091" s="311">
        <v>8.1063506208502167E-3</v>
      </c>
      <c r="J1091" s="398">
        <v>332.12924899974593</v>
      </c>
      <c r="K1091" s="311">
        <v>1.1527361803641946E-2</v>
      </c>
      <c r="L1091" s="398">
        <v>1222.3905745012789</v>
      </c>
      <c r="M1091" s="311">
        <v>4.2426068947781094E-2</v>
      </c>
      <c r="N1091" s="398">
        <v>4101.7017864275394</v>
      </c>
      <c r="O1091" s="311">
        <v>0.14235964054713809</v>
      </c>
      <c r="P1091" s="398">
        <v>1034.44451487572</v>
      </c>
      <c r="Q1091" s="311">
        <v>3.5902939065672046E-2</v>
      </c>
      <c r="R1091" s="398">
        <v>328.54616895227156</v>
      </c>
      <c r="S1091" s="311">
        <v>1.1403002205072899E-2</v>
      </c>
      <c r="T1091" s="398">
        <v>1097.5128761841854</v>
      </c>
      <c r="U1091" s="311">
        <v>3.8091881537179732E-2</v>
      </c>
      <c r="V1091" s="398">
        <v>6090.7536627603986</v>
      </c>
      <c r="W1091" s="311">
        <v>0.2113945740670079</v>
      </c>
      <c r="X1091" s="398">
        <v>221.90052834859472</v>
      </c>
      <c r="Y1091" s="311">
        <v>7.7016031632176863E-3</v>
      </c>
      <c r="Z1091" s="398">
        <v>1520.2210264354928</v>
      </c>
      <c r="AA1091" s="311">
        <v>5.2763006708991353E-2</v>
      </c>
      <c r="AB1091" s="398">
        <v>1291.8501815183402</v>
      </c>
      <c r="AC1091" s="311">
        <v>4.4836835308274287E-2</v>
      </c>
      <c r="AD1091" s="398">
        <v>2224.8556144747822</v>
      </c>
      <c r="AE1091" s="311">
        <v>7.7219081746499704E-2</v>
      </c>
      <c r="AF1091" s="398">
        <v>2916.653287796129</v>
      </c>
      <c r="AG1091" s="311">
        <v>0.10122962011163768</v>
      </c>
      <c r="AH1091" s="398">
        <v>1978.0928702448055</v>
      </c>
      <c r="AI1091" s="311">
        <v>6.8654574281513753E-2</v>
      </c>
      <c r="AJ1091" s="398">
        <v>220.79482446952375</v>
      </c>
      <c r="AK1091" s="311">
        <v>7.6632269927956968E-3</v>
      </c>
      <c r="AL1091" s="398">
        <v>269.44902159487259</v>
      </c>
      <c r="AM1091" s="311">
        <v>9.3518904731085713E-3</v>
      </c>
      <c r="AN1091" s="398">
        <v>61.186773120425812</v>
      </c>
      <c r="AO1091" s="311">
        <v>2.1236373293851089E-3</v>
      </c>
      <c r="AP1091" s="398">
        <v>250.03543076952496</v>
      </c>
      <c r="AQ1091" s="311">
        <v>8.6780940940615163E-3</v>
      </c>
      <c r="AR1091" s="398">
        <v>28812.251637214446</v>
      </c>
      <c r="AS1091" s="311">
        <v>0.28889908306318818</v>
      </c>
      <c r="AT1091" s="326"/>
    </row>
    <row r="1092" spans="1:46" ht="28.5">
      <c r="A1092" s="313" t="s">
        <v>303</v>
      </c>
      <c r="B1092" s="398">
        <v>353.80266420372431</v>
      </c>
      <c r="C1092" s="311">
        <v>1.3167705058646277E-2</v>
      </c>
      <c r="D1092" s="398">
        <v>917.80722618488619</v>
      </c>
      <c r="E1092" s="311">
        <v>3.4158631570218728E-2</v>
      </c>
      <c r="F1092" s="398">
        <v>3628.7392022884078</v>
      </c>
      <c r="G1092" s="311">
        <v>0.13505315924632924</v>
      </c>
      <c r="H1092" s="398">
        <v>572.3561368987223</v>
      </c>
      <c r="I1092" s="311">
        <v>2.1301752535274474E-2</v>
      </c>
      <c r="J1092" s="398">
        <v>551.4896142095846</v>
      </c>
      <c r="K1092" s="311">
        <v>2.0525149518481181E-2</v>
      </c>
      <c r="L1092" s="398">
        <v>2568.0265318639922</v>
      </c>
      <c r="M1092" s="311">
        <v>9.557592233079458E-2</v>
      </c>
      <c r="N1092" s="398">
        <v>2818.8553196891844</v>
      </c>
      <c r="O1092" s="311">
        <v>0.10491118131120201</v>
      </c>
      <c r="P1092" s="398">
        <v>932.55680337328533</v>
      </c>
      <c r="Q1092" s="311">
        <v>3.4707576227245802E-2</v>
      </c>
      <c r="R1092" s="398">
        <v>91.377908063111775</v>
      </c>
      <c r="S1092" s="311">
        <v>3.4008713443670151E-3</v>
      </c>
      <c r="T1092" s="398">
        <v>4306.078913534313</v>
      </c>
      <c r="U1092" s="311">
        <v>0.16026215410301869</v>
      </c>
      <c r="V1092" s="398">
        <v>2987.7079458692069</v>
      </c>
      <c r="W1092" s="311">
        <v>0.11119547989024303</v>
      </c>
      <c r="X1092" s="398">
        <v>55.939780071149016</v>
      </c>
      <c r="Y1092" s="311">
        <v>2.081947366564447E-3</v>
      </c>
      <c r="Z1092" s="398">
        <v>1795.5927320212713</v>
      </c>
      <c r="AA1092" s="311">
        <v>6.6827748609294108E-2</v>
      </c>
      <c r="AB1092" s="398">
        <v>975.22979915616384</v>
      </c>
      <c r="AC1092" s="311">
        <v>3.6295765009550306E-2</v>
      </c>
      <c r="AD1092" s="398">
        <v>934.22932642915964</v>
      </c>
      <c r="AE1092" s="311">
        <v>3.4769823611258882E-2</v>
      </c>
      <c r="AF1092" s="398">
        <v>2297.5059882976598</v>
      </c>
      <c r="AG1092" s="311">
        <v>8.5507782403122887E-2</v>
      </c>
      <c r="AH1092" s="398">
        <v>644.47049133783491</v>
      </c>
      <c r="AI1092" s="311">
        <v>2.3985679610515863E-2</v>
      </c>
      <c r="AJ1092" s="398">
        <v>141.81279391294061</v>
      </c>
      <c r="AK1092" s="311">
        <v>5.2779394637710968E-3</v>
      </c>
      <c r="AL1092" s="398">
        <v>295.39021611964654</v>
      </c>
      <c r="AM1092" s="311">
        <v>1.0993730790092629E-2</v>
      </c>
      <c r="AN1092" s="398">
        <v>0</v>
      </c>
      <c r="AO1092" s="311">
        <v>0</v>
      </c>
      <c r="AP1092" s="398">
        <v>0</v>
      </c>
      <c r="AQ1092" s="311">
        <v>0</v>
      </c>
      <c r="AR1092" s="398">
        <v>26868.96939352448</v>
      </c>
      <c r="AS1092" s="311">
        <v>0.26941388400953714</v>
      </c>
      <c r="AT1092" s="326"/>
    </row>
    <row r="1093" spans="1:46" ht="15.75" thickBot="1">
      <c r="A1093" s="310" t="s">
        <v>302</v>
      </c>
      <c r="B1093" s="351">
        <v>114.63157894736841</v>
      </c>
      <c r="C1093" s="352">
        <v>6.4573864336198813E-2</v>
      </c>
      <c r="D1093" s="351">
        <v>59.40625</v>
      </c>
      <c r="E1093" s="352">
        <v>3.3464523157127599E-2</v>
      </c>
      <c r="F1093" s="351">
        <v>27.294117647058822</v>
      </c>
      <c r="G1093" s="352">
        <v>1.5375227893586368E-2</v>
      </c>
      <c r="H1093" s="351">
        <v>0</v>
      </c>
      <c r="I1093" s="352">
        <v>0</v>
      </c>
      <c r="J1093" s="351">
        <v>76.421052631578945</v>
      </c>
      <c r="K1093" s="352">
        <v>4.3049242890799214E-2</v>
      </c>
      <c r="L1093" s="351">
        <v>38.210526315789473</v>
      </c>
      <c r="M1093" s="352">
        <v>2.1524621445399607E-2</v>
      </c>
      <c r="N1093" s="351">
        <v>117.58823529411764</v>
      </c>
      <c r="O1093" s="352">
        <v>6.6239397757067123E-2</v>
      </c>
      <c r="P1093" s="351">
        <v>13.647058823529411</v>
      </c>
      <c r="Q1093" s="352">
        <v>7.687613946793184E-3</v>
      </c>
      <c r="R1093" s="351">
        <v>0</v>
      </c>
      <c r="S1093" s="352">
        <v>0</v>
      </c>
      <c r="T1093" s="351">
        <v>59.40625</v>
      </c>
      <c r="U1093" s="352">
        <v>3.3464523157127599E-2</v>
      </c>
      <c r="V1093" s="351">
        <v>116.76383513931887</v>
      </c>
      <c r="W1093" s="352">
        <v>6.5774999514946086E-2</v>
      </c>
      <c r="X1093" s="351">
        <v>0</v>
      </c>
      <c r="Y1093" s="352">
        <v>0</v>
      </c>
      <c r="Z1093" s="351">
        <v>230.07633513931887</v>
      </c>
      <c r="AA1093" s="352">
        <v>0.12960580486357559</v>
      </c>
      <c r="AB1093" s="351">
        <v>0</v>
      </c>
      <c r="AC1093" s="352">
        <v>0</v>
      </c>
      <c r="AD1093" s="351">
        <v>59.40625</v>
      </c>
      <c r="AE1093" s="352">
        <v>3.3464523157127599E-2</v>
      </c>
      <c r="AF1093" s="351">
        <v>670.48355263157896</v>
      </c>
      <c r="AG1093" s="352">
        <v>0.37769447446207521</v>
      </c>
      <c r="AH1093" s="351">
        <v>73.053308823529406</v>
      </c>
      <c r="AI1093" s="352">
        <v>4.115213710392078E-2</v>
      </c>
      <c r="AJ1093" s="351">
        <v>0</v>
      </c>
      <c r="AK1093" s="352">
        <v>0</v>
      </c>
      <c r="AL1093" s="351">
        <v>0</v>
      </c>
      <c r="AM1093" s="352">
        <v>0</v>
      </c>
      <c r="AN1093" s="351">
        <v>0</v>
      </c>
      <c r="AO1093" s="352">
        <v>0</v>
      </c>
      <c r="AP1093" s="351">
        <v>118.8125</v>
      </c>
      <c r="AQ1093" s="352">
        <v>6.6929046314255197E-2</v>
      </c>
      <c r="AR1093" s="351">
        <v>1775.2008513931887</v>
      </c>
      <c r="AS1093" s="352">
        <v>1.7799854890829546E-2</v>
      </c>
      <c r="AT1093" s="326"/>
    </row>
    <row r="1097" spans="1:46" ht="15.75" thickBot="1"/>
    <row r="1098" spans="1:46" ht="19.5" customHeight="1">
      <c r="A1098" s="775" t="s">
        <v>310</v>
      </c>
      <c r="B1098" s="755" t="s">
        <v>341</v>
      </c>
      <c r="C1098" s="756"/>
      <c r="D1098" s="756"/>
      <c r="E1098" s="756"/>
      <c r="F1098" s="756"/>
      <c r="G1098" s="756"/>
      <c r="H1098" s="756"/>
      <c r="I1098" s="757"/>
      <c r="J1098" s="397"/>
    </row>
    <row r="1099" spans="1:46" ht="34.5" customHeight="1">
      <c r="A1099" s="776"/>
      <c r="B1099" s="758" t="s">
        <v>120</v>
      </c>
      <c r="C1099" s="759"/>
      <c r="D1099" s="760" t="s">
        <v>119</v>
      </c>
      <c r="E1099" s="759"/>
      <c r="F1099" s="760" t="s">
        <v>118</v>
      </c>
      <c r="G1099" s="759"/>
      <c r="H1099" s="761" t="s">
        <v>9</v>
      </c>
      <c r="I1099" s="762"/>
      <c r="J1099" s="397"/>
    </row>
    <row r="1100" spans="1:46" ht="15.75" customHeight="1" thickBot="1">
      <c r="A1100" s="754"/>
      <c r="B1100" s="318" t="s">
        <v>7</v>
      </c>
      <c r="C1100" s="318" t="s">
        <v>8</v>
      </c>
      <c r="D1100" s="318" t="s">
        <v>7</v>
      </c>
      <c r="E1100" s="318" t="s">
        <v>8</v>
      </c>
      <c r="F1100" s="318" t="s">
        <v>7</v>
      </c>
      <c r="G1100" s="318" t="s">
        <v>8</v>
      </c>
      <c r="H1100" s="318" t="s">
        <v>7</v>
      </c>
      <c r="I1100" s="317" t="s">
        <v>6</v>
      </c>
      <c r="J1100" s="397"/>
    </row>
    <row r="1101" spans="1:46" ht="15.75" customHeight="1">
      <c r="A1101" s="316" t="s">
        <v>5</v>
      </c>
      <c r="B1101" s="400">
        <v>113029.33595949868</v>
      </c>
      <c r="C1101" s="399">
        <v>0.72393773631395819</v>
      </c>
      <c r="D1101" s="400">
        <v>30167.397504500103</v>
      </c>
      <c r="E1101" s="399">
        <v>0.1932181346948437</v>
      </c>
      <c r="F1101" s="400">
        <v>12934.561107000005</v>
      </c>
      <c r="G1101" s="399">
        <v>8.2844128991180169E-2</v>
      </c>
      <c r="H1101" s="400">
        <v>156131.29457100161</v>
      </c>
      <c r="I1101" s="399">
        <v>1</v>
      </c>
      <c r="J1101" s="397"/>
    </row>
    <row r="1102" spans="1:46">
      <c r="A1102" s="313" t="s">
        <v>309</v>
      </c>
      <c r="B1102" s="398">
        <v>1755.4122379999997</v>
      </c>
      <c r="C1102" s="311">
        <v>0.70906007645486124</v>
      </c>
      <c r="D1102" s="398">
        <v>273.00967900000001</v>
      </c>
      <c r="E1102" s="311">
        <v>0.11027624148570916</v>
      </c>
      <c r="F1102" s="398">
        <v>447.26709200000005</v>
      </c>
      <c r="G1102" s="311">
        <v>0.18066368205942951</v>
      </c>
      <c r="H1102" s="398">
        <v>2475.6890089999997</v>
      </c>
      <c r="I1102" s="311">
        <v>1.5856456041067193E-2</v>
      </c>
      <c r="J1102" s="397"/>
    </row>
    <row r="1103" spans="1:46">
      <c r="A1103" s="313" t="s">
        <v>308</v>
      </c>
      <c r="B1103" s="398">
        <v>3226.1764380000041</v>
      </c>
      <c r="C1103" s="311">
        <v>0.64380484337070842</v>
      </c>
      <c r="D1103" s="398">
        <v>1011.8377489999998</v>
      </c>
      <c r="E1103" s="311">
        <v>0.20191891424120378</v>
      </c>
      <c r="F1103" s="398">
        <v>773.09511299999986</v>
      </c>
      <c r="G1103" s="311">
        <v>0.1542762423880874</v>
      </c>
      <c r="H1103" s="398">
        <v>5011.1093000000055</v>
      </c>
      <c r="I1103" s="311">
        <v>3.209548293165003E-2</v>
      </c>
      <c r="J1103" s="397"/>
    </row>
    <row r="1104" spans="1:46">
      <c r="A1104" s="313" t="s">
        <v>307</v>
      </c>
      <c r="B1104" s="398">
        <v>11137.934216999996</v>
      </c>
      <c r="C1104" s="311">
        <v>0.86220061094827871</v>
      </c>
      <c r="D1104" s="398">
        <v>1200.096974</v>
      </c>
      <c r="E1104" s="311">
        <v>9.2900920765061207E-2</v>
      </c>
      <c r="F1104" s="398">
        <v>579.99980500000004</v>
      </c>
      <c r="G1104" s="311">
        <v>4.4898468286660262E-2</v>
      </c>
      <c r="H1104" s="398">
        <v>12918.030995999994</v>
      </c>
      <c r="I1104" s="311">
        <v>8.2738255847391612E-2</v>
      </c>
      <c r="J1104" s="397"/>
    </row>
    <row r="1105" spans="1:10">
      <c r="A1105" s="313" t="s">
        <v>306</v>
      </c>
      <c r="B1105" s="398">
        <v>13297.946930499986</v>
      </c>
      <c r="C1105" s="311">
        <v>0.89985788700426506</v>
      </c>
      <c r="D1105" s="398">
        <v>807.75533550000011</v>
      </c>
      <c r="E1105" s="311">
        <v>5.4659942111238528E-2</v>
      </c>
      <c r="F1105" s="398">
        <v>672.127792</v>
      </c>
      <c r="G1105" s="311">
        <v>4.5482170884496215E-2</v>
      </c>
      <c r="H1105" s="398">
        <v>14777.830057999989</v>
      </c>
      <c r="I1105" s="311">
        <v>9.4650019386598283E-2</v>
      </c>
      <c r="J1105" s="397"/>
    </row>
    <row r="1106" spans="1:10">
      <c r="A1106" s="313" t="s">
        <v>305</v>
      </c>
      <c r="B1106" s="398">
        <v>15575.15651299996</v>
      </c>
      <c r="C1106" s="311">
        <v>0.8304589710775987</v>
      </c>
      <c r="D1106" s="398">
        <v>2283.9785280000024</v>
      </c>
      <c r="E1106" s="311">
        <v>0.12178050710071958</v>
      </c>
      <c r="F1106" s="398">
        <v>895.74275000000011</v>
      </c>
      <c r="G1106" s="311">
        <v>4.7760521821680182E-2</v>
      </c>
      <c r="H1106" s="398">
        <v>18754.877790999992</v>
      </c>
      <c r="I1106" s="311">
        <v>0.1201224766792099</v>
      </c>
      <c r="J1106" s="397"/>
    </row>
    <row r="1107" spans="1:10" ht="28.5">
      <c r="A1107" s="313" t="s">
        <v>304</v>
      </c>
      <c r="B1107" s="398">
        <v>37115.651257999707</v>
      </c>
      <c r="C1107" s="311">
        <v>0.63720866373444895</v>
      </c>
      <c r="D1107" s="398">
        <v>15172.831684999968</v>
      </c>
      <c r="E1107" s="311">
        <v>0.26049010256778649</v>
      </c>
      <c r="F1107" s="398">
        <v>5958.7653610000189</v>
      </c>
      <c r="G1107" s="311">
        <v>0.10230123369778035</v>
      </c>
      <c r="H1107" s="398">
        <v>58247.248303998778</v>
      </c>
      <c r="I1107" s="311">
        <v>0.37306581274460965</v>
      </c>
      <c r="J1107" s="397"/>
    </row>
    <row r="1108" spans="1:10" ht="28.5">
      <c r="A1108" s="313" t="s">
        <v>303</v>
      </c>
      <c r="B1108" s="398">
        <v>29052.091697000018</v>
      </c>
      <c r="C1108" s="311">
        <v>0.69935959621232768</v>
      </c>
      <c r="D1108" s="398">
        <v>8951.8792100000101</v>
      </c>
      <c r="E1108" s="311">
        <v>0.21549507329600018</v>
      </c>
      <c r="F1108" s="398">
        <v>3537.0215299999968</v>
      </c>
      <c r="G1108" s="311">
        <v>8.5145330491661009E-2</v>
      </c>
      <c r="H1108" s="398">
        <v>41540.992437000488</v>
      </c>
      <c r="I1108" s="311">
        <v>0.26606448470911437</v>
      </c>
      <c r="J1108" s="397"/>
    </row>
    <row r="1109" spans="1:10" ht="15.75" thickBot="1">
      <c r="A1109" s="313" t="s">
        <v>302</v>
      </c>
      <c r="B1109" s="398">
        <v>1868.9666680000003</v>
      </c>
      <c r="C1109" s="311">
        <v>0.7769502022774587</v>
      </c>
      <c r="D1109" s="398">
        <v>466.00834399999997</v>
      </c>
      <c r="E1109" s="311">
        <v>0.19372484449989319</v>
      </c>
      <c r="F1109" s="398">
        <v>70.541663999999997</v>
      </c>
      <c r="G1109" s="311">
        <v>2.932495322264812E-2</v>
      </c>
      <c r="H1109" s="398">
        <v>2405.5166760000002</v>
      </c>
      <c r="I1109" s="311">
        <v>1.5407011660343837E-2</v>
      </c>
      <c r="J1109" s="397"/>
    </row>
    <row r="1110" spans="1:10" ht="15" customHeight="1">
      <c r="A1110" s="316" t="s">
        <v>4</v>
      </c>
      <c r="B1110" s="400">
        <v>108145.58400891964</v>
      </c>
      <c r="C1110" s="399">
        <v>0.75504608723484623</v>
      </c>
      <c r="D1110" s="400">
        <v>24961.154206836862</v>
      </c>
      <c r="E1110" s="399">
        <v>0.17427268981397656</v>
      </c>
      <c r="F1110" s="400">
        <v>10123.702729873903</v>
      </c>
      <c r="G1110" s="399">
        <v>7.0681222951180067E-2</v>
      </c>
      <c r="H1110" s="400">
        <v>143230.44094562999</v>
      </c>
      <c r="I1110" s="399">
        <v>1</v>
      </c>
      <c r="J1110" s="397"/>
    </row>
    <row r="1111" spans="1:10">
      <c r="A1111" s="313" t="s">
        <v>309</v>
      </c>
      <c r="B1111" s="398">
        <v>1858.2613504916139</v>
      </c>
      <c r="C1111" s="311">
        <v>0.51656821542849185</v>
      </c>
      <c r="D1111" s="398">
        <v>730.23120300751862</v>
      </c>
      <c r="E1111" s="311">
        <v>0.20299309851544856</v>
      </c>
      <c r="F1111" s="398">
        <v>1008.8277906304219</v>
      </c>
      <c r="G1111" s="311">
        <v>0.28043868605605865</v>
      </c>
      <c r="H1111" s="398">
        <v>3597.3203441295577</v>
      </c>
      <c r="I1111" s="311">
        <v>2.5115613136282206E-2</v>
      </c>
      <c r="J1111" s="397"/>
    </row>
    <row r="1112" spans="1:10">
      <c r="A1112" s="313" t="s">
        <v>308</v>
      </c>
      <c r="B1112" s="398">
        <v>2913.5877161853632</v>
      </c>
      <c r="C1112" s="311">
        <v>0.6631805629048082</v>
      </c>
      <c r="D1112" s="398">
        <v>1052.8235931951001</v>
      </c>
      <c r="E1112" s="311">
        <v>0.2396399941199398</v>
      </c>
      <c r="F1112" s="398">
        <v>426.94380257201425</v>
      </c>
      <c r="G1112" s="311">
        <v>9.7179442975251148E-2</v>
      </c>
      <c r="H1112" s="398">
        <v>4393.3551119524809</v>
      </c>
      <c r="I1112" s="311">
        <v>3.0673333705788078E-2</v>
      </c>
      <c r="J1112" s="397"/>
    </row>
    <row r="1113" spans="1:10">
      <c r="A1113" s="313" t="s">
        <v>307</v>
      </c>
      <c r="B1113" s="398">
        <v>12218.054843854521</v>
      </c>
      <c r="C1113" s="311">
        <v>0.87760123590524342</v>
      </c>
      <c r="D1113" s="398">
        <v>865.72351700365266</v>
      </c>
      <c r="E1113" s="311">
        <v>6.2183386650681662E-2</v>
      </c>
      <c r="F1113" s="398">
        <v>838.32469002418065</v>
      </c>
      <c r="G1113" s="311">
        <v>6.0215377444074368E-2</v>
      </c>
      <c r="H1113" s="398">
        <v>13922.103050882362</v>
      </c>
      <c r="I1113" s="311">
        <v>9.7200727435916831E-2</v>
      </c>
      <c r="J1113" s="397"/>
    </row>
    <row r="1114" spans="1:10">
      <c r="A1114" s="313" t="s">
        <v>306</v>
      </c>
      <c r="B1114" s="398">
        <v>12874.967999683235</v>
      </c>
      <c r="C1114" s="311">
        <v>0.9054370580158283</v>
      </c>
      <c r="D1114" s="398">
        <v>947.16616051631297</v>
      </c>
      <c r="E1114" s="311">
        <v>6.6609823174017813E-2</v>
      </c>
      <c r="F1114" s="398">
        <v>397.48263778904015</v>
      </c>
      <c r="G1114" s="311">
        <v>2.7953118810154259E-2</v>
      </c>
      <c r="H1114" s="398">
        <v>14219.616797988583</v>
      </c>
      <c r="I1114" s="311">
        <v>9.9277895844685174E-2</v>
      </c>
      <c r="J1114" s="397"/>
    </row>
    <row r="1115" spans="1:10">
      <c r="A1115" s="313" t="s">
        <v>305</v>
      </c>
      <c r="B1115" s="398">
        <v>12171.006855241154</v>
      </c>
      <c r="C1115" s="311">
        <v>0.80758790077880083</v>
      </c>
      <c r="D1115" s="398">
        <v>2443.1843329742742</v>
      </c>
      <c r="E1115" s="311">
        <v>0.16211363037994564</v>
      </c>
      <c r="F1115" s="398">
        <v>456.62258141138688</v>
      </c>
      <c r="G1115" s="311">
        <v>3.0298468841254492E-2</v>
      </c>
      <c r="H1115" s="398">
        <v>15070.813769626802</v>
      </c>
      <c r="I1115" s="311">
        <v>0.10522074546532784</v>
      </c>
      <c r="J1115" s="397"/>
    </row>
    <row r="1116" spans="1:10" ht="28.5">
      <c r="A1116" s="313" t="s">
        <v>304</v>
      </c>
      <c r="B1116" s="398">
        <v>34324.917023459653</v>
      </c>
      <c r="C1116" s="311">
        <v>0.69018594083297236</v>
      </c>
      <c r="D1116" s="398">
        <v>10606.073671197986</v>
      </c>
      <c r="E1116" s="311">
        <v>0.2132609069468856</v>
      </c>
      <c r="F1116" s="398">
        <v>4801.8638778850809</v>
      </c>
      <c r="G1116" s="311">
        <v>9.6553152220145974E-2</v>
      </c>
      <c r="H1116" s="398">
        <v>49732.854572542528</v>
      </c>
      <c r="I1116" s="311">
        <v>0.34722265912328676</v>
      </c>
      <c r="J1116" s="397"/>
    </row>
    <row r="1117" spans="1:10" ht="28.5">
      <c r="A1117" s="313" t="s">
        <v>303</v>
      </c>
      <c r="B1117" s="398">
        <v>30308.377406512078</v>
      </c>
      <c r="C1117" s="311">
        <v>0.75146125443894252</v>
      </c>
      <c r="D1117" s="398">
        <v>7837.2878400530417</v>
      </c>
      <c r="E1117" s="311">
        <v>0.19431651099936231</v>
      </c>
      <c r="F1117" s="398">
        <v>2186.9230638475069</v>
      </c>
      <c r="G1117" s="311">
        <v>5.4222234561695927E-2</v>
      </c>
      <c r="H1117" s="398">
        <v>40332.588310412597</v>
      </c>
      <c r="I1117" s="311">
        <v>0.28159229311960837</v>
      </c>
      <c r="J1117" s="397"/>
    </row>
    <row r="1118" spans="1:10" ht="15.75" thickBot="1">
      <c r="A1118" s="313" t="s">
        <v>302</v>
      </c>
      <c r="B1118" s="398">
        <v>1476.4108134920634</v>
      </c>
      <c r="C1118" s="311">
        <v>0.75258390298416156</v>
      </c>
      <c r="D1118" s="398">
        <v>478.66388888888883</v>
      </c>
      <c r="E1118" s="311">
        <v>0.24399356495197699</v>
      </c>
      <c r="F1118" s="398">
        <v>6.7142857142857144</v>
      </c>
      <c r="G1118" s="311">
        <v>3.422532063861171E-3</v>
      </c>
      <c r="H1118" s="398">
        <v>1961.7889880952384</v>
      </c>
      <c r="I1118" s="311">
        <v>1.3696732169105936E-2</v>
      </c>
      <c r="J1118" s="397"/>
    </row>
    <row r="1119" spans="1:10" ht="15.75" customHeight="1">
      <c r="A1119" s="316" t="s">
        <v>3</v>
      </c>
      <c r="B1119" s="400">
        <v>79589.552991410383</v>
      </c>
      <c r="C1119" s="399">
        <v>0.79804067971309967</v>
      </c>
      <c r="D1119" s="400">
        <v>14167.943131070731</v>
      </c>
      <c r="E1119" s="399">
        <v>0.14206129500031844</v>
      </c>
      <c r="F1119" s="400">
        <v>5973.7018159797981</v>
      </c>
      <c r="G1119" s="399">
        <v>5.989802528659003E-2</v>
      </c>
      <c r="H1119" s="400">
        <v>99731.1979384601</v>
      </c>
      <c r="I1119" s="399">
        <v>1</v>
      </c>
      <c r="J1119" s="397"/>
    </row>
    <row r="1120" spans="1:10">
      <c r="A1120" s="313" t="s">
        <v>309</v>
      </c>
      <c r="B1120" s="398">
        <v>915.89340463458143</v>
      </c>
      <c r="C1120" s="311">
        <v>0.70188688420861656</v>
      </c>
      <c r="D1120" s="398">
        <v>265.04575163398692</v>
      </c>
      <c r="E1120" s="311">
        <v>0.2031154890359016</v>
      </c>
      <c r="F1120" s="398">
        <v>123.96256684491978</v>
      </c>
      <c r="G1120" s="311">
        <v>9.4997626755481429E-2</v>
      </c>
      <c r="H1120" s="398">
        <v>1304.9017231134887</v>
      </c>
      <c r="I1120" s="311">
        <v>1.3084187797670779E-2</v>
      </c>
      <c r="J1120" s="397"/>
    </row>
    <row r="1121" spans="1:17">
      <c r="A1121" s="313" t="s">
        <v>308</v>
      </c>
      <c r="B1121" s="398">
        <v>2851.3268584554608</v>
      </c>
      <c r="C1121" s="311">
        <v>0.67340619999136653</v>
      </c>
      <c r="D1121" s="398">
        <v>614.90413569658824</v>
      </c>
      <c r="E1121" s="311">
        <v>0.14522370739450013</v>
      </c>
      <c r="F1121" s="398">
        <v>767.95464074709309</v>
      </c>
      <c r="G1121" s="311">
        <v>0.18137009261413414</v>
      </c>
      <c r="H1121" s="398">
        <v>4234.1856348991387</v>
      </c>
      <c r="I1121" s="311">
        <v>4.2455978895509457E-2</v>
      </c>
      <c r="J1121" s="397"/>
    </row>
    <row r="1122" spans="1:17">
      <c r="A1122" s="313" t="s">
        <v>307</v>
      </c>
      <c r="B1122" s="398">
        <v>11076.366030092593</v>
      </c>
      <c r="C1122" s="311">
        <v>0.90075207070457108</v>
      </c>
      <c r="D1122" s="398">
        <v>860.9765625</v>
      </c>
      <c r="E1122" s="311">
        <v>7.0016322988334434E-2</v>
      </c>
      <c r="F1122" s="398">
        <v>359.45515046296293</v>
      </c>
      <c r="G1122" s="311">
        <v>2.9231606307094062E-2</v>
      </c>
      <c r="H1122" s="398">
        <v>12296.79774305556</v>
      </c>
      <c r="I1122" s="311">
        <v>0.12329940878323142</v>
      </c>
      <c r="J1122" s="397"/>
    </row>
    <row r="1123" spans="1:17">
      <c r="A1123" s="313" t="s">
        <v>306</v>
      </c>
      <c r="B1123" s="398">
        <v>9151.7411003236284</v>
      </c>
      <c r="C1123" s="311">
        <v>0.94146322112225289</v>
      </c>
      <c r="D1123" s="398">
        <v>375.83587378640777</v>
      </c>
      <c r="E1123" s="311">
        <v>3.8663206101376212E-2</v>
      </c>
      <c r="F1123" s="398">
        <v>193.18629629629635</v>
      </c>
      <c r="G1123" s="311">
        <v>1.9873572776371206E-2</v>
      </c>
      <c r="H1123" s="398">
        <v>9720.763270406329</v>
      </c>
      <c r="I1123" s="311">
        <v>9.7469633087176988E-2</v>
      </c>
      <c r="J1123" s="397"/>
    </row>
    <row r="1124" spans="1:17">
      <c r="A1124" s="313" t="s">
        <v>305</v>
      </c>
      <c r="B1124" s="398">
        <v>12079.919295719445</v>
      </c>
      <c r="C1124" s="311">
        <v>0.8207510869843887</v>
      </c>
      <c r="D1124" s="398">
        <v>1854.1872422231502</v>
      </c>
      <c r="E1124" s="311">
        <v>0.12597983126149692</v>
      </c>
      <c r="F1124" s="398">
        <v>784.02114691205043</v>
      </c>
      <c r="G1124" s="311">
        <v>5.3269081754116827E-2</v>
      </c>
      <c r="H1124" s="398">
        <v>14718.127684854609</v>
      </c>
      <c r="I1124" s="311">
        <v>0.14757796947286789</v>
      </c>
      <c r="J1124" s="397"/>
    </row>
    <row r="1125" spans="1:17" ht="28.5">
      <c r="A1125" s="313" t="s">
        <v>304</v>
      </c>
      <c r="B1125" s="398">
        <v>21670.857106183848</v>
      </c>
      <c r="C1125" s="311">
        <v>0.75214035261976409</v>
      </c>
      <c r="D1125" s="398">
        <v>5100.1424820357288</v>
      </c>
      <c r="E1125" s="311">
        <v>0.17701297858471737</v>
      </c>
      <c r="F1125" s="398">
        <v>2041.2520489947651</v>
      </c>
      <c r="G1125" s="311">
        <v>7.0846668795514947E-2</v>
      </c>
      <c r="H1125" s="398">
        <v>28812.251637214446</v>
      </c>
      <c r="I1125" s="311">
        <v>0.28889908306318818</v>
      </c>
      <c r="J1125" s="397"/>
    </row>
    <row r="1126" spans="1:17" ht="28.5">
      <c r="A1126" s="313" t="s">
        <v>303</v>
      </c>
      <c r="B1126" s="398">
        <v>20436.284238570533</v>
      </c>
      <c r="C1126" s="311">
        <v>0.7605905511022597</v>
      </c>
      <c r="D1126" s="398">
        <v>4807.36849805559</v>
      </c>
      <c r="E1126" s="311">
        <v>0.17891897629740064</v>
      </c>
      <c r="F1126" s="398">
        <v>1625.3166568981972</v>
      </c>
      <c r="G1126" s="311">
        <v>6.0490472600333696E-2</v>
      </c>
      <c r="H1126" s="398">
        <v>26868.96939352448</v>
      </c>
      <c r="I1126" s="311">
        <v>0.26941388400953714</v>
      </c>
      <c r="J1126" s="397"/>
    </row>
    <row r="1127" spans="1:17" ht="15.75" thickBot="1">
      <c r="A1127" s="310" t="s">
        <v>302</v>
      </c>
      <c r="B1127" s="351">
        <v>1407.1649574303403</v>
      </c>
      <c r="C1127" s="352">
        <v>0.79267929390975023</v>
      </c>
      <c r="D1127" s="351">
        <v>289.48258513931887</v>
      </c>
      <c r="E1127" s="352">
        <v>0.1630703280207032</v>
      </c>
      <c r="F1127" s="351">
        <v>78.553308823529406</v>
      </c>
      <c r="G1127" s="352">
        <v>4.4250378069546487E-2</v>
      </c>
      <c r="H1127" s="351">
        <v>1775.2008513931887</v>
      </c>
      <c r="I1127" s="352">
        <v>1.7799854890829546E-2</v>
      </c>
      <c r="J1127" s="397"/>
    </row>
    <row r="1131" spans="1:17" ht="15.75" thickBot="1"/>
    <row r="1132" spans="1:17" ht="36.75" customHeight="1">
      <c r="A1132" s="874" t="s">
        <v>311</v>
      </c>
      <c r="B1132" s="873" t="s">
        <v>342</v>
      </c>
      <c r="C1132" s="756"/>
      <c r="D1132" s="756"/>
      <c r="E1132" s="757"/>
      <c r="F1132" s="307"/>
      <c r="I1132" s="348"/>
      <c r="J1132" s="329"/>
      <c r="K1132" s="329"/>
      <c r="L1132" s="329"/>
      <c r="M1132" s="347"/>
      <c r="N1132" s="329"/>
      <c r="O1132" s="329"/>
      <c r="P1132" s="329"/>
      <c r="Q1132" s="326"/>
    </row>
    <row r="1133" spans="1:17" ht="43.5" thickBot="1">
      <c r="A1133" s="875"/>
      <c r="B1133" s="346" t="s">
        <v>95</v>
      </c>
      <c r="C1133" s="345" t="s">
        <v>94</v>
      </c>
      <c r="D1133" s="345" t="s">
        <v>93</v>
      </c>
      <c r="E1133" s="396" t="s">
        <v>92</v>
      </c>
      <c r="F1133" s="307"/>
      <c r="I1133" s="329"/>
      <c r="J1133" s="329"/>
      <c r="K1133" s="329"/>
      <c r="L1133" s="329"/>
      <c r="M1133" s="343"/>
      <c r="N1133" s="343"/>
      <c r="O1133" s="343"/>
      <c r="P1133" s="343"/>
      <c r="Q1133" s="326"/>
    </row>
    <row r="1134" spans="1:17" ht="15.75" customHeight="1">
      <c r="A1134" s="395" t="s">
        <v>5</v>
      </c>
      <c r="B1134" s="394">
        <v>1900714.1397569878</v>
      </c>
      <c r="C1134" s="393">
        <v>14809.283715920839</v>
      </c>
      <c r="D1134" s="393">
        <v>5851659.3189880811</v>
      </c>
      <c r="E1134" s="392">
        <v>156131.29457100161</v>
      </c>
      <c r="F1134" s="307"/>
      <c r="I1134" s="336"/>
      <c r="J1134" s="336"/>
      <c r="K1134" s="336"/>
      <c r="L1134" s="328"/>
      <c r="M1134" s="327"/>
      <c r="N1134" s="327"/>
      <c r="O1134" s="327"/>
      <c r="P1134" s="327"/>
      <c r="Q1134" s="326"/>
    </row>
    <row r="1135" spans="1:17">
      <c r="A1135" s="391" t="s">
        <v>309</v>
      </c>
      <c r="B1135" s="390">
        <v>1326610.421661932</v>
      </c>
      <c r="C1135" s="389">
        <v>15742.320756786297</v>
      </c>
      <c r="D1135" s="389">
        <v>783279.5740479161</v>
      </c>
      <c r="E1135" s="388">
        <v>2475.6890089999997</v>
      </c>
      <c r="F1135" s="307"/>
      <c r="I1135" s="329"/>
      <c r="J1135" s="329"/>
      <c r="K1135" s="329"/>
      <c r="L1135" s="328"/>
      <c r="M1135" s="327"/>
      <c r="N1135" s="327"/>
      <c r="O1135" s="327"/>
      <c r="P1135" s="327"/>
      <c r="Q1135" s="326"/>
    </row>
    <row r="1136" spans="1:17">
      <c r="A1136" s="391" t="s">
        <v>308</v>
      </c>
      <c r="B1136" s="390">
        <v>1527406.2594689103</v>
      </c>
      <c r="C1136" s="389">
        <v>19458.500366188215</v>
      </c>
      <c r="D1136" s="389">
        <v>1377451.4629267328</v>
      </c>
      <c r="E1136" s="388">
        <v>5011.1093000000055</v>
      </c>
      <c r="F1136" s="307"/>
      <c r="I1136" s="329"/>
      <c r="J1136" s="329"/>
      <c r="K1136" s="329"/>
      <c r="L1136" s="328"/>
      <c r="M1136" s="327"/>
      <c r="N1136" s="327"/>
      <c r="O1136" s="327"/>
      <c r="P1136" s="327"/>
      <c r="Q1136" s="326"/>
    </row>
    <row r="1137" spans="1:17">
      <c r="A1137" s="391" t="s">
        <v>307</v>
      </c>
      <c r="B1137" s="390">
        <v>1350937.752070812</v>
      </c>
      <c r="C1137" s="389">
        <v>12972.120596020519</v>
      </c>
      <c r="D1137" s="389">
        <v>1474379.0072041028</v>
      </c>
      <c r="E1137" s="388">
        <v>12918.030995999994</v>
      </c>
      <c r="F1137" s="307"/>
      <c r="I1137" s="329"/>
      <c r="J1137" s="329"/>
      <c r="K1137" s="329"/>
      <c r="L1137" s="328"/>
      <c r="M1137" s="327"/>
      <c r="N1137" s="327"/>
      <c r="O1137" s="327"/>
      <c r="P1137" s="327"/>
      <c r="Q1137" s="326"/>
    </row>
    <row r="1138" spans="1:17">
      <c r="A1138" s="391" t="s">
        <v>306</v>
      </c>
      <c r="B1138" s="390">
        <v>2110313.9988267971</v>
      </c>
      <c r="C1138" s="389">
        <v>25164.526191210574</v>
      </c>
      <c r="D1138" s="389">
        <v>3059102.9420510121</v>
      </c>
      <c r="E1138" s="388">
        <v>14777.830057999989</v>
      </c>
      <c r="F1138" s="307"/>
      <c r="I1138" s="329"/>
      <c r="J1138" s="329"/>
      <c r="K1138" s="329"/>
      <c r="L1138" s="328"/>
      <c r="M1138" s="327"/>
      <c r="N1138" s="327"/>
      <c r="O1138" s="327"/>
      <c r="P1138" s="327"/>
      <c r="Q1138" s="326"/>
    </row>
    <row r="1139" spans="1:17">
      <c r="A1139" s="391" t="s">
        <v>305</v>
      </c>
      <c r="B1139" s="390">
        <v>1959095.1349347583</v>
      </c>
      <c r="C1139" s="389">
        <v>8719.5196670831428</v>
      </c>
      <c r="D1139" s="389">
        <v>1194124.6978541214</v>
      </c>
      <c r="E1139" s="388">
        <v>18754.877790999992</v>
      </c>
      <c r="F1139" s="307"/>
      <c r="I1139" s="329"/>
      <c r="J1139" s="329"/>
      <c r="K1139" s="329"/>
      <c r="L1139" s="328"/>
      <c r="M1139" s="327"/>
      <c r="N1139" s="327"/>
      <c r="O1139" s="327"/>
      <c r="P1139" s="327"/>
      <c r="Q1139" s="326"/>
    </row>
    <row r="1140" spans="1:17" ht="28.5">
      <c r="A1140" s="391" t="s">
        <v>304</v>
      </c>
      <c r="B1140" s="390">
        <v>1996449.4160678827</v>
      </c>
      <c r="C1140" s="389">
        <v>35654.108653597948</v>
      </c>
      <c r="D1140" s="389">
        <v>8604928.9812671281</v>
      </c>
      <c r="E1140" s="388">
        <v>58247.248303998778</v>
      </c>
      <c r="F1140" s="307"/>
      <c r="I1140" s="329"/>
      <c r="J1140" s="329"/>
      <c r="K1140" s="329"/>
      <c r="L1140" s="328"/>
      <c r="M1140" s="327"/>
      <c r="N1140" s="327"/>
      <c r="O1140" s="327"/>
      <c r="P1140" s="327"/>
      <c r="Q1140" s="326"/>
    </row>
    <row r="1141" spans="1:17" ht="28.5">
      <c r="A1141" s="391" t="s">
        <v>303</v>
      </c>
      <c r="B1141" s="390">
        <v>1953016.7289424674</v>
      </c>
      <c r="C1141" s="389">
        <v>21811.898612397017</v>
      </c>
      <c r="D1141" s="389">
        <v>4445615.563936607</v>
      </c>
      <c r="E1141" s="388">
        <v>41540.992437000488</v>
      </c>
      <c r="F1141" s="307"/>
      <c r="I1141" s="329"/>
      <c r="J1141" s="329"/>
      <c r="K1141" s="329"/>
      <c r="L1141" s="328"/>
      <c r="M1141" s="327"/>
      <c r="N1141" s="327"/>
      <c r="O1141" s="327"/>
      <c r="P1141" s="327"/>
      <c r="Q1141" s="326"/>
    </row>
    <row r="1142" spans="1:17" ht="15.75" thickBot="1">
      <c r="A1142" s="391" t="s">
        <v>302</v>
      </c>
      <c r="B1142" s="390">
        <v>1257459.3484840177</v>
      </c>
      <c r="C1142" s="389">
        <v>9203.3711236766139</v>
      </c>
      <c r="D1142" s="389">
        <v>451389.15561601531</v>
      </c>
      <c r="E1142" s="388">
        <v>2405.5166760000002</v>
      </c>
      <c r="F1142" s="307"/>
      <c r="I1142" s="329"/>
      <c r="J1142" s="329"/>
      <c r="K1142" s="329"/>
      <c r="L1142" s="328"/>
      <c r="M1142" s="327"/>
      <c r="N1142" s="327"/>
      <c r="O1142" s="327"/>
      <c r="P1142" s="327"/>
      <c r="Q1142" s="326"/>
    </row>
    <row r="1143" spans="1:17" ht="15" customHeight="1">
      <c r="A1143" s="395" t="s">
        <v>4</v>
      </c>
      <c r="B1143" s="394">
        <v>1909924.6500742864</v>
      </c>
      <c r="C1143" s="393">
        <v>3040.3775058084302</v>
      </c>
      <c r="D1143" s="393">
        <v>1150655.1225372758</v>
      </c>
      <c r="E1143" s="392">
        <v>143230.44094562999</v>
      </c>
      <c r="F1143" s="307"/>
      <c r="I1143" s="329"/>
      <c r="J1143" s="336"/>
      <c r="K1143" s="336"/>
      <c r="L1143" s="328"/>
      <c r="M1143" s="327"/>
      <c r="N1143" s="327"/>
      <c r="O1143" s="327"/>
      <c r="P1143" s="327"/>
      <c r="Q1143" s="326"/>
    </row>
    <row r="1144" spans="1:17">
      <c r="A1144" s="391" t="s">
        <v>309</v>
      </c>
      <c r="B1144" s="390">
        <v>1582527.6567791384</v>
      </c>
      <c r="C1144" s="389">
        <v>16243.198103949064</v>
      </c>
      <c r="D1144" s="389">
        <v>974229.10053831339</v>
      </c>
      <c r="E1144" s="388">
        <v>3597.3203441295577</v>
      </c>
      <c r="F1144" s="307"/>
      <c r="I1144" s="329"/>
      <c r="J1144" s="329"/>
      <c r="K1144" s="329"/>
      <c r="L1144" s="328"/>
      <c r="M1144" s="327"/>
      <c r="N1144" s="327"/>
      <c r="O1144" s="327"/>
      <c r="P1144" s="327"/>
      <c r="Q1144" s="326"/>
    </row>
    <row r="1145" spans="1:17">
      <c r="A1145" s="391" t="s">
        <v>308</v>
      </c>
      <c r="B1145" s="390">
        <v>1801128.0703715968</v>
      </c>
      <c r="C1145" s="389">
        <v>13811.249786707449</v>
      </c>
      <c r="D1145" s="389">
        <v>915442.63306461985</v>
      </c>
      <c r="E1145" s="388">
        <v>4393.3551119524809</v>
      </c>
      <c r="F1145" s="307"/>
      <c r="I1145" s="329"/>
      <c r="J1145" s="329"/>
      <c r="K1145" s="329"/>
      <c r="L1145" s="328"/>
      <c r="M1145" s="327"/>
      <c r="N1145" s="327"/>
      <c r="O1145" s="327"/>
      <c r="P1145" s="327"/>
      <c r="Q1145" s="326"/>
    </row>
    <row r="1146" spans="1:17">
      <c r="A1146" s="391" t="s">
        <v>307</v>
      </c>
      <c r="B1146" s="390">
        <v>1311600.3985141981</v>
      </c>
      <c r="C1146" s="389">
        <v>4135.7857734761292</v>
      </c>
      <c r="D1146" s="389">
        <v>487989.47702273645</v>
      </c>
      <c r="E1146" s="388">
        <v>13922.103050882362</v>
      </c>
      <c r="F1146" s="307"/>
      <c r="I1146" s="329"/>
      <c r="J1146" s="329"/>
      <c r="K1146" s="329"/>
      <c r="L1146" s="328"/>
      <c r="M1146" s="327"/>
      <c r="N1146" s="327"/>
      <c r="O1146" s="327"/>
      <c r="P1146" s="327"/>
      <c r="Q1146" s="326"/>
    </row>
    <row r="1147" spans="1:17">
      <c r="A1147" s="391" t="s">
        <v>306</v>
      </c>
      <c r="B1147" s="390">
        <v>1949620.1175956058</v>
      </c>
      <c r="C1147" s="389">
        <v>11769.097831328161</v>
      </c>
      <c r="D1147" s="389">
        <v>1403418.2486938841</v>
      </c>
      <c r="E1147" s="388">
        <v>14219.616797988583</v>
      </c>
      <c r="F1147" s="307"/>
      <c r="I1147" s="329"/>
      <c r="J1147" s="329"/>
      <c r="K1147" s="329"/>
      <c r="L1147" s="328"/>
      <c r="M1147" s="327"/>
      <c r="N1147" s="327"/>
      <c r="O1147" s="327"/>
      <c r="P1147" s="327"/>
      <c r="Q1147" s="326"/>
    </row>
    <row r="1148" spans="1:17">
      <c r="A1148" s="391" t="s">
        <v>305</v>
      </c>
      <c r="B1148" s="390">
        <v>2219694.7618337777</v>
      </c>
      <c r="C1148" s="389">
        <v>9286.7005492483113</v>
      </c>
      <c r="D1148" s="389">
        <v>1140065.4738410742</v>
      </c>
      <c r="E1148" s="388">
        <v>15070.813769626802</v>
      </c>
      <c r="F1148" s="307"/>
      <c r="I1148" s="329"/>
      <c r="J1148" s="329"/>
      <c r="K1148" s="329"/>
      <c r="L1148" s="328"/>
      <c r="M1148" s="327"/>
      <c r="N1148" s="327"/>
      <c r="O1148" s="327"/>
      <c r="P1148" s="327"/>
      <c r="Q1148" s="326"/>
    </row>
    <row r="1149" spans="1:17" ht="28.5">
      <c r="A1149" s="391" t="s">
        <v>304</v>
      </c>
      <c r="B1149" s="390">
        <v>1812483.7957372353</v>
      </c>
      <c r="C1149" s="389">
        <v>5100.2105445407778</v>
      </c>
      <c r="D1149" s="389">
        <v>1137391.0293487108</v>
      </c>
      <c r="E1149" s="388">
        <v>49732.854572542528</v>
      </c>
      <c r="F1149" s="307"/>
      <c r="I1149" s="329"/>
      <c r="J1149" s="329"/>
      <c r="K1149" s="329"/>
      <c r="L1149" s="328"/>
      <c r="M1149" s="327"/>
      <c r="N1149" s="327"/>
      <c r="O1149" s="327"/>
      <c r="P1149" s="327"/>
      <c r="Q1149" s="326"/>
    </row>
    <row r="1150" spans="1:17" ht="28.5">
      <c r="A1150" s="391" t="s">
        <v>303</v>
      </c>
      <c r="B1150" s="390">
        <v>2142575.3545271531</v>
      </c>
      <c r="C1150" s="389">
        <v>5705.9074050235995</v>
      </c>
      <c r="D1150" s="389">
        <v>1145915.9551929911</v>
      </c>
      <c r="E1150" s="388">
        <v>40332.588310412597</v>
      </c>
      <c r="F1150" s="307"/>
      <c r="I1150" s="329"/>
      <c r="J1150" s="329"/>
      <c r="K1150" s="329"/>
      <c r="L1150" s="328"/>
      <c r="M1150" s="327"/>
      <c r="N1150" s="327"/>
      <c r="O1150" s="327"/>
      <c r="P1150" s="327"/>
      <c r="Q1150" s="326"/>
    </row>
    <row r="1151" spans="1:17" ht="15.75" thickBot="1">
      <c r="A1151" s="391" t="s">
        <v>302</v>
      </c>
      <c r="B1151" s="390">
        <v>2019686.9723248731</v>
      </c>
      <c r="C1151" s="389">
        <v>35215.212502525872</v>
      </c>
      <c r="D1151" s="389">
        <v>1559755.262754618</v>
      </c>
      <c r="E1151" s="388">
        <v>1961.7889880952384</v>
      </c>
      <c r="F1151" s="307"/>
      <c r="I1151" s="329"/>
      <c r="J1151" s="329"/>
      <c r="K1151" s="329"/>
      <c r="L1151" s="328"/>
      <c r="M1151" s="327"/>
      <c r="N1151" s="327"/>
      <c r="O1151" s="327"/>
      <c r="P1151" s="327"/>
      <c r="Q1151" s="326"/>
    </row>
    <row r="1152" spans="1:17" ht="15.75" customHeight="1">
      <c r="A1152" s="395" t="s">
        <v>3</v>
      </c>
      <c r="B1152" s="394">
        <v>2419684.8223969154</v>
      </c>
      <c r="C1152" s="393">
        <v>4923.0475875524789</v>
      </c>
      <c r="D1152" s="393">
        <v>1554710.5715550643</v>
      </c>
      <c r="E1152" s="392">
        <v>99731.1979384601</v>
      </c>
      <c r="F1152" s="307"/>
      <c r="I1152" s="329"/>
      <c r="J1152" s="336"/>
      <c r="K1152" s="336"/>
      <c r="L1152" s="328"/>
      <c r="M1152" s="327"/>
      <c r="N1152" s="327"/>
      <c r="O1152" s="327"/>
      <c r="P1152" s="327"/>
      <c r="Q1152" s="326"/>
    </row>
    <row r="1153" spans="1:17">
      <c r="A1153" s="391" t="s">
        <v>309</v>
      </c>
      <c r="B1153" s="390">
        <v>1779613.9168902703</v>
      </c>
      <c r="C1153" s="389">
        <v>22306.889131744527</v>
      </c>
      <c r="D1153" s="389">
        <v>805801.2023798147</v>
      </c>
      <c r="E1153" s="388">
        <v>1304.9017231134887</v>
      </c>
      <c r="F1153" s="307"/>
      <c r="I1153" s="329"/>
      <c r="J1153" s="329"/>
      <c r="K1153" s="329"/>
      <c r="L1153" s="328"/>
      <c r="M1153" s="327"/>
      <c r="N1153" s="327"/>
      <c r="O1153" s="327"/>
      <c r="P1153" s="327"/>
      <c r="Q1153" s="326"/>
    </row>
    <row r="1154" spans="1:17">
      <c r="A1154" s="391" t="s">
        <v>308</v>
      </c>
      <c r="B1154" s="390">
        <v>2255347.6175343674</v>
      </c>
      <c r="C1154" s="389">
        <v>16988.443153039079</v>
      </c>
      <c r="D1154" s="389">
        <v>1105448.5350316186</v>
      </c>
      <c r="E1154" s="388">
        <v>4234.1856348991387</v>
      </c>
      <c r="F1154" s="307"/>
      <c r="I1154" s="329"/>
      <c r="J1154" s="329"/>
      <c r="K1154" s="329"/>
      <c r="L1154" s="328"/>
      <c r="M1154" s="327"/>
      <c r="N1154" s="327"/>
      <c r="O1154" s="327"/>
      <c r="P1154" s="327"/>
      <c r="Q1154" s="326"/>
    </row>
    <row r="1155" spans="1:17">
      <c r="A1155" s="391" t="s">
        <v>307</v>
      </c>
      <c r="B1155" s="390">
        <v>1943993.216974586</v>
      </c>
      <c r="C1155" s="389">
        <v>21262.762395437327</v>
      </c>
      <c r="D1155" s="389">
        <v>2357847.4376092125</v>
      </c>
      <c r="E1155" s="388">
        <v>12296.79774305556</v>
      </c>
      <c r="F1155" s="307"/>
      <c r="I1155" s="329"/>
      <c r="J1155" s="329"/>
      <c r="K1155" s="329"/>
      <c r="L1155" s="328"/>
      <c r="M1155" s="327"/>
      <c r="N1155" s="327"/>
      <c r="O1155" s="327"/>
      <c r="P1155" s="327"/>
      <c r="Q1155" s="326"/>
    </row>
    <row r="1156" spans="1:17">
      <c r="A1156" s="391" t="s">
        <v>306</v>
      </c>
      <c r="B1156" s="390">
        <v>2710979.2112719673</v>
      </c>
      <c r="C1156" s="389">
        <v>18767.344731267425</v>
      </c>
      <c r="D1156" s="389">
        <v>1850346.2953303463</v>
      </c>
      <c r="E1156" s="388">
        <v>9720.763270406329</v>
      </c>
      <c r="F1156" s="307"/>
      <c r="I1156" s="329"/>
      <c r="J1156" s="329"/>
      <c r="K1156" s="329"/>
      <c r="L1156" s="328"/>
      <c r="M1156" s="327"/>
      <c r="N1156" s="327"/>
      <c r="O1156" s="327"/>
      <c r="P1156" s="327"/>
      <c r="Q1156" s="326"/>
    </row>
    <row r="1157" spans="1:17">
      <c r="A1157" s="391" t="s">
        <v>305</v>
      </c>
      <c r="B1157" s="390">
        <v>2370378.2456944035</v>
      </c>
      <c r="C1157" s="389">
        <v>9545.4236198120707</v>
      </c>
      <c r="D1157" s="389">
        <v>1158034.4786049342</v>
      </c>
      <c r="E1157" s="388">
        <v>14718.127684854609</v>
      </c>
      <c r="F1157" s="307"/>
      <c r="I1157" s="329"/>
      <c r="J1157" s="329"/>
      <c r="K1157" s="329"/>
      <c r="L1157" s="328"/>
      <c r="M1157" s="327"/>
      <c r="N1157" s="327"/>
      <c r="O1157" s="327"/>
      <c r="P1157" s="327"/>
      <c r="Q1157" s="326"/>
    </row>
    <row r="1158" spans="1:17" ht="28.5">
      <c r="A1158" s="391" t="s">
        <v>304</v>
      </c>
      <c r="B1158" s="390">
        <v>2362986.2467864729</v>
      </c>
      <c r="C1158" s="389">
        <v>8424.4093883920414</v>
      </c>
      <c r="D1158" s="389">
        <v>1429973.7427624613</v>
      </c>
      <c r="E1158" s="388">
        <v>28812.251637214446</v>
      </c>
      <c r="F1158" s="307"/>
      <c r="I1158" s="329"/>
      <c r="J1158" s="329"/>
      <c r="K1158" s="329"/>
      <c r="L1158" s="328"/>
      <c r="M1158" s="327"/>
      <c r="N1158" s="327"/>
      <c r="O1158" s="327"/>
      <c r="P1158" s="327"/>
      <c r="Q1158" s="326"/>
    </row>
    <row r="1159" spans="1:17" ht="28.5">
      <c r="A1159" s="391" t="s">
        <v>303</v>
      </c>
      <c r="B1159" s="390">
        <v>2679484.9094592743</v>
      </c>
      <c r="C1159" s="389">
        <v>7991.9908839659774</v>
      </c>
      <c r="D1159" s="389">
        <v>1310027.7163569701</v>
      </c>
      <c r="E1159" s="388">
        <v>26868.96939352448</v>
      </c>
      <c r="F1159" s="307"/>
      <c r="I1159" s="329"/>
      <c r="J1159" s="329"/>
      <c r="K1159" s="329"/>
      <c r="L1159" s="328"/>
      <c r="M1159" s="327"/>
      <c r="N1159" s="327"/>
      <c r="O1159" s="327"/>
      <c r="P1159" s="327"/>
      <c r="Q1159" s="326"/>
    </row>
    <row r="1160" spans="1:17" ht="15.75" thickBot="1">
      <c r="A1160" s="387" t="s">
        <v>302</v>
      </c>
      <c r="B1160" s="386">
        <v>2378955.3777419981</v>
      </c>
      <c r="C1160" s="385">
        <v>27850.409633107578</v>
      </c>
      <c r="D1160" s="385">
        <v>1173424.9983026581</v>
      </c>
      <c r="E1160" s="384">
        <v>1775.2008513931887</v>
      </c>
      <c r="F1160" s="307"/>
      <c r="I1160" s="329"/>
      <c r="J1160" s="329"/>
      <c r="K1160" s="329"/>
      <c r="L1160" s="328"/>
      <c r="M1160" s="327"/>
      <c r="N1160" s="327"/>
      <c r="O1160" s="327"/>
      <c r="P1160" s="327"/>
      <c r="Q1160" s="326"/>
    </row>
    <row r="1165" spans="1:17" ht="15.75" thickBot="1"/>
    <row r="1166" spans="1:17" ht="27.75" customHeight="1">
      <c r="A1166" s="874" t="s">
        <v>311</v>
      </c>
      <c r="B1166" s="763" t="s">
        <v>343</v>
      </c>
      <c r="C1166" s="764"/>
      <c r="D1166" s="764"/>
      <c r="E1166" s="765"/>
      <c r="F1166" s="326"/>
    </row>
    <row r="1167" spans="1:17" ht="43.5" thickBot="1">
      <c r="A1167" s="875"/>
      <c r="B1167" s="346" t="s">
        <v>95</v>
      </c>
      <c r="C1167" s="345" t="s">
        <v>94</v>
      </c>
      <c r="D1167" s="345" t="s">
        <v>93</v>
      </c>
      <c r="E1167" s="344" t="s">
        <v>92</v>
      </c>
      <c r="F1167" s="326"/>
    </row>
    <row r="1168" spans="1:17" ht="15.75" customHeight="1">
      <c r="A1168" s="316" t="s">
        <v>5</v>
      </c>
      <c r="B1168" s="383">
        <v>45.627000485702737</v>
      </c>
      <c r="C1168" s="382">
        <v>2.3067279954429473E-2</v>
      </c>
      <c r="D1168" s="382">
        <v>9.1146787581583606</v>
      </c>
      <c r="E1168" s="381">
        <v>156131.29457100161</v>
      </c>
      <c r="F1168" s="326"/>
    </row>
    <row r="1169" spans="1:6">
      <c r="A1169" s="313" t="s">
        <v>309</v>
      </c>
      <c r="B1169" s="380">
        <v>48.5400903290111</v>
      </c>
      <c r="C1169" s="379">
        <v>0.16903579193421892</v>
      </c>
      <c r="D1169" s="379">
        <v>8.4105949275624035</v>
      </c>
      <c r="E1169" s="333">
        <v>2475.6890089999997</v>
      </c>
      <c r="F1169" s="326"/>
    </row>
    <row r="1170" spans="1:6">
      <c r="A1170" s="313" t="s">
        <v>308</v>
      </c>
      <c r="B1170" s="380">
        <v>44.926013817938475</v>
      </c>
      <c r="C1170" s="379">
        <v>0.16322164392697763</v>
      </c>
      <c r="D1170" s="379">
        <v>11.554327824727649</v>
      </c>
      <c r="E1170" s="333">
        <v>5011.1093000000055</v>
      </c>
      <c r="F1170" s="326"/>
    </row>
    <row r="1171" spans="1:6">
      <c r="A1171" s="313" t="s">
        <v>307</v>
      </c>
      <c r="B1171" s="380">
        <v>41.20870159367437</v>
      </c>
      <c r="C1171" s="379">
        <v>9.8377412192325236E-2</v>
      </c>
      <c r="D1171" s="379">
        <v>11.181332323099523</v>
      </c>
      <c r="E1171" s="333">
        <v>12918.030995999994</v>
      </c>
      <c r="F1171" s="326"/>
    </row>
    <row r="1172" spans="1:6">
      <c r="A1172" s="313" t="s">
        <v>306</v>
      </c>
      <c r="B1172" s="380">
        <v>46.941262373122889</v>
      </c>
      <c r="C1172" s="379">
        <v>8.3142545796092676E-2</v>
      </c>
      <c r="D1172" s="379">
        <v>10.107148631444296</v>
      </c>
      <c r="E1172" s="333">
        <v>14777.830057999989</v>
      </c>
      <c r="F1172" s="326"/>
    </row>
    <row r="1173" spans="1:6">
      <c r="A1173" s="313" t="s">
        <v>305</v>
      </c>
      <c r="B1173" s="380">
        <v>44.360922310688096</v>
      </c>
      <c r="C1173" s="379">
        <v>8.0420856689232448E-2</v>
      </c>
      <c r="D1173" s="379">
        <v>11.013511622403868</v>
      </c>
      <c r="E1173" s="333">
        <v>18754.877790999992</v>
      </c>
      <c r="F1173" s="326"/>
    </row>
    <row r="1174" spans="1:6" ht="28.5">
      <c r="A1174" s="313" t="s">
        <v>304</v>
      </c>
      <c r="B1174" s="380">
        <v>46.240433225341583</v>
      </c>
      <c r="C1174" s="379">
        <v>3.0970518796623586E-2</v>
      </c>
      <c r="D1174" s="379">
        <v>7.474569546728846</v>
      </c>
      <c r="E1174" s="333">
        <v>58247.248303998778</v>
      </c>
      <c r="F1174" s="326"/>
    </row>
    <row r="1175" spans="1:6" ht="28.5">
      <c r="A1175" s="313" t="s">
        <v>303</v>
      </c>
      <c r="B1175" s="380">
        <v>46.218194814429317</v>
      </c>
      <c r="C1175" s="379">
        <v>4.0769399170445586E-2</v>
      </c>
      <c r="D1175" s="379">
        <v>8.3094589198880922</v>
      </c>
      <c r="E1175" s="333">
        <v>41540.992437000488</v>
      </c>
      <c r="F1175" s="326"/>
    </row>
    <row r="1176" spans="1:6" ht="15.75" thickBot="1">
      <c r="A1176" s="313" t="s">
        <v>302</v>
      </c>
      <c r="B1176" s="380">
        <v>44.550380520413398</v>
      </c>
      <c r="C1176" s="379">
        <v>0.20152028440459405</v>
      </c>
      <c r="D1176" s="379">
        <v>9.8837773457678555</v>
      </c>
      <c r="E1176" s="333">
        <v>2405.5166760000002</v>
      </c>
      <c r="F1176" s="326"/>
    </row>
    <row r="1177" spans="1:6" ht="15" customHeight="1">
      <c r="A1177" s="316" t="s">
        <v>4</v>
      </c>
      <c r="B1177" s="383">
        <v>45.864039657887993</v>
      </c>
      <c r="C1177" s="382">
        <v>2.3905337159891561E-2</v>
      </c>
      <c r="D1177" s="382">
        <v>9.0471655596912175</v>
      </c>
      <c r="E1177" s="381">
        <v>143230.44094562999</v>
      </c>
      <c r="F1177" s="326"/>
    </row>
    <row r="1178" spans="1:6">
      <c r="A1178" s="313" t="s">
        <v>309</v>
      </c>
      <c r="B1178" s="380">
        <v>45.582243828069529</v>
      </c>
      <c r="C1178" s="379">
        <v>0.13851538696913501</v>
      </c>
      <c r="D1178" s="379">
        <v>8.3078295292630013</v>
      </c>
      <c r="E1178" s="333">
        <v>3597.3203441295577</v>
      </c>
      <c r="F1178" s="326"/>
    </row>
    <row r="1179" spans="1:6">
      <c r="A1179" s="313" t="s">
        <v>308</v>
      </c>
      <c r="B1179" s="380">
        <v>45.831478801881971</v>
      </c>
      <c r="C1179" s="379">
        <v>0.14022456169937866</v>
      </c>
      <c r="D1179" s="379">
        <v>9.2944189674969167</v>
      </c>
      <c r="E1179" s="333">
        <v>4393.3551119524809</v>
      </c>
      <c r="F1179" s="326"/>
    </row>
    <row r="1180" spans="1:6">
      <c r="A1180" s="313" t="s">
        <v>307</v>
      </c>
      <c r="B1180" s="380">
        <v>40.134812575532678</v>
      </c>
      <c r="C1180" s="379">
        <v>9.6855336583159632E-2</v>
      </c>
      <c r="D1180" s="379">
        <v>11.428151174849527</v>
      </c>
      <c r="E1180" s="333">
        <v>13922.103050882362</v>
      </c>
      <c r="F1180" s="326"/>
    </row>
    <row r="1181" spans="1:6">
      <c r="A1181" s="313" t="s">
        <v>306</v>
      </c>
      <c r="B1181" s="380">
        <v>46.58550898237705</v>
      </c>
      <c r="C1181" s="379">
        <v>9.0395063287949134E-2</v>
      </c>
      <c r="D1181" s="379">
        <v>10.779252855937029</v>
      </c>
      <c r="E1181" s="333">
        <v>14219.616797988583</v>
      </c>
      <c r="F1181" s="326"/>
    </row>
    <row r="1182" spans="1:6">
      <c r="A1182" s="313" t="s">
        <v>305</v>
      </c>
      <c r="B1182" s="380">
        <v>44.357944093944717</v>
      </c>
      <c r="C1182" s="379">
        <v>7.9913719771095473E-2</v>
      </c>
      <c r="D1182" s="379">
        <v>9.8104673790317491</v>
      </c>
      <c r="E1182" s="333">
        <v>15070.813769626802</v>
      </c>
      <c r="F1182" s="326"/>
    </row>
    <row r="1183" spans="1:6" ht="28.5">
      <c r="A1183" s="313" t="s">
        <v>304</v>
      </c>
      <c r="B1183" s="380">
        <v>46.403300697032641</v>
      </c>
      <c r="C1183" s="379">
        <v>3.3252338289389005E-2</v>
      </c>
      <c r="D1183" s="379">
        <v>7.4155588176066374</v>
      </c>
      <c r="E1183" s="333">
        <v>49732.854572542528</v>
      </c>
      <c r="F1183" s="326"/>
    </row>
    <row r="1184" spans="1:6" ht="28.5">
      <c r="A1184" s="313" t="s">
        <v>303</v>
      </c>
      <c r="B1184" s="380">
        <v>47.516196072285425</v>
      </c>
      <c r="C1184" s="379">
        <v>3.9177375554892292E-2</v>
      </c>
      <c r="D1184" s="379">
        <v>7.867982521309993</v>
      </c>
      <c r="E1184" s="333">
        <v>40332.588310412597</v>
      </c>
      <c r="F1184" s="326"/>
    </row>
    <row r="1185" spans="1:8" ht="15.75" thickBot="1">
      <c r="A1185" s="313" t="s">
        <v>302</v>
      </c>
      <c r="B1185" s="380">
        <v>45.815096693863346</v>
      </c>
      <c r="C1185" s="379">
        <v>0.28855616118987054</v>
      </c>
      <c r="D1185" s="379">
        <v>12.780754652094968</v>
      </c>
      <c r="E1185" s="333">
        <v>1961.7889880952384</v>
      </c>
      <c r="F1185" s="326"/>
    </row>
    <row r="1186" spans="1:8" ht="15.75" customHeight="1">
      <c r="A1186" s="316" t="s">
        <v>3</v>
      </c>
      <c r="B1186" s="383">
        <v>45.439614072630121</v>
      </c>
      <c r="C1186" s="382">
        <v>3.0618445521219541E-2</v>
      </c>
      <c r="D1186" s="382">
        <v>9.6693806204072956</v>
      </c>
      <c r="E1186" s="381">
        <v>99731.1979384601</v>
      </c>
      <c r="F1186" s="326"/>
    </row>
    <row r="1187" spans="1:8">
      <c r="A1187" s="313" t="s">
        <v>309</v>
      </c>
      <c r="B1187" s="380">
        <v>46.23116649248302</v>
      </c>
      <c r="C1187" s="379">
        <v>0.25008371432137028</v>
      </c>
      <c r="D1187" s="379">
        <v>9.0338799151063167</v>
      </c>
      <c r="E1187" s="333">
        <v>1304.9017231134887</v>
      </c>
      <c r="F1187" s="326"/>
    </row>
    <row r="1188" spans="1:8">
      <c r="A1188" s="313" t="s">
        <v>308</v>
      </c>
      <c r="B1188" s="380">
        <v>45.852827906851964</v>
      </c>
      <c r="C1188" s="379">
        <v>0.17417542205534703</v>
      </c>
      <c r="D1188" s="379">
        <v>11.333702765762453</v>
      </c>
      <c r="E1188" s="333">
        <v>4234.1856348991387</v>
      </c>
      <c r="F1188" s="326"/>
    </row>
    <row r="1189" spans="1:8">
      <c r="A1189" s="313" t="s">
        <v>307</v>
      </c>
      <c r="B1189" s="380">
        <v>40.438939201768726</v>
      </c>
      <c r="C1189" s="379">
        <v>0.10230460650758941</v>
      </c>
      <c r="D1189" s="379">
        <v>11.344652676046476</v>
      </c>
      <c r="E1189" s="333">
        <v>12296.79774305556</v>
      </c>
      <c r="F1189" s="326"/>
    </row>
    <row r="1190" spans="1:8">
      <c r="A1190" s="313" t="s">
        <v>306</v>
      </c>
      <c r="B1190" s="380">
        <v>46.143971168958018</v>
      </c>
      <c r="C1190" s="379">
        <v>0.11415627134426595</v>
      </c>
      <c r="D1190" s="379">
        <v>11.255115563506957</v>
      </c>
      <c r="E1190" s="333">
        <v>9720.763270406329</v>
      </c>
      <c r="F1190" s="326"/>
    </row>
    <row r="1191" spans="1:8">
      <c r="A1191" s="313" t="s">
        <v>305</v>
      </c>
      <c r="B1191" s="380">
        <v>43.72455470682636</v>
      </c>
      <c r="C1191" s="379">
        <v>8.0425238152652512E-2</v>
      </c>
      <c r="D1191" s="379">
        <v>9.7570524305990141</v>
      </c>
      <c r="E1191" s="333">
        <v>14718.127684854609</v>
      </c>
      <c r="F1191" s="326"/>
    </row>
    <row r="1192" spans="1:8" ht="28.5">
      <c r="A1192" s="313" t="s">
        <v>304</v>
      </c>
      <c r="B1192" s="380">
        <v>47.0623088422088</v>
      </c>
      <c r="C1192" s="379">
        <v>4.4763415277392173E-2</v>
      </c>
      <c r="D1192" s="379">
        <v>7.5982191192230806</v>
      </c>
      <c r="E1192" s="333">
        <v>28812.251637214446</v>
      </c>
      <c r="F1192" s="326"/>
    </row>
    <row r="1193" spans="1:8" ht="28.5">
      <c r="A1193" s="313" t="s">
        <v>303</v>
      </c>
      <c r="B1193" s="380">
        <v>46.894084920137026</v>
      </c>
      <c r="C1193" s="379">
        <v>5.3027625811930858E-2</v>
      </c>
      <c r="D1193" s="379">
        <v>8.6921595075397278</v>
      </c>
      <c r="E1193" s="333">
        <v>26868.96939352448</v>
      </c>
      <c r="F1193" s="326"/>
    </row>
    <row r="1194" spans="1:8" ht="15.75" thickBot="1">
      <c r="A1194" s="310" t="s">
        <v>302</v>
      </c>
      <c r="B1194" s="378">
        <v>40.522827726945842</v>
      </c>
      <c r="C1194" s="377">
        <v>0.27219165211691254</v>
      </c>
      <c r="D1194" s="377">
        <v>11.468286934767329</v>
      </c>
      <c r="E1194" s="330">
        <v>1775.2008513931887</v>
      </c>
      <c r="F1194" s="326"/>
    </row>
    <row r="1199" spans="1:8" ht="15.75" thickBot="1"/>
    <row r="1200" spans="1:8" ht="15" customHeight="1">
      <c r="A1200" s="775" t="s">
        <v>310</v>
      </c>
      <c r="B1200" s="755" t="s">
        <v>344</v>
      </c>
      <c r="C1200" s="756"/>
      <c r="D1200" s="756"/>
      <c r="E1200" s="756"/>
      <c r="F1200" s="756"/>
      <c r="G1200" s="757"/>
      <c r="H1200" s="307"/>
    </row>
    <row r="1201" spans="1:8" ht="15" customHeight="1">
      <c r="A1201" s="776"/>
      <c r="B1201" s="767" t="s">
        <v>27</v>
      </c>
      <c r="C1201" s="759"/>
      <c r="D1201" s="768" t="s">
        <v>26</v>
      </c>
      <c r="E1201" s="759"/>
      <c r="F1201" s="769" t="s">
        <v>9</v>
      </c>
      <c r="G1201" s="762"/>
      <c r="H1201" s="307"/>
    </row>
    <row r="1202" spans="1:8" ht="15.75" customHeight="1" thickBot="1">
      <c r="A1202" s="754"/>
      <c r="B1202" s="318" t="s">
        <v>7</v>
      </c>
      <c r="C1202" s="318" t="s">
        <v>8</v>
      </c>
      <c r="D1202" s="318" t="s">
        <v>7</v>
      </c>
      <c r="E1202" s="318" t="s">
        <v>8</v>
      </c>
      <c r="F1202" s="318" t="s">
        <v>7</v>
      </c>
      <c r="G1202" s="317" t="s">
        <v>6</v>
      </c>
      <c r="H1202" s="307"/>
    </row>
    <row r="1203" spans="1:8" ht="15.75" customHeight="1">
      <c r="A1203" s="316" t="s">
        <v>5</v>
      </c>
      <c r="B1203" s="376">
        <v>14887.850646799989</v>
      </c>
      <c r="C1203" s="375">
        <v>0.40219270023253673</v>
      </c>
      <c r="D1203" s="376">
        <v>22128.859597300027</v>
      </c>
      <c r="E1203" s="375">
        <v>0.59780729976746327</v>
      </c>
      <c r="F1203" s="376">
        <v>37016.710244100017</v>
      </c>
      <c r="G1203" s="375">
        <v>1</v>
      </c>
      <c r="H1203" s="307"/>
    </row>
    <row r="1204" spans="1:8">
      <c r="A1204" s="313" t="s">
        <v>309</v>
      </c>
      <c r="B1204" s="374">
        <v>803.63283880000017</v>
      </c>
      <c r="C1204" s="373">
        <v>0.61481573101750364</v>
      </c>
      <c r="D1204" s="374">
        <v>503.47886680000016</v>
      </c>
      <c r="E1204" s="373">
        <v>0.38518426898249641</v>
      </c>
      <c r="F1204" s="374">
        <v>1307.1117056000003</v>
      </c>
      <c r="G1204" s="373">
        <v>3.5311395771814622E-2</v>
      </c>
      <c r="H1204" s="307"/>
    </row>
    <row r="1205" spans="1:8">
      <c r="A1205" s="313" t="s">
        <v>308</v>
      </c>
      <c r="B1205" s="374">
        <v>1334.0590390000004</v>
      </c>
      <c r="C1205" s="373">
        <v>0.47519807415802057</v>
      </c>
      <c r="D1205" s="374">
        <v>1473.3156360000003</v>
      </c>
      <c r="E1205" s="373">
        <v>0.52480192584197849</v>
      </c>
      <c r="F1205" s="374">
        <v>2807.3746750000032</v>
      </c>
      <c r="G1205" s="373">
        <v>7.5840739398160384E-2</v>
      </c>
      <c r="H1205" s="307"/>
    </row>
    <row r="1206" spans="1:8">
      <c r="A1206" s="313" t="s">
        <v>307</v>
      </c>
      <c r="B1206" s="374">
        <v>492.84382399999993</v>
      </c>
      <c r="C1206" s="373">
        <v>0.20816328456799604</v>
      </c>
      <c r="D1206" s="374">
        <v>1874.7390330000001</v>
      </c>
      <c r="E1206" s="373">
        <v>0.79183671543200418</v>
      </c>
      <c r="F1206" s="374">
        <v>2367.5828569999994</v>
      </c>
      <c r="G1206" s="373">
        <v>6.3959839796335266E-2</v>
      </c>
      <c r="H1206" s="307"/>
    </row>
    <row r="1207" spans="1:8">
      <c r="A1207" s="313" t="s">
        <v>306</v>
      </c>
      <c r="B1207" s="374">
        <v>878.68853100000001</v>
      </c>
      <c r="C1207" s="373">
        <v>0.42393741833367377</v>
      </c>
      <c r="D1207" s="374">
        <v>1193.9960045000003</v>
      </c>
      <c r="E1207" s="373">
        <v>0.57606258166632618</v>
      </c>
      <c r="F1207" s="374">
        <v>2072.6845355000005</v>
      </c>
      <c r="G1207" s="373">
        <v>5.5993212844470952E-2</v>
      </c>
      <c r="H1207" s="307"/>
    </row>
    <row r="1208" spans="1:8">
      <c r="A1208" s="313" t="s">
        <v>305</v>
      </c>
      <c r="B1208" s="374">
        <v>3010.3660429999995</v>
      </c>
      <c r="C1208" s="373">
        <v>0.44070326864113618</v>
      </c>
      <c r="D1208" s="374">
        <v>3820.4570009999993</v>
      </c>
      <c r="E1208" s="373">
        <v>0.55929673135886238</v>
      </c>
      <c r="F1208" s="374">
        <v>6830.8230440000088</v>
      </c>
      <c r="G1208" s="373">
        <v>0.18453349849177247</v>
      </c>
      <c r="H1208" s="307"/>
    </row>
    <row r="1209" spans="1:8" ht="28.5">
      <c r="A1209" s="313" t="s">
        <v>304</v>
      </c>
      <c r="B1209" s="374">
        <v>4920.7558770000069</v>
      </c>
      <c r="C1209" s="373">
        <v>0.38999678142775535</v>
      </c>
      <c r="D1209" s="374">
        <v>7696.6710130000183</v>
      </c>
      <c r="E1209" s="373">
        <v>0.61000321857224793</v>
      </c>
      <c r="F1209" s="374">
        <v>12617.426889999984</v>
      </c>
      <c r="G1209" s="373">
        <v>0.34085759665828319</v>
      </c>
      <c r="H1209" s="307"/>
    </row>
    <row r="1210" spans="1:8" ht="28.5">
      <c r="A1210" s="313" t="s">
        <v>303</v>
      </c>
      <c r="B1210" s="374">
        <v>3238.1544959999987</v>
      </c>
      <c r="C1210" s="373">
        <v>0.37664865141583348</v>
      </c>
      <c r="D1210" s="374">
        <v>5359.1270390000009</v>
      </c>
      <c r="E1210" s="373">
        <v>0.62335134858416585</v>
      </c>
      <c r="F1210" s="374">
        <v>8597.2815350000055</v>
      </c>
      <c r="G1210" s="373">
        <v>0.23225406791437661</v>
      </c>
      <c r="H1210" s="307"/>
    </row>
    <row r="1211" spans="1:8" ht="15.75" thickBot="1">
      <c r="A1211" s="313" t="s">
        <v>302</v>
      </c>
      <c r="B1211" s="374">
        <v>209.349998</v>
      </c>
      <c r="C1211" s="373">
        <v>0.50273157710160743</v>
      </c>
      <c r="D1211" s="374">
        <v>207.07500400000001</v>
      </c>
      <c r="E1211" s="373">
        <v>0.49726842289839268</v>
      </c>
      <c r="F1211" s="374">
        <v>416.42500199999995</v>
      </c>
      <c r="G1211" s="373">
        <v>1.1249649124786088E-2</v>
      </c>
      <c r="H1211" s="307"/>
    </row>
    <row r="1212" spans="1:8" ht="15" customHeight="1">
      <c r="A1212" s="316" t="s">
        <v>4</v>
      </c>
      <c r="B1212" s="376">
        <v>10978.642406184603</v>
      </c>
      <c r="C1212" s="375">
        <v>0.29904748945989928</v>
      </c>
      <c r="D1212" s="376">
        <v>25733.394287428073</v>
      </c>
      <c r="E1212" s="375">
        <v>0.70095251054009788</v>
      </c>
      <c r="F1212" s="376">
        <v>36712.036693612776</v>
      </c>
      <c r="G1212" s="375">
        <v>1</v>
      </c>
      <c r="H1212" s="307"/>
    </row>
    <row r="1213" spans="1:8">
      <c r="A1213" s="313" t="s">
        <v>309</v>
      </c>
      <c r="B1213" s="374">
        <v>762.31629554655865</v>
      </c>
      <c r="C1213" s="373">
        <v>0.41419599806956037</v>
      </c>
      <c r="D1213" s="374">
        <v>1078.1560873337187</v>
      </c>
      <c r="E1213" s="373">
        <v>0.58580400193043947</v>
      </c>
      <c r="F1213" s="374">
        <v>1840.4723828802776</v>
      </c>
      <c r="G1213" s="373">
        <v>5.0132668972857237E-2</v>
      </c>
      <c r="H1213" s="307"/>
    </row>
    <row r="1214" spans="1:8">
      <c r="A1214" s="313" t="s">
        <v>308</v>
      </c>
      <c r="B1214" s="374">
        <v>991.5822310664305</v>
      </c>
      <c r="C1214" s="373">
        <v>0.33116865327025313</v>
      </c>
      <c r="D1214" s="374">
        <v>2002.6088594086725</v>
      </c>
      <c r="E1214" s="373">
        <v>0.66883134672974687</v>
      </c>
      <c r="F1214" s="374">
        <v>2994.1910904751026</v>
      </c>
      <c r="G1214" s="373">
        <v>8.1558839011403511E-2</v>
      </c>
      <c r="H1214" s="307"/>
    </row>
    <row r="1215" spans="1:8">
      <c r="A1215" s="313" t="s">
        <v>307</v>
      </c>
      <c r="B1215" s="374">
        <v>263.44281524926686</v>
      </c>
      <c r="C1215" s="373">
        <v>0.12830387865973422</v>
      </c>
      <c r="D1215" s="374">
        <v>1789.8296033338472</v>
      </c>
      <c r="E1215" s="373">
        <v>0.87169612134026597</v>
      </c>
      <c r="F1215" s="374">
        <v>2053.2724185831139</v>
      </c>
      <c r="G1215" s="373">
        <v>5.5929133970939446E-2</v>
      </c>
      <c r="H1215" s="307"/>
    </row>
    <row r="1216" spans="1:8">
      <c r="A1216" s="313" t="s">
        <v>306</v>
      </c>
      <c r="B1216" s="374">
        <v>459.25732895153624</v>
      </c>
      <c r="C1216" s="373">
        <v>0.20264390634186566</v>
      </c>
      <c r="D1216" s="374">
        <v>1807.0695359518525</v>
      </c>
      <c r="E1216" s="373">
        <v>0.79735609365813442</v>
      </c>
      <c r="F1216" s="374">
        <v>2266.3268649033885</v>
      </c>
      <c r="G1216" s="373">
        <v>6.1732528865599219E-2</v>
      </c>
      <c r="H1216" s="307"/>
    </row>
    <row r="1217" spans="1:8">
      <c r="A1217" s="313" t="s">
        <v>305</v>
      </c>
      <c r="B1217" s="374">
        <v>2103.8228651268359</v>
      </c>
      <c r="C1217" s="373">
        <v>0.2852816269798048</v>
      </c>
      <c r="D1217" s="374">
        <v>5270.7244809445147</v>
      </c>
      <c r="E1217" s="373">
        <v>0.71471837302019547</v>
      </c>
      <c r="F1217" s="374">
        <v>7374.5473460713483</v>
      </c>
      <c r="G1217" s="373">
        <v>0.20087546238899859</v>
      </c>
      <c r="H1217" s="307"/>
    </row>
    <row r="1218" spans="1:8" ht="28.5">
      <c r="A1218" s="313" t="s">
        <v>304</v>
      </c>
      <c r="B1218" s="374">
        <v>4279.6090943375275</v>
      </c>
      <c r="C1218" s="373">
        <v>0.3556642380158499</v>
      </c>
      <c r="D1218" s="374">
        <v>7753.1134481712434</v>
      </c>
      <c r="E1218" s="373">
        <v>0.64433576198414888</v>
      </c>
      <c r="F1218" s="374">
        <v>12032.722542508787</v>
      </c>
      <c r="G1218" s="373">
        <v>0.32775960219614464</v>
      </c>
      <c r="H1218" s="307"/>
    </row>
    <row r="1219" spans="1:8" ht="28.5">
      <c r="A1219" s="313" t="s">
        <v>303</v>
      </c>
      <c r="B1219" s="374">
        <v>1975.1291370175784</v>
      </c>
      <c r="C1219" s="373">
        <v>0.26804517201809247</v>
      </c>
      <c r="D1219" s="374">
        <v>5393.5137008555121</v>
      </c>
      <c r="E1219" s="373">
        <v>0.73195482798190714</v>
      </c>
      <c r="F1219" s="374">
        <v>7368.6428378730934</v>
      </c>
      <c r="G1219" s="373">
        <v>0.20071462935629239</v>
      </c>
      <c r="H1219" s="307"/>
    </row>
    <row r="1220" spans="1:8" ht="15.75" thickBot="1">
      <c r="A1220" s="313" t="s">
        <v>302</v>
      </c>
      <c r="B1220" s="374">
        <v>143.48263888888889</v>
      </c>
      <c r="C1220" s="373">
        <v>0.18351420558468479</v>
      </c>
      <c r="D1220" s="374">
        <v>638.37857142857149</v>
      </c>
      <c r="E1220" s="373">
        <v>0.81648579441531544</v>
      </c>
      <c r="F1220" s="374">
        <v>781.86121031746029</v>
      </c>
      <c r="G1220" s="373">
        <v>2.1297135237759494E-2</v>
      </c>
      <c r="H1220" s="307"/>
    </row>
    <row r="1221" spans="1:8" ht="15.75" customHeight="1">
      <c r="A1221" s="316" t="s">
        <v>3</v>
      </c>
      <c r="B1221" s="376">
        <v>6495.6682634250601</v>
      </c>
      <c r="C1221" s="375">
        <v>0.25964615101307997</v>
      </c>
      <c r="D1221" s="376">
        <v>18521.718815414475</v>
      </c>
      <c r="E1221" s="375">
        <v>0.7403538489869177</v>
      </c>
      <c r="F1221" s="376">
        <v>25017.387078839594</v>
      </c>
      <c r="G1221" s="375">
        <v>1</v>
      </c>
      <c r="H1221" s="307"/>
    </row>
    <row r="1222" spans="1:8">
      <c r="A1222" s="313" t="s">
        <v>309</v>
      </c>
      <c r="B1222" s="374">
        <v>442.67569815805103</v>
      </c>
      <c r="C1222" s="373">
        <v>0.43591148124661877</v>
      </c>
      <c r="D1222" s="374">
        <v>572.84171122994667</v>
      </c>
      <c r="E1222" s="373">
        <v>0.56408851875338129</v>
      </c>
      <c r="F1222" s="374">
        <v>1015.5174093879976</v>
      </c>
      <c r="G1222" s="373">
        <v>4.059246499995E-2</v>
      </c>
      <c r="H1222" s="307"/>
    </row>
    <row r="1223" spans="1:8">
      <c r="A1223" s="313" t="s">
        <v>308</v>
      </c>
      <c r="B1223" s="374">
        <v>489.98084619782719</v>
      </c>
      <c r="C1223" s="373">
        <v>0.28497444387512572</v>
      </c>
      <c r="D1223" s="374">
        <v>1229.4043714202601</v>
      </c>
      <c r="E1223" s="373">
        <v>0.71502555612487273</v>
      </c>
      <c r="F1223" s="374">
        <v>1719.3852176180899</v>
      </c>
      <c r="G1223" s="373">
        <v>6.8727609809914728E-2</v>
      </c>
      <c r="H1223" s="307"/>
    </row>
    <row r="1224" spans="1:8">
      <c r="A1224" s="313" t="s">
        <v>307</v>
      </c>
      <c r="B1224" s="374">
        <v>672.50810185185173</v>
      </c>
      <c r="C1224" s="373">
        <v>0.36883378129894195</v>
      </c>
      <c r="D1224" s="374">
        <v>1150.8284143518517</v>
      </c>
      <c r="E1224" s="373">
        <v>0.63116621870105771</v>
      </c>
      <c r="F1224" s="374">
        <v>1823.3365162037039</v>
      </c>
      <c r="G1224" s="373">
        <v>7.2882771908099594E-2</v>
      </c>
      <c r="H1224" s="307"/>
    </row>
    <row r="1225" spans="1:8">
      <c r="A1225" s="313" t="s">
        <v>306</v>
      </c>
      <c r="B1225" s="374">
        <v>330.13580726357429</v>
      </c>
      <c r="C1225" s="373">
        <v>0.18091330114992563</v>
      </c>
      <c r="D1225" s="374">
        <v>1494.693020496225</v>
      </c>
      <c r="E1225" s="373">
        <v>0.81908669885007457</v>
      </c>
      <c r="F1225" s="374">
        <v>1824.828827759799</v>
      </c>
      <c r="G1225" s="373">
        <v>7.2942422884094485E-2</v>
      </c>
      <c r="H1225" s="307"/>
    </row>
    <row r="1226" spans="1:8">
      <c r="A1226" s="313" t="s">
        <v>305</v>
      </c>
      <c r="B1226" s="374">
        <v>1359.0675781385273</v>
      </c>
      <c r="C1226" s="373">
        <v>0.25630470197741656</v>
      </c>
      <c r="D1226" s="374">
        <v>3943.4788349907785</v>
      </c>
      <c r="E1226" s="373">
        <v>0.74369529802258239</v>
      </c>
      <c r="F1226" s="374">
        <v>5302.5464131293111</v>
      </c>
      <c r="G1226" s="373">
        <v>0.21195444577880612</v>
      </c>
      <c r="H1226" s="307"/>
    </row>
    <row r="1227" spans="1:8" ht="28.5">
      <c r="A1227" s="313" t="s">
        <v>304</v>
      </c>
      <c r="B1227" s="374">
        <v>2208.593813489359</v>
      </c>
      <c r="C1227" s="373">
        <v>0.29660998350576995</v>
      </c>
      <c r="D1227" s="374">
        <v>5237.527140987554</v>
      </c>
      <c r="E1227" s="373">
        <v>0.70339001649423294</v>
      </c>
      <c r="F1227" s="374">
        <v>7446.1209544768917</v>
      </c>
      <c r="G1227" s="373">
        <v>0.29763783607821415</v>
      </c>
      <c r="H1227" s="307"/>
    </row>
    <row r="1228" spans="1:8" ht="28.5">
      <c r="A1228" s="313" t="s">
        <v>303</v>
      </c>
      <c r="B1228" s="374">
        <v>867.79552436302754</v>
      </c>
      <c r="C1228" s="373">
        <v>0.16000414280317179</v>
      </c>
      <c r="D1228" s="374">
        <v>4555.7860727118841</v>
      </c>
      <c r="E1228" s="373">
        <v>0.83999585719682968</v>
      </c>
      <c r="F1228" s="374">
        <v>5423.5815970749036</v>
      </c>
      <c r="G1228" s="373">
        <v>0.21679248835951859</v>
      </c>
      <c r="H1228" s="307"/>
    </row>
    <row r="1229" spans="1:8" ht="15.75" thickBot="1">
      <c r="A1229" s="310" t="s">
        <v>302</v>
      </c>
      <c r="B1229" s="372">
        <v>124.91089396284829</v>
      </c>
      <c r="C1229" s="371">
        <v>0.27032885765093778</v>
      </c>
      <c r="D1229" s="372">
        <v>337.15924922600618</v>
      </c>
      <c r="E1229" s="371">
        <v>0.72967114234906205</v>
      </c>
      <c r="F1229" s="372">
        <v>462.07014318885456</v>
      </c>
      <c r="G1229" s="371">
        <v>1.8469960181400655E-2</v>
      </c>
      <c r="H1229" s="307"/>
    </row>
    <row r="1233" spans="1:24" ht="15.75" thickBot="1"/>
    <row r="1234" spans="1:24" ht="15" customHeight="1">
      <c r="A1234" s="775" t="s">
        <v>310</v>
      </c>
      <c r="B1234" s="877" t="s">
        <v>345</v>
      </c>
      <c r="C1234" s="878"/>
      <c r="D1234" s="878"/>
      <c r="E1234" s="878"/>
      <c r="F1234" s="878"/>
      <c r="G1234" s="878"/>
      <c r="H1234" s="878"/>
      <c r="I1234" s="878"/>
      <c r="J1234" s="878"/>
      <c r="K1234" s="878"/>
      <c r="L1234" s="878"/>
      <c r="M1234" s="878"/>
      <c r="N1234" s="878"/>
      <c r="O1234" s="878"/>
      <c r="P1234" s="878"/>
      <c r="Q1234" s="878"/>
      <c r="R1234" s="878"/>
      <c r="S1234" s="878"/>
      <c r="T1234" s="878"/>
      <c r="U1234" s="878"/>
      <c r="V1234" s="878"/>
      <c r="W1234" s="879"/>
      <c r="X1234" s="307"/>
    </row>
    <row r="1235" spans="1:24" ht="15.75" customHeight="1">
      <c r="A1235" s="776"/>
      <c r="B1235" s="880" t="s">
        <v>69</v>
      </c>
      <c r="C1235" s="881"/>
      <c r="D1235" s="882" t="s">
        <v>68</v>
      </c>
      <c r="E1235" s="881"/>
      <c r="F1235" s="882" t="s">
        <v>67</v>
      </c>
      <c r="G1235" s="881"/>
      <c r="H1235" s="882" t="s">
        <v>66</v>
      </c>
      <c r="I1235" s="881"/>
      <c r="J1235" s="882" t="s">
        <v>65</v>
      </c>
      <c r="K1235" s="881"/>
      <c r="L1235" s="882" t="s">
        <v>64</v>
      </c>
      <c r="M1235" s="881"/>
      <c r="N1235" s="882" t="s">
        <v>63</v>
      </c>
      <c r="O1235" s="881"/>
      <c r="P1235" s="882" t="s">
        <v>62</v>
      </c>
      <c r="Q1235" s="881"/>
      <c r="R1235" s="882" t="s">
        <v>61</v>
      </c>
      <c r="S1235" s="881"/>
      <c r="T1235" s="882" t="s">
        <v>60</v>
      </c>
      <c r="U1235" s="881"/>
      <c r="V1235" s="883" t="s">
        <v>9</v>
      </c>
      <c r="W1235" s="884"/>
      <c r="X1235" s="307"/>
    </row>
    <row r="1236" spans="1:24" ht="15.75" customHeight="1" thickBot="1">
      <c r="A1236" s="754"/>
      <c r="B1236" s="318" t="s">
        <v>7</v>
      </c>
      <c r="C1236" s="318" t="s">
        <v>8</v>
      </c>
      <c r="D1236" s="318" t="s">
        <v>7</v>
      </c>
      <c r="E1236" s="318" t="s">
        <v>8</v>
      </c>
      <c r="F1236" s="318" t="s">
        <v>7</v>
      </c>
      <c r="G1236" s="318" t="s">
        <v>8</v>
      </c>
      <c r="H1236" s="318" t="s">
        <v>7</v>
      </c>
      <c r="I1236" s="318" t="s">
        <v>8</v>
      </c>
      <c r="J1236" s="318" t="s">
        <v>7</v>
      </c>
      <c r="K1236" s="318" t="s">
        <v>8</v>
      </c>
      <c r="L1236" s="318" t="s">
        <v>7</v>
      </c>
      <c r="M1236" s="318" t="s">
        <v>8</v>
      </c>
      <c r="N1236" s="318" t="s">
        <v>7</v>
      </c>
      <c r="O1236" s="318" t="s">
        <v>8</v>
      </c>
      <c r="P1236" s="318" t="s">
        <v>7</v>
      </c>
      <c r="Q1236" s="318" t="s">
        <v>8</v>
      </c>
      <c r="R1236" s="318" t="s">
        <v>7</v>
      </c>
      <c r="S1236" s="318" t="s">
        <v>8</v>
      </c>
      <c r="T1236" s="318" t="s">
        <v>7</v>
      </c>
      <c r="U1236" s="318" t="s">
        <v>8</v>
      </c>
      <c r="V1236" s="318" t="s">
        <v>7</v>
      </c>
      <c r="W1236" s="317" t="s">
        <v>6</v>
      </c>
      <c r="X1236" s="307"/>
    </row>
    <row r="1237" spans="1:24" ht="15.75" customHeight="1">
      <c r="A1237" s="316" t="s">
        <v>5</v>
      </c>
      <c r="B1237" s="370">
        <v>54.263157</v>
      </c>
      <c r="C1237" s="369">
        <v>1.4659097645947302E-3</v>
      </c>
      <c r="D1237" s="370">
        <v>7084.4891953000051</v>
      </c>
      <c r="E1237" s="369">
        <v>0.19138624552486214</v>
      </c>
      <c r="F1237" s="370">
        <v>4814.670784500001</v>
      </c>
      <c r="G1237" s="369">
        <v>0.1300674952676919</v>
      </c>
      <c r="H1237" s="370">
        <v>6266.8829783000047</v>
      </c>
      <c r="I1237" s="369">
        <v>0.16929875553430265</v>
      </c>
      <c r="J1237" s="370">
        <v>2419.4498205</v>
      </c>
      <c r="K1237" s="369">
        <v>6.5361016809580716E-2</v>
      </c>
      <c r="L1237" s="370">
        <v>0</v>
      </c>
      <c r="M1237" s="369">
        <v>0</v>
      </c>
      <c r="N1237" s="370">
        <v>0</v>
      </c>
      <c r="O1237" s="369">
        <v>0</v>
      </c>
      <c r="P1237" s="370">
        <v>0</v>
      </c>
      <c r="Q1237" s="369">
        <v>0</v>
      </c>
      <c r="R1237" s="370">
        <v>0</v>
      </c>
      <c r="S1237" s="369">
        <v>0</v>
      </c>
      <c r="T1237" s="370">
        <v>16376.954308499991</v>
      </c>
      <c r="U1237" s="369">
        <v>0.44242057709896748</v>
      </c>
      <c r="V1237" s="370">
        <v>37016.710244100017</v>
      </c>
      <c r="W1237" s="369">
        <v>1</v>
      </c>
      <c r="X1237" s="307"/>
    </row>
    <row r="1238" spans="1:24">
      <c r="A1238" s="313" t="s">
        <v>309</v>
      </c>
      <c r="B1238" s="368">
        <v>0</v>
      </c>
      <c r="C1238" s="367">
        <v>0</v>
      </c>
      <c r="D1238" s="368">
        <v>274.68283480000002</v>
      </c>
      <c r="E1238" s="367">
        <v>0.21014488174437473</v>
      </c>
      <c r="F1238" s="368">
        <v>178.893688</v>
      </c>
      <c r="G1238" s="367">
        <v>0.13686182078668085</v>
      </c>
      <c r="H1238" s="368">
        <v>326.92012480000005</v>
      </c>
      <c r="I1238" s="367">
        <v>0.25010878825382005</v>
      </c>
      <c r="J1238" s="368">
        <v>9.6666670000000003</v>
      </c>
      <c r="K1238" s="367">
        <v>7.3954406181090193E-3</v>
      </c>
      <c r="L1238" s="368">
        <v>0</v>
      </c>
      <c r="M1238" s="367">
        <v>0</v>
      </c>
      <c r="N1238" s="368">
        <v>0</v>
      </c>
      <c r="O1238" s="367">
        <v>0</v>
      </c>
      <c r="P1238" s="368">
        <v>0</v>
      </c>
      <c r="Q1238" s="367">
        <v>0</v>
      </c>
      <c r="R1238" s="368">
        <v>0</v>
      </c>
      <c r="S1238" s="367">
        <v>0</v>
      </c>
      <c r="T1238" s="368">
        <v>516.94839100000013</v>
      </c>
      <c r="U1238" s="367">
        <v>0.39548906859701527</v>
      </c>
      <c r="V1238" s="368">
        <v>1307.1117056000003</v>
      </c>
      <c r="W1238" s="367">
        <v>3.5311395771814622E-2</v>
      </c>
      <c r="X1238" s="307"/>
    </row>
    <row r="1239" spans="1:24">
      <c r="A1239" s="313" t="s">
        <v>308</v>
      </c>
      <c r="B1239" s="368">
        <v>0</v>
      </c>
      <c r="C1239" s="367">
        <v>0</v>
      </c>
      <c r="D1239" s="368">
        <v>729.54526999999996</v>
      </c>
      <c r="E1239" s="367">
        <v>0.25986744003096029</v>
      </c>
      <c r="F1239" s="368">
        <v>290.16454099999993</v>
      </c>
      <c r="G1239" s="367">
        <v>0.10335796770696437</v>
      </c>
      <c r="H1239" s="368">
        <v>529.76547799999992</v>
      </c>
      <c r="I1239" s="367">
        <v>0.18870494299090992</v>
      </c>
      <c r="J1239" s="368">
        <v>248.72702000000001</v>
      </c>
      <c r="K1239" s="367">
        <v>8.8597728765933151E-2</v>
      </c>
      <c r="L1239" s="368">
        <v>0</v>
      </c>
      <c r="M1239" s="367">
        <v>0</v>
      </c>
      <c r="N1239" s="368">
        <v>0</v>
      </c>
      <c r="O1239" s="367">
        <v>0</v>
      </c>
      <c r="P1239" s="368">
        <v>0</v>
      </c>
      <c r="Q1239" s="367">
        <v>0</v>
      </c>
      <c r="R1239" s="368">
        <v>0</v>
      </c>
      <c r="S1239" s="367">
        <v>0</v>
      </c>
      <c r="T1239" s="368">
        <v>1009.1723659999998</v>
      </c>
      <c r="U1239" s="367">
        <v>0.35947192050523102</v>
      </c>
      <c r="V1239" s="368">
        <v>2807.3746750000032</v>
      </c>
      <c r="W1239" s="367">
        <v>7.5840739398160384E-2</v>
      </c>
      <c r="X1239" s="307"/>
    </row>
    <row r="1240" spans="1:24">
      <c r="A1240" s="313" t="s">
        <v>307</v>
      </c>
      <c r="B1240" s="368">
        <v>0</v>
      </c>
      <c r="C1240" s="367">
        <v>0</v>
      </c>
      <c r="D1240" s="368">
        <v>303.42671899999999</v>
      </c>
      <c r="E1240" s="367">
        <v>0.12815885961620649</v>
      </c>
      <c r="F1240" s="368">
        <v>322.76676399999997</v>
      </c>
      <c r="G1240" s="367">
        <v>0.13632754733195809</v>
      </c>
      <c r="H1240" s="368">
        <v>304.01676399999997</v>
      </c>
      <c r="I1240" s="367">
        <v>0.1284080779268795</v>
      </c>
      <c r="J1240" s="368">
        <v>152.00838199999998</v>
      </c>
      <c r="K1240" s="367">
        <v>6.420403896343975E-2</v>
      </c>
      <c r="L1240" s="368">
        <v>0</v>
      </c>
      <c r="M1240" s="367">
        <v>0</v>
      </c>
      <c r="N1240" s="368">
        <v>0</v>
      </c>
      <c r="O1240" s="367">
        <v>0</v>
      </c>
      <c r="P1240" s="368">
        <v>0</v>
      </c>
      <c r="Q1240" s="367">
        <v>0</v>
      </c>
      <c r="R1240" s="368">
        <v>0</v>
      </c>
      <c r="S1240" s="367">
        <v>0</v>
      </c>
      <c r="T1240" s="368">
        <v>1285.3642280000001</v>
      </c>
      <c r="U1240" s="367">
        <v>0.54290147616151641</v>
      </c>
      <c r="V1240" s="368">
        <v>2367.5828569999994</v>
      </c>
      <c r="W1240" s="367">
        <v>6.3959839796335266E-2</v>
      </c>
      <c r="X1240" s="307"/>
    </row>
    <row r="1241" spans="1:24">
      <c r="A1241" s="313" t="s">
        <v>306</v>
      </c>
      <c r="B1241" s="368">
        <v>0</v>
      </c>
      <c r="C1241" s="367">
        <v>0</v>
      </c>
      <c r="D1241" s="368">
        <v>663.72085749999997</v>
      </c>
      <c r="E1241" s="367">
        <v>0.32022280580189133</v>
      </c>
      <c r="F1241" s="368">
        <v>240.40121950000002</v>
      </c>
      <c r="G1241" s="367">
        <v>0.11598543598049631</v>
      </c>
      <c r="H1241" s="368">
        <v>343.15758949999997</v>
      </c>
      <c r="I1241" s="367">
        <v>0.16556189985622627</v>
      </c>
      <c r="J1241" s="368">
        <v>115.0719615</v>
      </c>
      <c r="K1241" s="367">
        <v>5.5518319131107337E-2</v>
      </c>
      <c r="L1241" s="368">
        <v>0</v>
      </c>
      <c r="M1241" s="367">
        <v>0</v>
      </c>
      <c r="N1241" s="368">
        <v>0</v>
      </c>
      <c r="O1241" s="367">
        <v>0</v>
      </c>
      <c r="P1241" s="368">
        <v>0</v>
      </c>
      <c r="Q1241" s="367">
        <v>0</v>
      </c>
      <c r="R1241" s="368">
        <v>0</v>
      </c>
      <c r="S1241" s="367">
        <v>0</v>
      </c>
      <c r="T1241" s="368">
        <v>710.33290750000003</v>
      </c>
      <c r="U1241" s="367">
        <v>0.34271153923027853</v>
      </c>
      <c r="V1241" s="368">
        <v>2072.6845355000005</v>
      </c>
      <c r="W1241" s="367">
        <v>5.5993212844470952E-2</v>
      </c>
      <c r="X1241" s="307"/>
    </row>
    <row r="1242" spans="1:24">
      <c r="A1242" s="313" t="s">
        <v>305</v>
      </c>
      <c r="B1242" s="368">
        <v>54.263157</v>
      </c>
      <c r="C1242" s="367">
        <v>7.9438680595983434E-3</v>
      </c>
      <c r="D1242" s="368">
        <v>1615.7806230000006</v>
      </c>
      <c r="E1242" s="367">
        <v>0.23654259707682723</v>
      </c>
      <c r="F1242" s="368">
        <v>1044.6213559999999</v>
      </c>
      <c r="G1242" s="367">
        <v>0.15292759734386094</v>
      </c>
      <c r="H1242" s="368">
        <v>1134.7113859999997</v>
      </c>
      <c r="I1242" s="367">
        <v>0.16611634918528539</v>
      </c>
      <c r="J1242" s="368">
        <v>343.26501999999999</v>
      </c>
      <c r="K1242" s="367">
        <v>5.0252366045628091E-2</v>
      </c>
      <c r="L1242" s="368">
        <v>0</v>
      </c>
      <c r="M1242" s="367">
        <v>0</v>
      </c>
      <c r="N1242" s="368">
        <v>0</v>
      </c>
      <c r="O1242" s="367">
        <v>0</v>
      </c>
      <c r="P1242" s="368">
        <v>0</v>
      </c>
      <c r="Q1242" s="367">
        <v>0</v>
      </c>
      <c r="R1242" s="368">
        <v>0</v>
      </c>
      <c r="S1242" s="367">
        <v>0</v>
      </c>
      <c r="T1242" s="368">
        <v>2638.1815020000004</v>
      </c>
      <c r="U1242" s="367">
        <v>0.38621722228879873</v>
      </c>
      <c r="V1242" s="368">
        <v>6830.8230440000088</v>
      </c>
      <c r="W1242" s="367">
        <v>0.18453349849177247</v>
      </c>
      <c r="X1242" s="307"/>
    </row>
    <row r="1243" spans="1:24" ht="28.5">
      <c r="A1243" s="313" t="s">
        <v>304</v>
      </c>
      <c r="B1243" s="368">
        <v>0</v>
      </c>
      <c r="C1243" s="367">
        <v>0</v>
      </c>
      <c r="D1243" s="368">
        <v>1958.2645489999995</v>
      </c>
      <c r="E1243" s="367">
        <v>0.15520316194992448</v>
      </c>
      <c r="F1243" s="368">
        <v>1244.56303</v>
      </c>
      <c r="G1243" s="367">
        <v>9.8638418185437296E-2</v>
      </c>
      <c r="H1243" s="368">
        <v>2400.4555300000002</v>
      </c>
      <c r="I1243" s="367">
        <v>0.19024921253179564</v>
      </c>
      <c r="J1243" s="368">
        <v>943.97803999999974</v>
      </c>
      <c r="K1243" s="367">
        <v>7.4815415871214999E-2</v>
      </c>
      <c r="L1243" s="368">
        <v>0</v>
      </c>
      <c r="M1243" s="367">
        <v>0</v>
      </c>
      <c r="N1243" s="368">
        <v>0</v>
      </c>
      <c r="O1243" s="367">
        <v>0</v>
      </c>
      <c r="P1243" s="368">
        <v>0</v>
      </c>
      <c r="Q1243" s="367">
        <v>0</v>
      </c>
      <c r="R1243" s="368">
        <v>0</v>
      </c>
      <c r="S1243" s="367">
        <v>0</v>
      </c>
      <c r="T1243" s="368">
        <v>6070.1657410000153</v>
      </c>
      <c r="U1243" s="367">
        <v>0.48109379146163</v>
      </c>
      <c r="V1243" s="368">
        <v>12617.426889999984</v>
      </c>
      <c r="W1243" s="367">
        <v>0.34085759665828319</v>
      </c>
      <c r="X1243" s="307"/>
    </row>
    <row r="1244" spans="1:24" ht="28.5">
      <c r="A1244" s="313" t="s">
        <v>303</v>
      </c>
      <c r="B1244" s="368">
        <v>0</v>
      </c>
      <c r="C1244" s="367">
        <v>0</v>
      </c>
      <c r="D1244" s="368">
        <v>1329.7183439999999</v>
      </c>
      <c r="E1244" s="367">
        <v>0.1546673025172717</v>
      </c>
      <c r="F1244" s="368">
        <v>1356.726846</v>
      </c>
      <c r="G1244" s="367">
        <v>0.15780881904084337</v>
      </c>
      <c r="H1244" s="368">
        <v>1227.856106</v>
      </c>
      <c r="I1244" s="367">
        <v>0.14281911101798053</v>
      </c>
      <c r="J1244" s="368">
        <v>606.73272999999983</v>
      </c>
      <c r="K1244" s="367">
        <v>7.0572625489808319E-2</v>
      </c>
      <c r="L1244" s="368">
        <v>0</v>
      </c>
      <c r="M1244" s="367">
        <v>0</v>
      </c>
      <c r="N1244" s="368">
        <v>0</v>
      </c>
      <c r="O1244" s="367">
        <v>0</v>
      </c>
      <c r="P1244" s="368">
        <v>0</v>
      </c>
      <c r="Q1244" s="367">
        <v>0</v>
      </c>
      <c r="R1244" s="368">
        <v>0</v>
      </c>
      <c r="S1244" s="367">
        <v>0</v>
      </c>
      <c r="T1244" s="368">
        <v>4076.2475089999971</v>
      </c>
      <c r="U1244" s="367">
        <v>0.47413214193409503</v>
      </c>
      <c r="V1244" s="368">
        <v>8597.2815350000055</v>
      </c>
      <c r="W1244" s="367">
        <v>0.23225406791437661</v>
      </c>
      <c r="X1244" s="307"/>
    </row>
    <row r="1245" spans="1:24" ht="15.75" thickBot="1">
      <c r="A1245" s="313" t="s">
        <v>302</v>
      </c>
      <c r="B1245" s="368">
        <v>0</v>
      </c>
      <c r="C1245" s="367">
        <v>0</v>
      </c>
      <c r="D1245" s="368">
        <v>209.349998</v>
      </c>
      <c r="E1245" s="367">
        <v>0.50273157710160743</v>
      </c>
      <c r="F1245" s="368">
        <v>136.53334000000001</v>
      </c>
      <c r="G1245" s="367">
        <v>0.32787017913011868</v>
      </c>
      <c r="H1245" s="368">
        <v>0</v>
      </c>
      <c r="I1245" s="367">
        <v>0</v>
      </c>
      <c r="J1245" s="368">
        <v>0</v>
      </c>
      <c r="K1245" s="367">
        <v>0</v>
      </c>
      <c r="L1245" s="368">
        <v>0</v>
      </c>
      <c r="M1245" s="367">
        <v>0</v>
      </c>
      <c r="N1245" s="368">
        <v>0</v>
      </c>
      <c r="O1245" s="367">
        <v>0</v>
      </c>
      <c r="P1245" s="368">
        <v>0</v>
      </c>
      <c r="Q1245" s="367">
        <v>0</v>
      </c>
      <c r="R1245" s="368">
        <v>0</v>
      </c>
      <c r="S1245" s="367">
        <v>0</v>
      </c>
      <c r="T1245" s="368">
        <v>70.541663999999997</v>
      </c>
      <c r="U1245" s="367">
        <v>0.16939824376827403</v>
      </c>
      <c r="V1245" s="368">
        <v>416.42500199999995</v>
      </c>
      <c r="W1245" s="367">
        <v>1.1249649124786088E-2</v>
      </c>
      <c r="X1245" s="307"/>
    </row>
    <row r="1246" spans="1:24" ht="15" customHeight="1">
      <c r="A1246" s="316" t="s">
        <v>4</v>
      </c>
      <c r="B1246" s="370">
        <v>193.50226014755245</v>
      </c>
      <c r="C1246" s="369">
        <v>5.2708124521246812E-3</v>
      </c>
      <c r="D1246" s="370">
        <v>6550.1465060492301</v>
      </c>
      <c r="E1246" s="369">
        <v>0.17841958921306145</v>
      </c>
      <c r="F1246" s="370">
        <v>3428.5419521582717</v>
      </c>
      <c r="G1246" s="369">
        <v>9.3390131982374475E-2</v>
      </c>
      <c r="H1246" s="370">
        <v>5927.3896856051069</v>
      </c>
      <c r="I1246" s="369">
        <v>0.16145630205900194</v>
      </c>
      <c r="J1246" s="370">
        <v>3464.6177444189861</v>
      </c>
      <c r="K1246" s="369">
        <v>9.4372801305838916E-2</v>
      </c>
      <c r="L1246" s="370">
        <v>1384.648082711504</v>
      </c>
      <c r="M1246" s="369">
        <v>3.7716460524033185E-2</v>
      </c>
      <c r="N1246" s="370">
        <v>889.51390248585835</v>
      </c>
      <c r="O1246" s="369">
        <v>2.422948936092716E-2</v>
      </c>
      <c r="P1246" s="370">
        <v>0</v>
      </c>
      <c r="Q1246" s="369">
        <v>0</v>
      </c>
      <c r="R1246" s="370">
        <v>0</v>
      </c>
      <c r="S1246" s="369">
        <v>0</v>
      </c>
      <c r="T1246" s="370">
        <v>14873.676560036047</v>
      </c>
      <c r="U1246" s="369">
        <v>0.40514441310263222</v>
      </c>
      <c r="V1246" s="370">
        <v>36712.036693612776</v>
      </c>
      <c r="W1246" s="369">
        <v>1</v>
      </c>
      <c r="X1246" s="307"/>
    </row>
    <row r="1247" spans="1:24">
      <c r="A1247" s="313" t="s">
        <v>309</v>
      </c>
      <c r="B1247" s="368">
        <v>0</v>
      </c>
      <c r="C1247" s="367">
        <v>0</v>
      </c>
      <c r="D1247" s="368">
        <v>399.64054366685946</v>
      </c>
      <c r="E1247" s="367">
        <v>0.21714020127888872</v>
      </c>
      <c r="F1247" s="368">
        <v>200.57048872180454</v>
      </c>
      <c r="G1247" s="367">
        <v>0.10897772256050832</v>
      </c>
      <c r="H1247" s="368">
        <v>199.13324175824178</v>
      </c>
      <c r="I1247" s="367">
        <v>0.10819681056371241</v>
      </c>
      <c r="J1247" s="368">
        <v>39.839285714285715</v>
      </c>
      <c r="K1247" s="367">
        <v>2.1646228481808878E-2</v>
      </c>
      <c r="L1247" s="368">
        <v>79.615384615384613</v>
      </c>
      <c r="M1247" s="367">
        <v>4.3258125118285778E-2</v>
      </c>
      <c r="N1247" s="368">
        <v>0</v>
      </c>
      <c r="O1247" s="367">
        <v>0</v>
      </c>
      <c r="P1247" s="368">
        <v>0</v>
      </c>
      <c r="Q1247" s="367">
        <v>0</v>
      </c>
      <c r="R1247" s="368">
        <v>0</v>
      </c>
      <c r="S1247" s="367">
        <v>0</v>
      </c>
      <c r="T1247" s="368">
        <v>921.67343840370131</v>
      </c>
      <c r="U1247" s="367">
        <v>0.50078091199679575</v>
      </c>
      <c r="V1247" s="368">
        <v>1840.4723828802776</v>
      </c>
      <c r="W1247" s="367">
        <v>5.0132668972857237E-2</v>
      </c>
      <c r="X1247" s="307"/>
    </row>
    <row r="1248" spans="1:24">
      <c r="A1248" s="313" t="s">
        <v>308</v>
      </c>
      <c r="B1248" s="368">
        <v>16.139097744360903</v>
      </c>
      <c r="C1248" s="367">
        <v>5.3901361859306166E-3</v>
      </c>
      <c r="D1248" s="368">
        <v>351.5470859813226</v>
      </c>
      <c r="E1248" s="367">
        <v>0.11740970277402735</v>
      </c>
      <c r="F1248" s="368">
        <v>321.58791169557577</v>
      </c>
      <c r="G1248" s="367">
        <v>0.1074039371496987</v>
      </c>
      <c r="H1248" s="368">
        <v>249.30973561659937</v>
      </c>
      <c r="I1248" s="367">
        <v>8.3264470464054524E-2</v>
      </c>
      <c r="J1248" s="368">
        <v>316.28527579548069</v>
      </c>
      <c r="K1248" s="367">
        <v>0.10563296270622935</v>
      </c>
      <c r="L1248" s="368">
        <v>318.45248065420969</v>
      </c>
      <c r="M1248" s="367">
        <v>0.10635676582808859</v>
      </c>
      <c r="N1248" s="368">
        <v>153.97251325033898</v>
      </c>
      <c r="O1248" s="367">
        <v>5.1423743040364005E-2</v>
      </c>
      <c r="P1248" s="368">
        <v>0</v>
      </c>
      <c r="Q1248" s="367">
        <v>0</v>
      </c>
      <c r="R1248" s="368">
        <v>0</v>
      </c>
      <c r="S1248" s="367">
        <v>0</v>
      </c>
      <c r="T1248" s="368">
        <v>1266.8969897372144</v>
      </c>
      <c r="U1248" s="367">
        <v>0.42311828185160683</v>
      </c>
      <c r="V1248" s="368">
        <v>2994.1910904751026</v>
      </c>
      <c r="W1248" s="367">
        <v>8.1558839011403511E-2</v>
      </c>
      <c r="X1248" s="307"/>
    </row>
    <row r="1249" spans="1:24">
      <c r="A1249" s="313" t="s">
        <v>307</v>
      </c>
      <c r="B1249" s="368">
        <v>0</v>
      </c>
      <c r="C1249" s="367">
        <v>0</v>
      </c>
      <c r="D1249" s="368">
        <v>237.27432216905902</v>
      </c>
      <c r="E1249" s="367">
        <v>0.11555910458914803</v>
      </c>
      <c r="F1249" s="368">
        <v>180.06904357668364</v>
      </c>
      <c r="G1249" s="367">
        <v>8.7698564470535534E-2</v>
      </c>
      <c r="H1249" s="368">
        <v>470.91068580542264</v>
      </c>
      <c r="I1249" s="367">
        <v>0.2293464235643804</v>
      </c>
      <c r="J1249" s="368">
        <v>237.27432216905902</v>
      </c>
      <c r="K1249" s="367">
        <v>0.11555910458914803</v>
      </c>
      <c r="L1249" s="368">
        <v>29.806451612903224</v>
      </c>
      <c r="M1249" s="367">
        <v>1.4516559684501844E-2</v>
      </c>
      <c r="N1249" s="368">
        <v>237.27432216905902</v>
      </c>
      <c r="O1249" s="367">
        <v>0.11555910458914803</v>
      </c>
      <c r="P1249" s="368">
        <v>0</v>
      </c>
      <c r="Q1249" s="367">
        <v>0</v>
      </c>
      <c r="R1249" s="368">
        <v>0</v>
      </c>
      <c r="S1249" s="367">
        <v>0</v>
      </c>
      <c r="T1249" s="368">
        <v>660.6632710809281</v>
      </c>
      <c r="U1249" s="367">
        <v>0.32176113851313842</v>
      </c>
      <c r="V1249" s="368">
        <v>2053.2724185831139</v>
      </c>
      <c r="W1249" s="367">
        <v>5.5929133970939446E-2</v>
      </c>
      <c r="X1249" s="307"/>
    </row>
    <row r="1250" spans="1:24">
      <c r="A1250" s="313" t="s">
        <v>306</v>
      </c>
      <c r="B1250" s="368">
        <v>0</v>
      </c>
      <c r="C1250" s="367">
        <v>0</v>
      </c>
      <c r="D1250" s="368">
        <v>635.41112804878048</v>
      </c>
      <c r="E1250" s="367">
        <v>0.28037046989506853</v>
      </c>
      <c r="F1250" s="368">
        <v>350.77305194805189</v>
      </c>
      <c r="G1250" s="367">
        <v>0.15477601990258585</v>
      </c>
      <c r="H1250" s="368">
        <v>296.63963414634145</v>
      </c>
      <c r="I1250" s="367">
        <v>0.13089004888930131</v>
      </c>
      <c r="J1250" s="368">
        <v>292.96202090592334</v>
      </c>
      <c r="K1250" s="367">
        <v>0.12926732919366954</v>
      </c>
      <c r="L1250" s="368">
        <v>17.609756097560975</v>
      </c>
      <c r="M1250" s="367">
        <v>7.7701748897159471E-3</v>
      </c>
      <c r="N1250" s="368">
        <v>0</v>
      </c>
      <c r="O1250" s="367">
        <v>0</v>
      </c>
      <c r="P1250" s="368">
        <v>0</v>
      </c>
      <c r="Q1250" s="367">
        <v>0</v>
      </c>
      <c r="R1250" s="368">
        <v>0</v>
      </c>
      <c r="S1250" s="367">
        <v>0</v>
      </c>
      <c r="T1250" s="368">
        <v>672.931273756731</v>
      </c>
      <c r="U1250" s="367">
        <v>0.29692595722965914</v>
      </c>
      <c r="V1250" s="368">
        <v>2266.3268649033885</v>
      </c>
      <c r="W1250" s="367">
        <v>6.1732528865599219E-2</v>
      </c>
      <c r="X1250" s="307"/>
    </row>
    <row r="1251" spans="1:24">
      <c r="A1251" s="313" t="s">
        <v>305</v>
      </c>
      <c r="B1251" s="368">
        <v>0</v>
      </c>
      <c r="C1251" s="367">
        <v>0</v>
      </c>
      <c r="D1251" s="368">
        <v>1533.8610604613461</v>
      </c>
      <c r="E1251" s="367">
        <v>0.20799392674297248</v>
      </c>
      <c r="F1251" s="368">
        <v>602.26414575554975</v>
      </c>
      <c r="G1251" s="367">
        <v>8.1667947535301225E-2</v>
      </c>
      <c r="H1251" s="368">
        <v>1622.797606920519</v>
      </c>
      <c r="I1251" s="367">
        <v>0.22005385968333827</v>
      </c>
      <c r="J1251" s="368">
        <v>431.29689893700368</v>
      </c>
      <c r="K1251" s="367">
        <v>5.8484525042309068E-2</v>
      </c>
      <c r="L1251" s="368">
        <v>158.73352435530086</v>
      </c>
      <c r="M1251" s="367">
        <v>2.1524510848772729E-2</v>
      </c>
      <c r="N1251" s="368">
        <v>158.73352435530086</v>
      </c>
      <c r="O1251" s="367">
        <v>2.1524510848772729E-2</v>
      </c>
      <c r="P1251" s="368">
        <v>0</v>
      </c>
      <c r="Q1251" s="367">
        <v>0</v>
      </c>
      <c r="R1251" s="368">
        <v>0</v>
      </c>
      <c r="S1251" s="367">
        <v>0</v>
      </c>
      <c r="T1251" s="368">
        <v>2866.8605852863325</v>
      </c>
      <c r="U1251" s="367">
        <v>0.38875071929853411</v>
      </c>
      <c r="V1251" s="368">
        <v>7374.5473460713483</v>
      </c>
      <c r="W1251" s="367">
        <v>0.20087546238899859</v>
      </c>
      <c r="X1251" s="307"/>
    </row>
    <row r="1252" spans="1:24" ht="28.5">
      <c r="A1252" s="313" t="s">
        <v>304</v>
      </c>
      <c r="B1252" s="368">
        <v>50.075455565325491</v>
      </c>
      <c r="C1252" s="367">
        <v>4.1616064351538608E-3</v>
      </c>
      <c r="D1252" s="368">
        <v>1578.6011275941532</v>
      </c>
      <c r="E1252" s="367">
        <v>0.13119234836649193</v>
      </c>
      <c r="F1252" s="368">
        <v>1133.3658937805251</v>
      </c>
      <c r="G1252" s="367">
        <v>9.4190312273603014E-2</v>
      </c>
      <c r="H1252" s="368">
        <v>1884.2707418867965</v>
      </c>
      <c r="I1252" s="367">
        <v>0.1565955447929685</v>
      </c>
      <c r="J1252" s="368">
        <v>1444.9262358245439</v>
      </c>
      <c r="K1252" s="367">
        <v>0.12008306771139768</v>
      </c>
      <c r="L1252" s="368">
        <v>366.88089007128656</v>
      </c>
      <c r="M1252" s="367">
        <v>3.0490264258581746E-2</v>
      </c>
      <c r="N1252" s="368">
        <v>171.54524245788704</v>
      </c>
      <c r="O1252" s="367">
        <v>1.4256560961316769E-2</v>
      </c>
      <c r="P1252" s="368">
        <v>0</v>
      </c>
      <c r="Q1252" s="367">
        <v>0</v>
      </c>
      <c r="R1252" s="368">
        <v>0</v>
      </c>
      <c r="S1252" s="367">
        <v>0</v>
      </c>
      <c r="T1252" s="368">
        <v>5403.0569553282767</v>
      </c>
      <c r="U1252" s="367">
        <v>0.4490302952004871</v>
      </c>
      <c r="V1252" s="368">
        <v>12032.722542508787</v>
      </c>
      <c r="W1252" s="367">
        <v>0.32775960219614464</v>
      </c>
      <c r="X1252" s="307"/>
    </row>
    <row r="1253" spans="1:24" ht="28.5">
      <c r="A1253" s="313" t="s">
        <v>303</v>
      </c>
      <c r="B1253" s="368">
        <v>127.28770683786608</v>
      </c>
      <c r="C1253" s="367">
        <v>1.7274240269000034E-2</v>
      </c>
      <c r="D1253" s="368">
        <v>1731.208063524542</v>
      </c>
      <c r="E1253" s="367">
        <v>0.2349425941269048</v>
      </c>
      <c r="F1253" s="368">
        <v>498.72391668007987</v>
      </c>
      <c r="G1253" s="367">
        <v>6.7681922933861868E-2</v>
      </c>
      <c r="H1253" s="368">
        <v>1130.020003756908</v>
      </c>
      <c r="I1253" s="367">
        <v>0.15335524174802864</v>
      </c>
      <c r="J1253" s="368">
        <v>635.83370507269035</v>
      </c>
      <c r="K1253" s="367">
        <v>8.6289119864061584E-2</v>
      </c>
      <c r="L1253" s="368">
        <v>413.54959530485826</v>
      </c>
      <c r="M1253" s="367">
        <v>5.612289866721596E-2</v>
      </c>
      <c r="N1253" s="368">
        <v>100.39455025327248</v>
      </c>
      <c r="O1253" s="367">
        <v>1.3624564585661294E-2</v>
      </c>
      <c r="P1253" s="368">
        <v>0</v>
      </c>
      <c r="Q1253" s="367">
        <v>0</v>
      </c>
      <c r="R1253" s="368">
        <v>0</v>
      </c>
      <c r="S1253" s="367">
        <v>0</v>
      </c>
      <c r="T1253" s="368">
        <v>2731.6252964428736</v>
      </c>
      <c r="U1253" s="367">
        <v>0.37070941780526545</v>
      </c>
      <c r="V1253" s="368">
        <v>7368.6428378730934</v>
      </c>
      <c r="W1253" s="367">
        <v>0.20071462935629239</v>
      </c>
      <c r="X1253" s="307"/>
    </row>
    <row r="1254" spans="1:24" ht="15.75" thickBot="1">
      <c r="A1254" s="313" t="s">
        <v>302</v>
      </c>
      <c r="B1254" s="368">
        <v>0</v>
      </c>
      <c r="C1254" s="367">
        <v>0</v>
      </c>
      <c r="D1254" s="368">
        <v>82.603174603174594</v>
      </c>
      <c r="E1254" s="367">
        <v>0.10564940876096808</v>
      </c>
      <c r="F1254" s="368">
        <v>141.1875</v>
      </c>
      <c r="G1254" s="367">
        <v>0.18057872437829911</v>
      </c>
      <c r="H1254" s="368">
        <v>74.308035714285708</v>
      </c>
      <c r="I1254" s="367">
        <v>9.5039931299462102E-2</v>
      </c>
      <c r="J1254" s="368">
        <v>66.2</v>
      </c>
      <c r="K1254" s="367">
        <v>8.4669758681493762E-2</v>
      </c>
      <c r="L1254" s="368">
        <v>0</v>
      </c>
      <c r="M1254" s="367">
        <v>0</v>
      </c>
      <c r="N1254" s="368">
        <v>67.59375</v>
      </c>
      <c r="O1254" s="367">
        <v>8.6452364061589404E-2</v>
      </c>
      <c r="P1254" s="368">
        <v>0</v>
      </c>
      <c r="Q1254" s="367">
        <v>0</v>
      </c>
      <c r="R1254" s="368">
        <v>0</v>
      </c>
      <c r="S1254" s="367">
        <v>0</v>
      </c>
      <c r="T1254" s="368">
        <v>349.96875</v>
      </c>
      <c r="U1254" s="367">
        <v>0.44760981281818757</v>
      </c>
      <c r="V1254" s="368">
        <v>781.86121031746029</v>
      </c>
      <c r="W1254" s="367">
        <v>2.1297135237759494E-2</v>
      </c>
      <c r="X1254" s="307"/>
    </row>
    <row r="1255" spans="1:24" ht="15.75" customHeight="1">
      <c r="A1255" s="316" t="s">
        <v>3</v>
      </c>
      <c r="B1255" s="370">
        <v>437.00128955582056</v>
      </c>
      <c r="C1255" s="369">
        <v>1.7467902950002657E-2</v>
      </c>
      <c r="D1255" s="370">
        <v>3624.8459308619176</v>
      </c>
      <c r="E1255" s="369">
        <v>0.14489306654762174</v>
      </c>
      <c r="F1255" s="370">
        <v>3250.5623469401853</v>
      </c>
      <c r="G1255" s="369">
        <v>0.12993212827128545</v>
      </c>
      <c r="H1255" s="370">
        <v>3053.023982718214</v>
      </c>
      <c r="I1255" s="369">
        <v>0.12203608526729584</v>
      </c>
      <c r="J1255" s="370">
        <v>2703.5783340458488</v>
      </c>
      <c r="K1255" s="369">
        <v>0.10806797390654004</v>
      </c>
      <c r="L1255" s="370">
        <v>1345.1907909444342</v>
      </c>
      <c r="M1255" s="369">
        <v>5.3770235344930729E-2</v>
      </c>
      <c r="N1255" s="370">
        <v>1340.6228644117587</v>
      </c>
      <c r="O1255" s="369">
        <v>5.3587645271943485E-2</v>
      </c>
      <c r="P1255" s="370">
        <v>923.52659143300741</v>
      </c>
      <c r="Q1255" s="369">
        <v>3.6915389625727622E-2</v>
      </c>
      <c r="R1255" s="370">
        <v>405.77067620497525</v>
      </c>
      <c r="S1255" s="369">
        <v>1.6219546626761328E-2</v>
      </c>
      <c r="T1255" s="370">
        <v>7933.2642717234039</v>
      </c>
      <c r="U1255" s="369">
        <v>0.31711002618788997</v>
      </c>
      <c r="V1255" s="370">
        <v>25017.387078839594</v>
      </c>
      <c r="W1255" s="369">
        <v>1</v>
      </c>
      <c r="X1255" s="307"/>
    </row>
    <row r="1256" spans="1:24">
      <c r="A1256" s="313" t="s">
        <v>309</v>
      </c>
      <c r="B1256" s="368">
        <v>0</v>
      </c>
      <c r="C1256" s="367">
        <v>0</v>
      </c>
      <c r="D1256" s="368">
        <v>28.411764705882351</v>
      </c>
      <c r="E1256" s="367">
        <v>2.7977624453533224E-2</v>
      </c>
      <c r="F1256" s="368">
        <v>184.66143790849674</v>
      </c>
      <c r="G1256" s="367">
        <v>0.18183975597206462</v>
      </c>
      <c r="H1256" s="368">
        <v>102.07961972667856</v>
      </c>
      <c r="I1256" s="367">
        <v>0.10051981264230311</v>
      </c>
      <c r="J1256" s="368">
        <v>156.90065359477126</v>
      </c>
      <c r="K1256" s="367">
        <v>0.15450316473582423</v>
      </c>
      <c r="L1256" s="368">
        <v>0</v>
      </c>
      <c r="M1256" s="367">
        <v>0</v>
      </c>
      <c r="N1256" s="368">
        <v>0</v>
      </c>
      <c r="O1256" s="367">
        <v>0</v>
      </c>
      <c r="P1256" s="368">
        <v>0</v>
      </c>
      <c r="Q1256" s="367">
        <v>0</v>
      </c>
      <c r="R1256" s="368">
        <v>54.555555555555557</v>
      </c>
      <c r="S1256" s="367">
        <v>5.3721930368907718E-2</v>
      </c>
      <c r="T1256" s="368">
        <v>488.90837789661316</v>
      </c>
      <c r="U1256" s="367">
        <v>0.48143771182736705</v>
      </c>
      <c r="V1256" s="368">
        <v>1015.5174093879976</v>
      </c>
      <c r="W1256" s="367">
        <v>4.059246499995E-2</v>
      </c>
      <c r="X1256" s="307"/>
    </row>
    <row r="1257" spans="1:24">
      <c r="A1257" s="313" t="s">
        <v>308</v>
      </c>
      <c r="B1257" s="368">
        <v>18.334858014103297</v>
      </c>
      <c r="C1257" s="367">
        <v>1.0663612683318904E-2</v>
      </c>
      <c r="D1257" s="368">
        <v>311.22174575948162</v>
      </c>
      <c r="E1257" s="367">
        <v>0.18100757327123318</v>
      </c>
      <c r="F1257" s="368">
        <v>151.18366384801342</v>
      </c>
      <c r="G1257" s="367">
        <v>8.7928907553045138E-2</v>
      </c>
      <c r="H1257" s="368">
        <v>162.23994663617307</v>
      </c>
      <c r="I1257" s="367">
        <v>9.4359277358990218E-2</v>
      </c>
      <c r="J1257" s="368">
        <v>151.04697922622449</v>
      </c>
      <c r="K1257" s="367">
        <v>8.7849411335217772E-2</v>
      </c>
      <c r="L1257" s="368">
        <v>113.563655422146</v>
      </c>
      <c r="M1257" s="367">
        <v>6.6048989056372576E-2</v>
      </c>
      <c r="N1257" s="368">
        <v>59.181818181818187</v>
      </c>
      <c r="O1257" s="367">
        <v>3.4420336743271725E-2</v>
      </c>
      <c r="P1257" s="368">
        <v>61.18839336763866</v>
      </c>
      <c r="Q1257" s="367">
        <v>3.5587367357039733E-2</v>
      </c>
      <c r="R1257" s="368">
        <v>29.099008957499521</v>
      </c>
      <c r="S1257" s="367">
        <v>1.6924077664114825E-2</v>
      </c>
      <c r="T1257" s="368">
        <v>662.32514820498886</v>
      </c>
      <c r="U1257" s="367">
        <v>0.38521044697739432</v>
      </c>
      <c r="V1257" s="368">
        <v>1719.3852176180899</v>
      </c>
      <c r="W1257" s="367">
        <v>6.8727609809914728E-2</v>
      </c>
      <c r="X1257" s="307"/>
    </row>
    <row r="1258" spans="1:24">
      <c r="A1258" s="313" t="s">
        <v>307</v>
      </c>
      <c r="B1258" s="368">
        <v>0</v>
      </c>
      <c r="C1258" s="367">
        <v>0</v>
      </c>
      <c r="D1258" s="368">
        <v>168.12702546296296</v>
      </c>
      <c r="E1258" s="367">
        <v>9.2208445324735516E-2</v>
      </c>
      <c r="F1258" s="368">
        <v>95.6640625</v>
      </c>
      <c r="G1258" s="367">
        <v>5.2466487480423159E-2</v>
      </c>
      <c r="H1258" s="368">
        <v>191.328125</v>
      </c>
      <c r="I1258" s="367">
        <v>0.10493297496084632</v>
      </c>
      <c r="J1258" s="368">
        <v>95.6640625</v>
      </c>
      <c r="K1258" s="367">
        <v>5.2466487480423159E-2</v>
      </c>
      <c r="L1258" s="368">
        <v>0</v>
      </c>
      <c r="M1258" s="367">
        <v>0</v>
      </c>
      <c r="N1258" s="368">
        <v>95.6640625</v>
      </c>
      <c r="O1258" s="367">
        <v>5.2466487480423159E-2</v>
      </c>
      <c r="P1258" s="368">
        <v>72.462962962962962</v>
      </c>
      <c r="Q1258" s="367">
        <v>3.9741957844312358E-2</v>
      </c>
      <c r="R1258" s="368">
        <v>0</v>
      </c>
      <c r="S1258" s="367">
        <v>0</v>
      </c>
      <c r="T1258" s="368">
        <v>1104.4262152777778</v>
      </c>
      <c r="U1258" s="367">
        <v>0.6057171594288363</v>
      </c>
      <c r="V1258" s="368">
        <v>1823.3365162037039</v>
      </c>
      <c r="W1258" s="367">
        <v>7.2882771908099594E-2</v>
      </c>
      <c r="X1258" s="307"/>
    </row>
    <row r="1259" spans="1:24">
      <c r="A1259" s="313" t="s">
        <v>306</v>
      </c>
      <c r="B1259" s="368">
        <v>0</v>
      </c>
      <c r="C1259" s="367">
        <v>0</v>
      </c>
      <c r="D1259" s="368">
        <v>483.45644372527875</v>
      </c>
      <c r="E1259" s="367">
        <v>0.26493248921258045</v>
      </c>
      <c r="F1259" s="368">
        <v>450.58186623516724</v>
      </c>
      <c r="G1259" s="367">
        <v>0.24691733239895805</v>
      </c>
      <c r="H1259" s="368">
        <v>324.97765911542615</v>
      </c>
      <c r="I1259" s="367">
        <v>0.17808665348320701</v>
      </c>
      <c r="J1259" s="368">
        <v>215.90556993887091</v>
      </c>
      <c r="K1259" s="367">
        <v>0.11831551905277683</v>
      </c>
      <c r="L1259" s="368">
        <v>16.100000000000001</v>
      </c>
      <c r="M1259" s="367">
        <v>8.82274532004447E-3</v>
      </c>
      <c r="N1259" s="368">
        <v>108.285</v>
      </c>
      <c r="O1259" s="367">
        <v>5.9339812234845669E-2</v>
      </c>
      <c r="P1259" s="368">
        <v>61.128333333333337</v>
      </c>
      <c r="Q1259" s="367">
        <v>3.3498119058309628E-2</v>
      </c>
      <c r="R1259" s="368">
        <v>0</v>
      </c>
      <c r="S1259" s="367">
        <v>0</v>
      </c>
      <c r="T1259" s="368">
        <v>164.3939554117224</v>
      </c>
      <c r="U1259" s="367">
        <v>9.0087329239277827E-2</v>
      </c>
      <c r="V1259" s="368">
        <v>1824.828827759799</v>
      </c>
      <c r="W1259" s="367">
        <v>7.2942422884094485E-2</v>
      </c>
      <c r="X1259" s="307"/>
    </row>
    <row r="1260" spans="1:24">
      <c r="A1260" s="313" t="s">
        <v>305</v>
      </c>
      <c r="B1260" s="368">
        <v>53.390165728580364</v>
      </c>
      <c r="C1260" s="367">
        <v>1.0068778577097268E-2</v>
      </c>
      <c r="D1260" s="368">
        <v>953.61997761614214</v>
      </c>
      <c r="E1260" s="367">
        <v>0.17984189167207326</v>
      </c>
      <c r="F1260" s="368">
        <v>866.38784306011951</v>
      </c>
      <c r="G1260" s="367">
        <v>0.16339090232476031</v>
      </c>
      <c r="H1260" s="368">
        <v>475.25401193582798</v>
      </c>
      <c r="I1260" s="367">
        <v>8.9627506278696686E-2</v>
      </c>
      <c r="J1260" s="368">
        <v>444.52399685287168</v>
      </c>
      <c r="K1260" s="367">
        <v>8.3832174623160866E-2</v>
      </c>
      <c r="L1260" s="368">
        <v>102.22039732494099</v>
      </c>
      <c r="M1260" s="367">
        <v>1.927760539197532E-2</v>
      </c>
      <c r="N1260" s="368">
        <v>353.4854177097489</v>
      </c>
      <c r="O1260" s="367">
        <v>6.6663333079839765E-2</v>
      </c>
      <c r="P1260" s="368">
        <v>156.48052049576438</v>
      </c>
      <c r="Q1260" s="367">
        <v>2.9510448057241428E-2</v>
      </c>
      <c r="R1260" s="368">
        <v>99.344434021263282</v>
      </c>
      <c r="S1260" s="367">
        <v>1.8735231392842239E-2</v>
      </c>
      <c r="T1260" s="368">
        <v>1797.8396483840431</v>
      </c>
      <c r="U1260" s="367">
        <v>0.33905212860231115</v>
      </c>
      <c r="V1260" s="368">
        <v>5302.5464131293111</v>
      </c>
      <c r="W1260" s="367">
        <v>0.21195444577880612</v>
      </c>
      <c r="X1260" s="307"/>
    </row>
    <row r="1261" spans="1:24" ht="28.5">
      <c r="A1261" s="313" t="s">
        <v>304</v>
      </c>
      <c r="B1261" s="368">
        <v>299.73148061410359</v>
      </c>
      <c r="C1261" s="367">
        <v>4.0253372520613381E-2</v>
      </c>
      <c r="D1261" s="368">
        <v>868.83084511504171</v>
      </c>
      <c r="E1261" s="367">
        <v>0.11668234379038223</v>
      </c>
      <c r="F1261" s="368">
        <v>937.70181593640598</v>
      </c>
      <c r="G1261" s="367">
        <v>0.12593158527362142</v>
      </c>
      <c r="H1261" s="368">
        <v>1110.7010304658263</v>
      </c>
      <c r="I1261" s="367">
        <v>0.1491650534897678</v>
      </c>
      <c r="J1261" s="368">
        <v>966.53995644924555</v>
      </c>
      <c r="K1261" s="367">
        <v>0.12980449315265619</v>
      </c>
      <c r="L1261" s="368">
        <v>439.59023128918182</v>
      </c>
      <c r="M1261" s="367">
        <v>5.903613894760646E-2</v>
      </c>
      <c r="N1261" s="368">
        <v>215.80879272349202</v>
      </c>
      <c r="O1261" s="367">
        <v>2.8982713824134101E-2</v>
      </c>
      <c r="P1261" s="368">
        <v>349.6464416494357</v>
      </c>
      <c r="Q1261" s="367">
        <v>4.6956857642664926E-2</v>
      </c>
      <c r="R1261" s="368">
        <v>160.40269817897382</v>
      </c>
      <c r="S1261" s="367">
        <v>2.1541779828668187E-2</v>
      </c>
      <c r="T1261" s="368">
        <v>2097.167662055213</v>
      </c>
      <c r="U1261" s="367">
        <v>0.28164566152988901</v>
      </c>
      <c r="V1261" s="368">
        <v>7446.1209544768917</v>
      </c>
      <c r="W1261" s="367">
        <v>0.29763783607821415</v>
      </c>
      <c r="X1261" s="307"/>
    </row>
    <row r="1262" spans="1:24" ht="28.5">
      <c r="A1262" s="313" t="s">
        <v>303</v>
      </c>
      <c r="B1262" s="368">
        <v>65.544785199033385</v>
      </c>
      <c r="C1262" s="367">
        <v>1.2085147798713605E-2</v>
      </c>
      <c r="D1262" s="368">
        <v>772.96760216133691</v>
      </c>
      <c r="E1262" s="367">
        <v>0.14251977006821856</v>
      </c>
      <c r="F1262" s="368">
        <v>526.17113113619268</v>
      </c>
      <c r="G1262" s="367">
        <v>9.7015435597018057E-2</v>
      </c>
      <c r="H1262" s="368">
        <v>686.44358983827999</v>
      </c>
      <c r="I1262" s="367">
        <v>0.12656647227516576</v>
      </c>
      <c r="J1262" s="368">
        <v>523.52275402875546</v>
      </c>
      <c r="K1262" s="367">
        <v>9.6527127813676963E-2</v>
      </c>
      <c r="L1262" s="368">
        <v>614.31025690816443</v>
      </c>
      <c r="M1262" s="367">
        <v>0.11326652801526578</v>
      </c>
      <c r="N1262" s="368">
        <v>469.98724698090939</v>
      </c>
      <c r="O1262" s="367">
        <v>8.6656250776126847E-2</v>
      </c>
      <c r="P1262" s="368">
        <v>222.6199396238724</v>
      </c>
      <c r="Q1262" s="367">
        <v>4.1046665499406859E-2</v>
      </c>
      <c r="R1262" s="368">
        <v>62.368979491683191</v>
      </c>
      <c r="S1262" s="367">
        <v>1.1499592727676597E-2</v>
      </c>
      <c r="T1262" s="368">
        <v>1479.6453117066842</v>
      </c>
      <c r="U1262" s="367">
        <v>0.27281700942873255</v>
      </c>
      <c r="V1262" s="368">
        <v>5423.5815970749036</v>
      </c>
      <c r="W1262" s="367">
        <v>0.21679248835951859</v>
      </c>
      <c r="X1262" s="307"/>
    </row>
    <row r="1263" spans="1:24" ht="15.75" thickBot="1">
      <c r="A1263" s="310" t="s">
        <v>302</v>
      </c>
      <c r="B1263" s="366">
        <v>0</v>
      </c>
      <c r="C1263" s="365">
        <v>0</v>
      </c>
      <c r="D1263" s="366">
        <v>38.210526315789473</v>
      </c>
      <c r="E1263" s="365">
        <v>8.2694211861622693E-2</v>
      </c>
      <c r="F1263" s="366">
        <v>38.210526315789473</v>
      </c>
      <c r="G1263" s="365">
        <v>8.2694211861622693E-2</v>
      </c>
      <c r="H1263" s="366">
        <v>0</v>
      </c>
      <c r="I1263" s="365">
        <v>0</v>
      </c>
      <c r="J1263" s="366">
        <v>149.47436145510835</v>
      </c>
      <c r="K1263" s="365">
        <v>0.32348846524371966</v>
      </c>
      <c r="L1263" s="366">
        <v>59.40625</v>
      </c>
      <c r="M1263" s="365">
        <v>0.12856543725163352</v>
      </c>
      <c r="N1263" s="366">
        <v>38.210526315789473</v>
      </c>
      <c r="O1263" s="365">
        <v>8.2694211861622693E-2</v>
      </c>
      <c r="P1263" s="366">
        <v>0</v>
      </c>
      <c r="Q1263" s="365">
        <v>0</v>
      </c>
      <c r="R1263" s="366">
        <v>0</v>
      </c>
      <c r="S1263" s="365">
        <v>0</v>
      </c>
      <c r="T1263" s="366">
        <v>138.55795278637771</v>
      </c>
      <c r="U1263" s="365">
        <v>0.29986346191977853</v>
      </c>
      <c r="V1263" s="366">
        <v>462.07014318885456</v>
      </c>
      <c r="W1263" s="365">
        <v>1.8469960181400655E-2</v>
      </c>
      <c r="X1263" s="307"/>
    </row>
    <row r="1267" spans="1:10" ht="15.75" thickBot="1"/>
    <row r="1268" spans="1:10" ht="15" customHeight="1">
      <c r="A1268" s="775" t="s">
        <v>310</v>
      </c>
      <c r="B1268" s="755" t="s">
        <v>346</v>
      </c>
      <c r="C1268" s="756"/>
      <c r="D1268" s="756"/>
      <c r="E1268" s="756"/>
      <c r="F1268" s="756"/>
      <c r="G1268" s="756"/>
      <c r="H1268" s="756"/>
      <c r="I1268" s="757"/>
      <c r="J1268" s="307"/>
    </row>
    <row r="1269" spans="1:10" ht="36.75" customHeight="1">
      <c r="A1269" s="776"/>
      <c r="B1269" s="758" t="s">
        <v>120</v>
      </c>
      <c r="C1269" s="759"/>
      <c r="D1269" s="760" t="s">
        <v>119</v>
      </c>
      <c r="E1269" s="759"/>
      <c r="F1269" s="760" t="s">
        <v>118</v>
      </c>
      <c r="G1269" s="759"/>
      <c r="H1269" s="761" t="s">
        <v>9</v>
      </c>
      <c r="I1269" s="762"/>
      <c r="J1269" s="307"/>
    </row>
    <row r="1270" spans="1:10" ht="15.75" customHeight="1" thickBot="1">
      <c r="A1270" s="754"/>
      <c r="B1270" s="318" t="s">
        <v>7</v>
      </c>
      <c r="C1270" s="318" t="s">
        <v>8</v>
      </c>
      <c r="D1270" s="318" t="s">
        <v>7</v>
      </c>
      <c r="E1270" s="318" t="s">
        <v>8</v>
      </c>
      <c r="F1270" s="318" t="s">
        <v>7</v>
      </c>
      <c r="G1270" s="318" t="s">
        <v>8</v>
      </c>
      <c r="H1270" s="318" t="s">
        <v>7</v>
      </c>
      <c r="I1270" s="317" t="s">
        <v>6</v>
      </c>
      <c r="J1270" s="307"/>
    </row>
    <row r="1271" spans="1:10" ht="15.75" customHeight="1">
      <c r="A1271" s="316" t="s">
        <v>5</v>
      </c>
      <c r="B1271" s="315">
        <v>27461.154328100041</v>
      </c>
      <c r="C1271" s="314">
        <v>0.74185831606894326</v>
      </c>
      <c r="D1271" s="315">
        <v>6093.1248550000055</v>
      </c>
      <c r="E1271" s="314">
        <v>0.16460471000313082</v>
      </c>
      <c r="F1271" s="315">
        <v>3462.4310609999975</v>
      </c>
      <c r="G1271" s="314">
        <v>9.3536973927926634E-2</v>
      </c>
      <c r="H1271" s="315">
        <v>37016.710244100017</v>
      </c>
      <c r="I1271" s="314">
        <v>1</v>
      </c>
      <c r="J1271" s="307"/>
    </row>
    <row r="1272" spans="1:10">
      <c r="A1272" s="313" t="s">
        <v>309</v>
      </c>
      <c r="B1272" s="312">
        <v>989.05169060000026</v>
      </c>
      <c r="C1272" s="311">
        <v>0.75666959936373468</v>
      </c>
      <c r="D1272" s="312">
        <v>151.681478</v>
      </c>
      <c r="E1272" s="311">
        <v>0.11604324048982027</v>
      </c>
      <c r="F1272" s="312">
        <v>166.37853699999999</v>
      </c>
      <c r="G1272" s="311">
        <v>0.12728716014644492</v>
      </c>
      <c r="H1272" s="312">
        <v>1307.1117056000003</v>
      </c>
      <c r="I1272" s="311">
        <v>3.5311395771814622E-2</v>
      </c>
      <c r="J1272" s="307"/>
    </row>
    <row r="1273" spans="1:10">
      <c r="A1273" s="313" t="s">
        <v>308</v>
      </c>
      <c r="B1273" s="312">
        <v>2428.7532870000023</v>
      </c>
      <c r="C1273" s="311">
        <v>0.86513328934264877</v>
      </c>
      <c r="D1273" s="312">
        <v>229.32922400000001</v>
      </c>
      <c r="E1273" s="311">
        <v>8.1688143033490798E-2</v>
      </c>
      <c r="F1273" s="312">
        <v>149.29216400000001</v>
      </c>
      <c r="G1273" s="311">
        <v>5.3178567623860126E-2</v>
      </c>
      <c r="H1273" s="312">
        <v>2807.3746750000032</v>
      </c>
      <c r="I1273" s="311">
        <v>7.5840739398160384E-2</v>
      </c>
      <c r="J1273" s="307"/>
    </row>
    <row r="1274" spans="1:10">
      <c r="A1274" s="313" t="s">
        <v>307</v>
      </c>
      <c r="B1274" s="312">
        <v>1832.295494</v>
      </c>
      <c r="C1274" s="311">
        <v>0.77390976564247038</v>
      </c>
      <c r="D1274" s="312">
        <v>402.52774899999997</v>
      </c>
      <c r="E1274" s="311">
        <v>0.1700163302880344</v>
      </c>
      <c r="F1274" s="312">
        <v>132.759614</v>
      </c>
      <c r="G1274" s="311">
        <v>5.6073904069495473E-2</v>
      </c>
      <c r="H1274" s="312">
        <v>2367.5828569999994</v>
      </c>
      <c r="I1274" s="311">
        <v>6.3959839796335266E-2</v>
      </c>
      <c r="J1274" s="307"/>
    </row>
    <row r="1275" spans="1:10">
      <c r="A1275" s="313" t="s">
        <v>306</v>
      </c>
      <c r="B1275" s="312">
        <v>1456.2755825000002</v>
      </c>
      <c r="C1275" s="311">
        <v>0.70260358368944853</v>
      </c>
      <c r="D1275" s="312">
        <v>279.965844</v>
      </c>
      <c r="E1275" s="311">
        <v>0.13507402559572962</v>
      </c>
      <c r="F1275" s="312">
        <v>336.44310899999999</v>
      </c>
      <c r="G1275" s="311">
        <v>0.1623223907148218</v>
      </c>
      <c r="H1275" s="312">
        <v>2072.6845355000005</v>
      </c>
      <c r="I1275" s="311">
        <v>5.5993212844470952E-2</v>
      </c>
      <c r="J1275" s="307"/>
    </row>
    <row r="1276" spans="1:10">
      <c r="A1276" s="313" t="s">
        <v>305</v>
      </c>
      <c r="B1276" s="312">
        <v>6068.0308800000066</v>
      </c>
      <c r="C1276" s="311">
        <v>0.88833085572755155</v>
      </c>
      <c r="D1276" s="312">
        <v>574.5689349999999</v>
      </c>
      <c r="E1276" s="311">
        <v>8.4114158908666817E-2</v>
      </c>
      <c r="F1276" s="312">
        <v>188.223229</v>
      </c>
      <c r="G1276" s="311">
        <v>2.7554985363781263E-2</v>
      </c>
      <c r="H1276" s="312">
        <v>6830.8230440000088</v>
      </c>
      <c r="I1276" s="311">
        <v>0.18453349849177247</v>
      </c>
      <c r="J1276" s="307"/>
    </row>
    <row r="1277" spans="1:10" ht="28.5">
      <c r="A1277" s="313" t="s">
        <v>304</v>
      </c>
      <c r="B1277" s="312">
        <v>8446.6515530000106</v>
      </c>
      <c r="C1277" s="311">
        <v>0.66944327291442074</v>
      </c>
      <c r="D1277" s="312">
        <v>3088.456075999999</v>
      </c>
      <c r="E1277" s="311">
        <v>0.24477701380205921</v>
      </c>
      <c r="F1277" s="312">
        <v>1082.3192609999999</v>
      </c>
      <c r="G1277" s="311">
        <v>8.5779713283522033E-2</v>
      </c>
      <c r="H1277" s="312">
        <v>12617.426889999984</v>
      </c>
      <c r="I1277" s="311">
        <v>0.34085759665828319</v>
      </c>
      <c r="J1277" s="307"/>
    </row>
    <row r="1278" spans="1:10" ht="28.5">
      <c r="A1278" s="313" t="s">
        <v>303</v>
      </c>
      <c r="B1278" s="312">
        <v>6035.2958309999995</v>
      </c>
      <c r="C1278" s="311">
        <v>0.70200048776232093</v>
      </c>
      <c r="D1278" s="312">
        <v>1296.053885</v>
      </c>
      <c r="E1278" s="311">
        <v>0.15075159278240377</v>
      </c>
      <c r="F1278" s="312">
        <v>1265.9318189999999</v>
      </c>
      <c r="G1278" s="311">
        <v>0.14724791945527455</v>
      </c>
      <c r="H1278" s="312">
        <v>8597.2815350000055</v>
      </c>
      <c r="I1278" s="311">
        <v>0.23225406791437661</v>
      </c>
      <c r="J1278" s="307"/>
    </row>
    <row r="1279" spans="1:10" ht="15.75" thickBot="1">
      <c r="A1279" s="313" t="s">
        <v>302</v>
      </c>
      <c r="B1279" s="312">
        <v>204.80001000000001</v>
      </c>
      <c r="C1279" s="311">
        <v>0.49180526869517799</v>
      </c>
      <c r="D1279" s="312">
        <v>70.541663999999997</v>
      </c>
      <c r="E1279" s="311">
        <v>0.16939824376827403</v>
      </c>
      <c r="F1279" s="312">
        <v>141.08332799999999</v>
      </c>
      <c r="G1279" s="311">
        <v>0.33879648753654806</v>
      </c>
      <c r="H1279" s="312">
        <v>416.42500199999995</v>
      </c>
      <c r="I1279" s="311">
        <v>1.1249649124786088E-2</v>
      </c>
      <c r="J1279" s="307"/>
    </row>
    <row r="1280" spans="1:10" ht="15" customHeight="1">
      <c r="A1280" s="316" t="s">
        <v>4</v>
      </c>
      <c r="B1280" s="315">
        <v>28180.137068334665</v>
      </c>
      <c r="C1280" s="314">
        <v>0.76759939263292065</v>
      </c>
      <c r="D1280" s="315">
        <v>4803.5320550553051</v>
      </c>
      <c r="E1280" s="314">
        <v>0.13084351857523155</v>
      </c>
      <c r="F1280" s="315">
        <v>3728.3675702227483</v>
      </c>
      <c r="G1280" s="314">
        <v>0.10155708879184619</v>
      </c>
      <c r="H1280" s="315">
        <v>36712.036693612776</v>
      </c>
      <c r="I1280" s="314">
        <v>1</v>
      </c>
      <c r="J1280" s="307"/>
    </row>
    <row r="1281" spans="1:10">
      <c r="A1281" s="313" t="s">
        <v>309</v>
      </c>
      <c r="B1281" s="312">
        <v>1322.7512290341238</v>
      </c>
      <c r="C1281" s="311">
        <v>0.7187020252724805</v>
      </c>
      <c r="D1281" s="312">
        <v>238.90934065934067</v>
      </c>
      <c r="E1281" s="311">
        <v>0.1298087072001893</v>
      </c>
      <c r="F1281" s="312">
        <v>278.8118131868132</v>
      </c>
      <c r="G1281" s="311">
        <v>0.15148926752733016</v>
      </c>
      <c r="H1281" s="312">
        <v>1840.4723828802776</v>
      </c>
      <c r="I1281" s="311">
        <v>5.0132668972857237E-2</v>
      </c>
      <c r="J1281" s="307"/>
    </row>
    <row r="1282" spans="1:10">
      <c r="A1282" s="313" t="s">
        <v>308</v>
      </c>
      <c r="B1282" s="312">
        <v>2489.2887072558901</v>
      </c>
      <c r="C1282" s="311">
        <v>0.83137269200173292</v>
      </c>
      <c r="D1282" s="312">
        <v>372.69883336096024</v>
      </c>
      <c r="E1282" s="311">
        <v>0.12447396378493075</v>
      </c>
      <c r="F1282" s="312">
        <v>132.20354985825222</v>
      </c>
      <c r="G1282" s="311">
        <v>4.415334421333638E-2</v>
      </c>
      <c r="H1282" s="312">
        <v>2994.1910904751026</v>
      </c>
      <c r="I1282" s="311">
        <v>8.1558839011403511E-2</v>
      </c>
      <c r="J1282" s="307"/>
    </row>
    <row r="1283" spans="1:10">
      <c r="A1283" s="313" t="s">
        <v>307</v>
      </c>
      <c r="B1283" s="312">
        <v>1428.4611822812158</v>
      </c>
      <c r="C1283" s="311">
        <v>0.6956997860356704</v>
      </c>
      <c r="D1283" s="312">
        <v>150.26259196378041</v>
      </c>
      <c r="E1283" s="311">
        <v>7.3182004786033691E-2</v>
      </c>
      <c r="F1283" s="312">
        <v>474.54864433811804</v>
      </c>
      <c r="G1283" s="311">
        <v>0.23111820917829606</v>
      </c>
      <c r="H1283" s="312">
        <v>2053.2724185831139</v>
      </c>
      <c r="I1283" s="311">
        <v>5.5929133970939446E-2</v>
      </c>
      <c r="J1283" s="307"/>
    </row>
    <row r="1284" spans="1:10">
      <c r="A1284" s="313" t="s">
        <v>306</v>
      </c>
      <c r="B1284" s="312">
        <v>1831.5556976560022</v>
      </c>
      <c r="C1284" s="311">
        <v>0.8081604317628206</v>
      </c>
      <c r="D1284" s="312">
        <v>227.61064895470383</v>
      </c>
      <c r="E1284" s="311">
        <v>0.1004315187184646</v>
      </c>
      <c r="F1284" s="312">
        <v>207.16051829268292</v>
      </c>
      <c r="G1284" s="311">
        <v>9.1408049518714951E-2</v>
      </c>
      <c r="H1284" s="312">
        <v>2266.3268649033885</v>
      </c>
      <c r="I1284" s="311">
        <v>6.1732528865599219E-2</v>
      </c>
      <c r="J1284" s="307"/>
    </row>
    <row r="1285" spans="1:10">
      <c r="A1285" s="313" t="s">
        <v>305</v>
      </c>
      <c r="B1285" s="312">
        <v>6245.3537871245071</v>
      </c>
      <c r="C1285" s="311">
        <v>0.84687961091626884</v>
      </c>
      <c r="D1285" s="312">
        <v>727.35328934039512</v>
      </c>
      <c r="E1285" s="311">
        <v>9.8630228434004014E-2</v>
      </c>
      <c r="F1285" s="312">
        <v>401.84026960644883</v>
      </c>
      <c r="G1285" s="311">
        <v>5.4490160649727427E-2</v>
      </c>
      <c r="H1285" s="312">
        <v>7374.5473460713483</v>
      </c>
      <c r="I1285" s="311">
        <v>0.20087546238899859</v>
      </c>
      <c r="J1285" s="307"/>
    </row>
    <row r="1286" spans="1:10" ht="28.5">
      <c r="A1286" s="313" t="s">
        <v>304</v>
      </c>
      <c r="B1286" s="312">
        <v>9069.2925681650595</v>
      </c>
      <c r="C1286" s="311">
        <v>0.75371908029337287</v>
      </c>
      <c r="D1286" s="312">
        <v>1925.9163349979663</v>
      </c>
      <c r="E1286" s="311">
        <v>0.16005657308179053</v>
      </c>
      <c r="F1286" s="312">
        <v>1037.5136393457492</v>
      </c>
      <c r="G1286" s="311">
        <v>8.6224346624835468E-2</v>
      </c>
      <c r="H1286" s="312">
        <v>12032.722542508787</v>
      </c>
      <c r="I1286" s="311">
        <v>0.32775960219614464</v>
      </c>
      <c r="J1286" s="307"/>
    </row>
    <row r="1287" spans="1:10" ht="28.5">
      <c r="A1287" s="313" t="s">
        <v>303</v>
      </c>
      <c r="B1287" s="312">
        <v>5314.277646817708</v>
      </c>
      <c r="C1287" s="311">
        <v>0.72120168716871025</v>
      </c>
      <c r="D1287" s="312">
        <v>1087.1872657781587</v>
      </c>
      <c r="E1287" s="311">
        <v>0.14754240227118506</v>
      </c>
      <c r="F1287" s="312">
        <v>967.1779252772219</v>
      </c>
      <c r="G1287" s="311">
        <v>0.13125591056010402</v>
      </c>
      <c r="H1287" s="312">
        <v>7368.6428378730934</v>
      </c>
      <c r="I1287" s="311">
        <v>0.20071462935629239</v>
      </c>
      <c r="J1287" s="307"/>
    </row>
    <row r="1288" spans="1:10" ht="15.75" thickBot="1">
      <c r="A1288" s="313" t="s">
        <v>302</v>
      </c>
      <c r="B1288" s="312">
        <v>479.15625</v>
      </c>
      <c r="C1288" s="311">
        <v>0.61284054468624616</v>
      </c>
      <c r="D1288" s="312">
        <v>73.59375</v>
      </c>
      <c r="E1288" s="311">
        <v>9.4126360316709692E-2</v>
      </c>
      <c r="F1288" s="312">
        <v>229.11121031746029</v>
      </c>
      <c r="G1288" s="311">
        <v>0.29303309499704416</v>
      </c>
      <c r="H1288" s="312">
        <v>781.86121031746029</v>
      </c>
      <c r="I1288" s="311">
        <v>2.1297135237759494E-2</v>
      </c>
      <c r="J1288" s="307"/>
    </row>
    <row r="1289" spans="1:10" ht="15.75" customHeight="1">
      <c r="A1289" s="316" t="s">
        <v>3</v>
      </c>
      <c r="B1289" s="315">
        <v>18573.487040864864</v>
      </c>
      <c r="C1289" s="314">
        <v>0.74242313884869449</v>
      </c>
      <c r="D1289" s="315">
        <v>3900.5626211360727</v>
      </c>
      <c r="E1289" s="314">
        <v>0.15591406923688197</v>
      </c>
      <c r="F1289" s="315">
        <v>2543.3374168385976</v>
      </c>
      <c r="G1289" s="314">
        <v>0.10166279191442112</v>
      </c>
      <c r="H1289" s="315">
        <v>25017.387078839594</v>
      </c>
      <c r="I1289" s="314">
        <v>1</v>
      </c>
      <c r="J1289" s="307"/>
    </row>
    <row r="1290" spans="1:10">
      <c r="A1290" s="313" t="s">
        <v>309</v>
      </c>
      <c r="B1290" s="312">
        <v>841.67367795603104</v>
      </c>
      <c r="C1290" s="311">
        <v>0.82881265271785576</v>
      </c>
      <c r="D1290" s="312">
        <v>162.13784907902556</v>
      </c>
      <c r="E1290" s="311">
        <v>0.15966033430853543</v>
      </c>
      <c r="F1290" s="312">
        <v>11.705882352941176</v>
      </c>
      <c r="G1290" s="311">
        <v>1.1527012973608926E-2</v>
      </c>
      <c r="H1290" s="312">
        <v>1015.5174093879976</v>
      </c>
      <c r="I1290" s="311">
        <v>4.059246499995E-2</v>
      </c>
      <c r="J1290" s="307"/>
    </row>
    <row r="1291" spans="1:10">
      <c r="A1291" s="313" t="s">
        <v>308</v>
      </c>
      <c r="B1291" s="312">
        <v>1293.2633635260242</v>
      </c>
      <c r="C1291" s="311">
        <v>0.75216615233997208</v>
      </c>
      <c r="D1291" s="312">
        <v>296.46649213084163</v>
      </c>
      <c r="E1291" s="311">
        <v>0.17242587006857285</v>
      </c>
      <c r="F1291" s="312">
        <v>129.65536196122096</v>
      </c>
      <c r="G1291" s="311">
        <v>7.540797759145329E-2</v>
      </c>
      <c r="H1291" s="312">
        <v>1719.3852176180899</v>
      </c>
      <c r="I1291" s="311">
        <v>6.8727609809914728E-2</v>
      </c>
      <c r="J1291" s="307"/>
    </row>
    <row r="1292" spans="1:10">
      <c r="A1292" s="313" t="s">
        <v>307</v>
      </c>
      <c r="B1292" s="312">
        <v>1223.2913773148148</v>
      </c>
      <c r="C1292" s="311">
        <v>0.67090817654537016</v>
      </c>
      <c r="D1292" s="312">
        <v>336.25405092592592</v>
      </c>
      <c r="E1292" s="311">
        <v>0.18441689064947103</v>
      </c>
      <c r="F1292" s="312">
        <v>263.79108796296293</v>
      </c>
      <c r="G1292" s="311">
        <v>0.14467493280515867</v>
      </c>
      <c r="H1292" s="312">
        <v>1823.3365162037039</v>
      </c>
      <c r="I1292" s="311">
        <v>7.2882771908099594E-2</v>
      </c>
      <c r="J1292" s="307"/>
    </row>
    <row r="1293" spans="1:10">
      <c r="A1293" s="313" t="s">
        <v>306</v>
      </c>
      <c r="B1293" s="312">
        <v>1570.5956796116511</v>
      </c>
      <c r="C1293" s="311">
        <v>0.86068109825936379</v>
      </c>
      <c r="D1293" s="312">
        <v>88.289999999999992</v>
      </c>
      <c r="E1293" s="311">
        <v>4.8382620143274914E-2</v>
      </c>
      <c r="F1293" s="312">
        <v>165.94314814814817</v>
      </c>
      <c r="G1293" s="311">
        <v>9.0936281597361501E-2</v>
      </c>
      <c r="H1293" s="312">
        <v>1824.828827759799</v>
      </c>
      <c r="I1293" s="311">
        <v>7.2942422884094485E-2</v>
      </c>
      <c r="J1293" s="307"/>
    </row>
    <row r="1294" spans="1:10">
      <c r="A1294" s="313" t="s">
        <v>305</v>
      </c>
      <c r="B1294" s="312">
        <v>3646.3486455519328</v>
      </c>
      <c r="C1294" s="311">
        <v>0.68765992062293535</v>
      </c>
      <c r="D1294" s="312">
        <v>1009.6805395126312</v>
      </c>
      <c r="E1294" s="311">
        <v>0.19041427662238333</v>
      </c>
      <c r="F1294" s="312">
        <v>646.51722806474163</v>
      </c>
      <c r="G1294" s="311">
        <v>0.12192580275468025</v>
      </c>
      <c r="H1294" s="312">
        <v>5302.5464131293111</v>
      </c>
      <c r="I1294" s="311">
        <v>0.21195444577880612</v>
      </c>
      <c r="J1294" s="307"/>
    </row>
    <row r="1295" spans="1:10" ht="28.5">
      <c r="A1295" s="313" t="s">
        <v>304</v>
      </c>
      <c r="B1295" s="312">
        <v>5866.6612099850918</v>
      </c>
      <c r="C1295" s="311">
        <v>0.78788153534597527</v>
      </c>
      <c r="D1295" s="312">
        <v>959.35441674373646</v>
      </c>
      <c r="E1295" s="311">
        <v>0.12883948872290826</v>
      </c>
      <c r="F1295" s="312">
        <v>620.10532774807473</v>
      </c>
      <c r="G1295" s="311">
        <v>8.3278975931118035E-2</v>
      </c>
      <c r="H1295" s="312">
        <v>7446.1209544768917</v>
      </c>
      <c r="I1295" s="311">
        <v>0.29763783607821415</v>
      </c>
      <c r="J1295" s="307"/>
    </row>
    <row r="1296" spans="1:10" ht="28.5">
      <c r="A1296" s="313" t="s">
        <v>303</v>
      </c>
      <c r="B1296" s="312">
        <v>3870.9148903249261</v>
      </c>
      <c r="C1296" s="311">
        <v>0.71371930541482476</v>
      </c>
      <c r="D1296" s="312">
        <v>1010.1687464281205</v>
      </c>
      <c r="E1296" s="311">
        <v>0.18625491814725051</v>
      </c>
      <c r="F1296" s="312">
        <v>542.49796032186839</v>
      </c>
      <c r="G1296" s="311">
        <v>0.10002577643792682</v>
      </c>
      <c r="H1296" s="312">
        <v>5423.5815970749036</v>
      </c>
      <c r="I1296" s="311">
        <v>0.21679248835951859</v>
      </c>
      <c r="J1296" s="307"/>
    </row>
    <row r="1297" spans="1:18" ht="15.75" thickBot="1">
      <c r="A1297" s="310" t="s">
        <v>302</v>
      </c>
      <c r="B1297" s="309">
        <v>260.73819659442722</v>
      </c>
      <c r="C1297" s="308">
        <v>0.56428271862581669</v>
      </c>
      <c r="D1297" s="309">
        <v>38.210526315789473</v>
      </c>
      <c r="E1297" s="308">
        <v>8.2694211861622693E-2</v>
      </c>
      <c r="F1297" s="309">
        <v>163.12142027863774</v>
      </c>
      <c r="G1297" s="308">
        <v>0.35302306951256041</v>
      </c>
      <c r="H1297" s="309">
        <v>462.07014318885456</v>
      </c>
      <c r="I1297" s="308">
        <v>1.8469960181400655E-2</v>
      </c>
      <c r="J1297" s="307"/>
    </row>
    <row r="1301" spans="1:18" ht="15.75" thickBot="1"/>
    <row r="1302" spans="1:18" ht="15" customHeight="1">
      <c r="A1302" s="775" t="s">
        <v>310</v>
      </c>
      <c r="B1302" s="755" t="s">
        <v>347</v>
      </c>
      <c r="C1302" s="756"/>
      <c r="D1302" s="756"/>
      <c r="E1302" s="756"/>
      <c r="F1302" s="756"/>
      <c r="G1302" s="756"/>
      <c r="H1302" s="756"/>
      <c r="I1302" s="756"/>
      <c r="J1302" s="756"/>
      <c r="K1302" s="756"/>
      <c r="L1302" s="756"/>
      <c r="M1302" s="756"/>
      <c r="N1302" s="756"/>
      <c r="O1302" s="756"/>
      <c r="P1302" s="756"/>
      <c r="Q1302" s="757"/>
      <c r="R1302" s="326"/>
    </row>
    <row r="1303" spans="1:18" ht="33.75" customHeight="1">
      <c r="A1303" s="776"/>
      <c r="B1303" s="758" t="s">
        <v>135</v>
      </c>
      <c r="C1303" s="759"/>
      <c r="D1303" s="760" t="s">
        <v>134</v>
      </c>
      <c r="E1303" s="759"/>
      <c r="F1303" s="760" t="s">
        <v>133</v>
      </c>
      <c r="G1303" s="759"/>
      <c r="H1303" s="760" t="s">
        <v>132</v>
      </c>
      <c r="I1303" s="759"/>
      <c r="J1303" s="760" t="s">
        <v>131</v>
      </c>
      <c r="K1303" s="759"/>
      <c r="L1303" s="760" t="s">
        <v>130</v>
      </c>
      <c r="M1303" s="759"/>
      <c r="N1303" s="760" t="s">
        <v>129</v>
      </c>
      <c r="O1303" s="759"/>
      <c r="P1303" s="761" t="s">
        <v>9</v>
      </c>
      <c r="Q1303" s="762"/>
      <c r="R1303" s="326"/>
    </row>
    <row r="1304" spans="1:18" ht="15.75" customHeight="1" thickBot="1">
      <c r="A1304" s="754"/>
      <c r="B1304" s="318" t="s">
        <v>7</v>
      </c>
      <c r="C1304" s="318" t="s">
        <v>8</v>
      </c>
      <c r="D1304" s="318" t="s">
        <v>7</v>
      </c>
      <c r="E1304" s="318" t="s">
        <v>8</v>
      </c>
      <c r="F1304" s="318" t="s">
        <v>7</v>
      </c>
      <c r="G1304" s="318" t="s">
        <v>8</v>
      </c>
      <c r="H1304" s="318" t="s">
        <v>7</v>
      </c>
      <c r="I1304" s="318" t="s">
        <v>8</v>
      </c>
      <c r="J1304" s="318" t="s">
        <v>7</v>
      </c>
      <c r="K1304" s="318" t="s">
        <v>8</v>
      </c>
      <c r="L1304" s="318" t="s">
        <v>7</v>
      </c>
      <c r="M1304" s="318" t="s">
        <v>8</v>
      </c>
      <c r="N1304" s="318" t="s">
        <v>7</v>
      </c>
      <c r="O1304" s="318" t="s">
        <v>8</v>
      </c>
      <c r="P1304" s="318" t="s">
        <v>7</v>
      </c>
      <c r="Q1304" s="317" t="s">
        <v>6</v>
      </c>
      <c r="R1304" s="326"/>
    </row>
    <row r="1305" spans="1:18" ht="15.75" customHeight="1">
      <c r="A1305" s="316" t="s">
        <v>5</v>
      </c>
      <c r="B1305" s="315">
        <v>7158.3542135000062</v>
      </c>
      <c r="C1305" s="314">
        <v>0.19338169616628625</v>
      </c>
      <c r="D1305" s="315">
        <v>18087.549265299996</v>
      </c>
      <c r="E1305" s="314">
        <v>0.48863200284479402</v>
      </c>
      <c r="F1305" s="315">
        <v>5497.1845550000044</v>
      </c>
      <c r="G1305" s="314">
        <v>0.14850548627227575</v>
      </c>
      <c r="H1305" s="315">
        <v>369.24730299999993</v>
      </c>
      <c r="I1305" s="314">
        <v>9.9751517778069749E-3</v>
      </c>
      <c r="J1305" s="315">
        <v>1853.8179529999998</v>
      </c>
      <c r="K1305" s="314">
        <v>5.0080570120233044E-2</v>
      </c>
      <c r="L1305" s="315">
        <v>1014.4586005</v>
      </c>
      <c r="M1305" s="314">
        <v>2.740542295115735E-2</v>
      </c>
      <c r="N1305" s="315">
        <v>3036.0983537999982</v>
      </c>
      <c r="O1305" s="314">
        <v>8.2019669867446229E-2</v>
      </c>
      <c r="P1305" s="315">
        <v>37016.710244100017</v>
      </c>
      <c r="Q1305" s="314">
        <v>1</v>
      </c>
      <c r="R1305" s="326"/>
    </row>
    <row r="1306" spans="1:18">
      <c r="A1306" s="313" t="s">
        <v>309</v>
      </c>
      <c r="B1306" s="312">
        <v>236.67795700000002</v>
      </c>
      <c r="C1306" s="311">
        <v>0.18106941892266071</v>
      </c>
      <c r="D1306" s="312">
        <v>577.13508680000018</v>
      </c>
      <c r="E1306" s="311">
        <v>0.44153463267707432</v>
      </c>
      <c r="F1306" s="312">
        <v>335.09202000000005</v>
      </c>
      <c r="G1306" s="311">
        <v>0.2563606603508945</v>
      </c>
      <c r="H1306" s="312">
        <v>0</v>
      </c>
      <c r="I1306" s="311">
        <v>0</v>
      </c>
      <c r="J1306" s="312">
        <v>146.65108600000002</v>
      </c>
      <c r="K1306" s="311">
        <v>0.11219476145130468</v>
      </c>
      <c r="L1306" s="312">
        <v>0</v>
      </c>
      <c r="M1306" s="311">
        <v>0</v>
      </c>
      <c r="N1306" s="312">
        <v>11.5555558</v>
      </c>
      <c r="O1306" s="311">
        <v>8.8405265980658343E-3</v>
      </c>
      <c r="P1306" s="312">
        <v>1307.1117056000003</v>
      </c>
      <c r="Q1306" s="311">
        <v>3.5311395771814622E-2</v>
      </c>
      <c r="R1306" s="326"/>
    </row>
    <row r="1307" spans="1:18">
      <c r="A1307" s="313" t="s">
        <v>308</v>
      </c>
      <c r="B1307" s="312">
        <v>372.58865199999997</v>
      </c>
      <c r="C1307" s="311">
        <v>0.13271782185610814</v>
      </c>
      <c r="D1307" s="312">
        <v>1331.7356530000004</v>
      </c>
      <c r="E1307" s="311">
        <v>0.47437047318951076</v>
      </c>
      <c r="F1307" s="312">
        <v>589.99028999999996</v>
      </c>
      <c r="G1307" s="311">
        <v>0.21015730292573054</v>
      </c>
      <c r="H1307" s="312">
        <v>112.00396100000002</v>
      </c>
      <c r="I1307" s="311">
        <v>3.9896335176564879E-2</v>
      </c>
      <c r="J1307" s="312">
        <v>18.258823</v>
      </c>
      <c r="K1307" s="311">
        <v>6.5038782185352509E-3</v>
      </c>
      <c r="L1307" s="312">
        <v>32.069349000000003</v>
      </c>
      <c r="M1307" s="311">
        <v>1.1423252224073E-2</v>
      </c>
      <c r="N1307" s="312">
        <v>350.72794699999992</v>
      </c>
      <c r="O1307" s="311">
        <v>0.12493093640947642</v>
      </c>
      <c r="P1307" s="312">
        <v>2807.3746750000032</v>
      </c>
      <c r="Q1307" s="311">
        <v>7.5840739398160384E-2</v>
      </c>
      <c r="R1307" s="326"/>
    </row>
    <row r="1308" spans="1:18">
      <c r="A1308" s="313" t="s">
        <v>307</v>
      </c>
      <c r="B1308" s="312">
        <v>214.29073399999999</v>
      </c>
      <c r="C1308" s="311">
        <v>9.0510341957590904E-2</v>
      </c>
      <c r="D1308" s="312">
        <v>1403.7140260000001</v>
      </c>
      <c r="E1308" s="311">
        <v>0.5928890817272886</v>
      </c>
      <c r="F1308" s="312">
        <v>579.40976000000001</v>
      </c>
      <c r="G1308" s="311">
        <v>0.24472628625727549</v>
      </c>
      <c r="H1308" s="312">
        <v>0</v>
      </c>
      <c r="I1308" s="311">
        <v>0</v>
      </c>
      <c r="J1308" s="312">
        <v>108.47602999999999</v>
      </c>
      <c r="K1308" s="311">
        <v>4.581720537436719E-2</v>
      </c>
      <c r="L1308" s="312">
        <v>0</v>
      </c>
      <c r="M1308" s="311">
        <v>0</v>
      </c>
      <c r="N1308" s="312">
        <v>61.692307</v>
      </c>
      <c r="O1308" s="311">
        <v>2.6057084683478098E-2</v>
      </c>
      <c r="P1308" s="312">
        <v>2367.5828569999994</v>
      </c>
      <c r="Q1308" s="311">
        <v>6.3959839796335266E-2</v>
      </c>
      <c r="R1308" s="326"/>
    </row>
    <row r="1309" spans="1:18">
      <c r="A1309" s="313" t="s">
        <v>306</v>
      </c>
      <c r="B1309" s="312">
        <v>504.5134395</v>
      </c>
      <c r="C1309" s="311">
        <v>0.24341062562050456</v>
      </c>
      <c r="D1309" s="312">
        <v>1024.0806605</v>
      </c>
      <c r="E1309" s="311">
        <v>0.4940841903145467</v>
      </c>
      <c r="F1309" s="312">
        <v>206.51972799999999</v>
      </c>
      <c r="G1309" s="311">
        <v>9.9638765312725489E-2</v>
      </c>
      <c r="H1309" s="312">
        <v>0</v>
      </c>
      <c r="I1309" s="311">
        <v>0</v>
      </c>
      <c r="J1309" s="312">
        <v>92.160398000000001</v>
      </c>
      <c r="K1309" s="311">
        <v>4.446426671378037E-2</v>
      </c>
      <c r="L1309" s="312">
        <v>66.357679500000003</v>
      </c>
      <c r="M1309" s="311">
        <v>3.2015330053105411E-2</v>
      </c>
      <c r="N1309" s="312">
        <v>179.05262999999999</v>
      </c>
      <c r="O1309" s="311">
        <v>8.6386821985337259E-2</v>
      </c>
      <c r="P1309" s="312">
        <v>2072.6845355000005</v>
      </c>
      <c r="Q1309" s="311">
        <v>5.5993212844470952E-2</v>
      </c>
      <c r="R1309" s="326"/>
    </row>
    <row r="1310" spans="1:18">
      <c r="A1310" s="313" t="s">
        <v>305</v>
      </c>
      <c r="B1310" s="312">
        <v>2049.2857470000013</v>
      </c>
      <c r="C1310" s="311">
        <v>0.30000568508359071</v>
      </c>
      <c r="D1310" s="312">
        <v>3792.0289679999996</v>
      </c>
      <c r="E1310" s="311">
        <v>0.55513500255738646</v>
      </c>
      <c r="F1310" s="312">
        <v>495.83618499999994</v>
      </c>
      <c r="G1310" s="311">
        <v>7.2588058833631716E-2</v>
      </c>
      <c r="H1310" s="312">
        <v>5.7886179999999996</v>
      </c>
      <c r="I1310" s="311">
        <v>8.4742613923874789E-4</v>
      </c>
      <c r="J1310" s="312">
        <v>307.17282799999998</v>
      </c>
      <c r="K1310" s="311">
        <v>4.4968640824301749E-2</v>
      </c>
      <c r="L1310" s="312">
        <v>27.219176999999998</v>
      </c>
      <c r="M1310" s="311">
        <v>3.9847580335005909E-3</v>
      </c>
      <c r="N1310" s="312">
        <v>153.49152100000001</v>
      </c>
      <c r="O1310" s="311">
        <v>2.2470428528348775E-2</v>
      </c>
      <c r="P1310" s="312">
        <v>6830.8230440000088</v>
      </c>
      <c r="Q1310" s="311">
        <v>0.18453349849177247</v>
      </c>
      <c r="R1310" s="326"/>
    </row>
    <row r="1311" spans="1:18" ht="28.5">
      <c r="A1311" s="313" t="s">
        <v>304</v>
      </c>
      <c r="B1311" s="312">
        <v>2799.7126749999998</v>
      </c>
      <c r="C1311" s="311">
        <v>0.22189252209726917</v>
      </c>
      <c r="D1311" s="312">
        <v>4872.6294100000086</v>
      </c>
      <c r="E1311" s="311">
        <v>0.38618249604139493</v>
      </c>
      <c r="F1311" s="312">
        <v>1653.9850269999997</v>
      </c>
      <c r="G1311" s="311">
        <v>0.13108734779441245</v>
      </c>
      <c r="H1311" s="312">
        <v>180.77039799999997</v>
      </c>
      <c r="I1311" s="311">
        <v>1.4327041446403833E-2</v>
      </c>
      <c r="J1311" s="312">
        <v>909.09828399999969</v>
      </c>
      <c r="K1311" s="311">
        <v>7.2051004687850487E-2</v>
      </c>
      <c r="L1311" s="312">
        <v>689.47946899999999</v>
      </c>
      <c r="M1311" s="311">
        <v>5.464501399619371E-2</v>
      </c>
      <c r="N1311" s="312">
        <v>1511.7516269999996</v>
      </c>
      <c r="O1311" s="311">
        <v>0.11981457393647728</v>
      </c>
      <c r="P1311" s="312">
        <v>12617.426889999984</v>
      </c>
      <c r="Q1311" s="311">
        <v>0.34085759665828319</v>
      </c>
      <c r="R1311" s="326"/>
    </row>
    <row r="1312" spans="1:18" ht="28.5">
      <c r="A1312" s="313" t="s">
        <v>303</v>
      </c>
      <c r="B1312" s="312">
        <v>910.74334500000009</v>
      </c>
      <c r="C1312" s="311">
        <v>0.10593387471287452</v>
      </c>
      <c r="D1312" s="312">
        <v>4881.425451000001</v>
      </c>
      <c r="E1312" s="311">
        <v>0.56778708841015035</v>
      </c>
      <c r="F1312" s="312">
        <v>1636.351545</v>
      </c>
      <c r="G1312" s="311">
        <v>0.19033360002674368</v>
      </c>
      <c r="H1312" s="312">
        <v>70.684325999999999</v>
      </c>
      <c r="I1312" s="311">
        <v>8.2217065606424791E-3</v>
      </c>
      <c r="J1312" s="312">
        <v>272.00050400000003</v>
      </c>
      <c r="K1312" s="311">
        <v>3.1637966360956199E-2</v>
      </c>
      <c r="L1312" s="312">
        <v>128.79126200000002</v>
      </c>
      <c r="M1312" s="311">
        <v>1.4980463472748184E-2</v>
      </c>
      <c r="N1312" s="312">
        <v>697.28510199999994</v>
      </c>
      <c r="O1312" s="311">
        <v>8.11053004558841E-2</v>
      </c>
      <c r="P1312" s="312">
        <v>8597.2815350000055</v>
      </c>
      <c r="Q1312" s="311">
        <v>0.23225406791437661</v>
      </c>
      <c r="R1312" s="326"/>
    </row>
    <row r="1313" spans="1:18" ht="15.75" thickBot="1">
      <c r="A1313" s="313" t="s">
        <v>302</v>
      </c>
      <c r="B1313" s="312">
        <v>70.541663999999997</v>
      </c>
      <c r="C1313" s="311">
        <v>0.16939824376827403</v>
      </c>
      <c r="D1313" s="312">
        <v>204.80001000000001</v>
      </c>
      <c r="E1313" s="311">
        <v>0.49180526869517799</v>
      </c>
      <c r="F1313" s="312">
        <v>0</v>
      </c>
      <c r="G1313" s="311">
        <v>0</v>
      </c>
      <c r="H1313" s="312">
        <v>0</v>
      </c>
      <c r="I1313" s="311">
        <v>0</v>
      </c>
      <c r="J1313" s="312">
        <v>0</v>
      </c>
      <c r="K1313" s="311">
        <v>0</v>
      </c>
      <c r="L1313" s="312">
        <v>70.541663999999997</v>
      </c>
      <c r="M1313" s="311">
        <v>0.16939824376827403</v>
      </c>
      <c r="N1313" s="312">
        <v>70.541663999999997</v>
      </c>
      <c r="O1313" s="311">
        <v>0.16939824376827403</v>
      </c>
      <c r="P1313" s="312">
        <v>416.42500199999995</v>
      </c>
      <c r="Q1313" s="311">
        <v>1.1249649124786088E-2</v>
      </c>
      <c r="R1313" s="326"/>
    </row>
    <row r="1314" spans="1:18" ht="15" customHeight="1">
      <c r="A1314" s="316" t="s">
        <v>4</v>
      </c>
      <c r="B1314" s="315">
        <v>7371.5006561010869</v>
      </c>
      <c r="C1314" s="314">
        <v>0.20079247353181018</v>
      </c>
      <c r="D1314" s="315">
        <v>19412.790097949364</v>
      </c>
      <c r="E1314" s="314">
        <v>0.52878542969333098</v>
      </c>
      <c r="F1314" s="315">
        <v>3521.517969654109</v>
      </c>
      <c r="G1314" s="314">
        <v>9.5922707831319787E-2</v>
      </c>
      <c r="H1314" s="315">
        <v>337.23149550118228</v>
      </c>
      <c r="I1314" s="314">
        <v>9.1858563532067512E-3</v>
      </c>
      <c r="J1314" s="315">
        <v>2025.8124229343807</v>
      </c>
      <c r="K1314" s="314">
        <v>5.5181150526765387E-2</v>
      </c>
      <c r="L1314" s="315">
        <v>621.15744932195275</v>
      </c>
      <c r="M1314" s="314">
        <v>1.6919721847794483E-2</v>
      </c>
      <c r="N1314" s="315">
        <v>3422.0266021505076</v>
      </c>
      <c r="O1314" s="314">
        <v>9.3212660215767254E-2</v>
      </c>
      <c r="P1314" s="315">
        <v>36712.036693612776</v>
      </c>
      <c r="Q1314" s="314">
        <v>1</v>
      </c>
      <c r="R1314" s="326"/>
    </row>
    <row r="1315" spans="1:18">
      <c r="A1315" s="313" t="s">
        <v>309</v>
      </c>
      <c r="B1315" s="312">
        <v>241.78383458646618</v>
      </c>
      <c r="C1315" s="311">
        <v>0.13137053119378111</v>
      </c>
      <c r="D1315" s="312">
        <v>1240.1981636784267</v>
      </c>
      <c r="E1315" s="311">
        <v>0.67384774431527095</v>
      </c>
      <c r="F1315" s="312">
        <v>79.678571428571431</v>
      </c>
      <c r="G1315" s="311">
        <v>4.3292456963617755E-2</v>
      </c>
      <c r="H1315" s="312">
        <v>0</v>
      </c>
      <c r="I1315" s="311">
        <v>0</v>
      </c>
      <c r="J1315" s="312">
        <v>79.615384615384613</v>
      </c>
      <c r="K1315" s="311">
        <v>4.3258125118285778E-2</v>
      </c>
      <c r="L1315" s="312">
        <v>39.839285714285715</v>
      </c>
      <c r="M1315" s="311">
        <v>2.1646228481808878E-2</v>
      </c>
      <c r="N1315" s="312">
        <v>159.35714285714286</v>
      </c>
      <c r="O1315" s="311">
        <v>8.658491392723551E-2</v>
      </c>
      <c r="P1315" s="312">
        <v>1840.4723828802776</v>
      </c>
      <c r="Q1315" s="311">
        <v>5.0132668972857237E-2</v>
      </c>
      <c r="R1315" s="326"/>
    </row>
    <row r="1316" spans="1:18">
      <c r="A1316" s="313" t="s">
        <v>308</v>
      </c>
      <c r="B1316" s="312">
        <v>172.32347899142997</v>
      </c>
      <c r="C1316" s="311">
        <v>5.7552598943872546E-2</v>
      </c>
      <c r="D1316" s="312">
        <v>1587.6290661765925</v>
      </c>
      <c r="E1316" s="311">
        <v>0.53023638712540422</v>
      </c>
      <c r="F1316" s="312">
        <v>399.62217219510251</v>
      </c>
      <c r="G1316" s="311">
        <v>0.13346582102470037</v>
      </c>
      <c r="H1316" s="312">
        <v>159.35221249845927</v>
      </c>
      <c r="I1316" s="311">
        <v>5.3220455102340879E-2</v>
      </c>
      <c r="J1316" s="312">
        <v>185.50202668910828</v>
      </c>
      <c r="K1316" s="311">
        <v>6.1953970566278646E-2</v>
      </c>
      <c r="L1316" s="312">
        <v>103.88475286577101</v>
      </c>
      <c r="M1316" s="311">
        <v>3.4695431830066369E-2</v>
      </c>
      <c r="N1316" s="312">
        <v>385.87738105863866</v>
      </c>
      <c r="O1316" s="311">
        <v>0.12887533540733689</v>
      </c>
      <c r="P1316" s="312">
        <v>2994.1910904751026</v>
      </c>
      <c r="Q1316" s="311">
        <v>8.1558839011403511E-2</v>
      </c>
      <c r="R1316" s="326"/>
    </row>
    <row r="1317" spans="1:18">
      <c r="A1317" s="313" t="s">
        <v>307</v>
      </c>
      <c r="B1317" s="312">
        <v>209.87549518958684</v>
      </c>
      <c r="C1317" s="311">
        <v>0.10221512415503736</v>
      </c>
      <c r="D1317" s="312">
        <v>1098.1295467407519</v>
      </c>
      <c r="E1317" s="311">
        <v>0.53481921677910127</v>
      </c>
      <c r="F1317" s="312">
        <v>270.71873231465759</v>
      </c>
      <c r="G1317" s="311">
        <v>0.13184744988756553</v>
      </c>
      <c r="H1317" s="312">
        <v>0</v>
      </c>
      <c r="I1317" s="311">
        <v>0</v>
      </c>
      <c r="J1317" s="312">
        <v>120.45614035087719</v>
      </c>
      <c r="K1317" s="311">
        <v>5.8665445101531849E-2</v>
      </c>
      <c r="L1317" s="312">
        <v>120.45614035087719</v>
      </c>
      <c r="M1317" s="311">
        <v>5.8665445101531849E-2</v>
      </c>
      <c r="N1317" s="312">
        <v>233.63636363636363</v>
      </c>
      <c r="O1317" s="311">
        <v>0.11378731897523238</v>
      </c>
      <c r="P1317" s="312">
        <v>2053.2724185831139</v>
      </c>
      <c r="Q1317" s="311">
        <v>5.5929133970939446E-2</v>
      </c>
      <c r="R1317" s="326"/>
    </row>
    <row r="1318" spans="1:18">
      <c r="A1318" s="313" t="s">
        <v>306</v>
      </c>
      <c r="B1318" s="312">
        <v>373.09952090592333</v>
      </c>
      <c r="C1318" s="311">
        <v>0.16462740952498403</v>
      </c>
      <c r="D1318" s="312">
        <v>1647.4409328476399</v>
      </c>
      <c r="E1318" s="311">
        <v>0.72692115085432252</v>
      </c>
      <c r="F1318" s="312">
        <v>195.19189895470382</v>
      </c>
      <c r="G1318" s="311">
        <v>8.6126984583499017E-2</v>
      </c>
      <c r="H1318" s="312">
        <v>8.8048780487804876</v>
      </c>
      <c r="I1318" s="311">
        <v>3.8850874448579736E-3</v>
      </c>
      <c r="J1318" s="312">
        <v>24.179878048780488</v>
      </c>
      <c r="K1318" s="311">
        <v>1.0669192702620702E-2</v>
      </c>
      <c r="L1318" s="312">
        <v>0</v>
      </c>
      <c r="M1318" s="311">
        <v>0</v>
      </c>
      <c r="N1318" s="312">
        <v>17.609756097560975</v>
      </c>
      <c r="O1318" s="311">
        <v>7.7701748897159471E-3</v>
      </c>
      <c r="P1318" s="312">
        <v>2266.3268649033885</v>
      </c>
      <c r="Q1318" s="311">
        <v>6.1732528865599219E-2</v>
      </c>
      <c r="R1318" s="326"/>
    </row>
    <row r="1319" spans="1:18">
      <c r="A1319" s="313" t="s">
        <v>305</v>
      </c>
      <c r="B1319" s="312">
        <v>2150.4250717829404</v>
      </c>
      <c r="C1319" s="311">
        <v>0.29160095811555659</v>
      </c>
      <c r="D1319" s="312">
        <v>4147.8930445494498</v>
      </c>
      <c r="E1319" s="311">
        <v>0.56246069757205663</v>
      </c>
      <c r="F1319" s="312">
        <v>404.54200706033532</v>
      </c>
      <c r="G1319" s="311">
        <v>5.4856520417601973E-2</v>
      </c>
      <c r="H1319" s="312">
        <v>0</v>
      </c>
      <c r="I1319" s="311">
        <v>0</v>
      </c>
      <c r="J1319" s="312">
        <v>164.59716071893723</v>
      </c>
      <c r="K1319" s="311">
        <v>2.2319628988025045E-2</v>
      </c>
      <c r="L1319" s="312">
        <v>23.727272727272727</v>
      </c>
      <c r="M1319" s="311">
        <v>3.2174547960442594E-3</v>
      </c>
      <c r="N1319" s="312">
        <v>483.36278923241667</v>
      </c>
      <c r="O1319" s="311">
        <v>6.5544740110715968E-2</v>
      </c>
      <c r="P1319" s="312">
        <v>7374.5473460713483</v>
      </c>
      <c r="Q1319" s="311">
        <v>0.20087546238899859</v>
      </c>
      <c r="R1319" s="326"/>
    </row>
    <row r="1320" spans="1:18" ht="28.5">
      <c r="A1320" s="313" t="s">
        <v>304</v>
      </c>
      <c r="B1320" s="312">
        <v>3323.1542913259877</v>
      </c>
      <c r="C1320" s="311">
        <v>0.27617642471070558</v>
      </c>
      <c r="D1320" s="312">
        <v>4960.9514086056643</v>
      </c>
      <c r="E1320" s="311">
        <v>0.41228835710952244</v>
      </c>
      <c r="F1320" s="312">
        <v>1098.5994087395629</v>
      </c>
      <c r="G1320" s="311">
        <v>9.1300984034034596E-2</v>
      </c>
      <c r="H1320" s="312">
        <v>53.876622385096958</v>
      </c>
      <c r="I1320" s="311">
        <v>4.4775089091237232E-3</v>
      </c>
      <c r="J1320" s="312">
        <v>971.29566771039822</v>
      </c>
      <c r="K1320" s="311">
        <v>8.0721188764973043E-2</v>
      </c>
      <c r="L1320" s="312">
        <v>248.91951878310789</v>
      </c>
      <c r="M1320" s="311">
        <v>2.068688261561202E-2</v>
      </c>
      <c r="N1320" s="312">
        <v>1375.9256249589835</v>
      </c>
      <c r="O1320" s="311">
        <v>0.11434865385602974</v>
      </c>
      <c r="P1320" s="312">
        <v>12032.722542508787</v>
      </c>
      <c r="Q1320" s="311">
        <v>0.32775960219614464</v>
      </c>
      <c r="R1320" s="326"/>
    </row>
    <row r="1321" spans="1:18" ht="28.5">
      <c r="A1321" s="313" t="s">
        <v>303</v>
      </c>
      <c r="B1321" s="312">
        <v>814.53092760448317</v>
      </c>
      <c r="C1321" s="311">
        <v>0.11054015583683681</v>
      </c>
      <c r="D1321" s="312">
        <v>4183.7979353508281</v>
      </c>
      <c r="E1321" s="311">
        <v>0.56778405839499901</v>
      </c>
      <c r="F1321" s="312">
        <v>1073.1651789611756</v>
      </c>
      <c r="G1321" s="311">
        <v>0.14563946205200212</v>
      </c>
      <c r="H1321" s="312">
        <v>115.19778256884557</v>
      </c>
      <c r="I1321" s="311">
        <v>1.5633514217401882E-2</v>
      </c>
      <c r="J1321" s="312">
        <v>404.27727591200556</v>
      </c>
      <c r="K1321" s="311">
        <v>5.4864550339462151E-2</v>
      </c>
      <c r="L1321" s="312">
        <v>77.616193166352403</v>
      </c>
      <c r="M1321" s="311">
        <v>1.0533309168877531E-2</v>
      </c>
      <c r="N1321" s="312">
        <v>700.05754430939999</v>
      </c>
      <c r="O1321" s="311">
        <v>9.5004949990420029E-2</v>
      </c>
      <c r="P1321" s="312">
        <v>7368.6428378730934</v>
      </c>
      <c r="Q1321" s="311">
        <v>0.20071462935629239</v>
      </c>
      <c r="R1321" s="326"/>
    </row>
    <row r="1322" spans="1:18" ht="15.75" thickBot="1">
      <c r="A1322" s="313" t="s">
        <v>302</v>
      </c>
      <c r="B1322" s="312">
        <v>86.308035714285708</v>
      </c>
      <c r="C1322" s="311">
        <v>0.11038792380970266</v>
      </c>
      <c r="D1322" s="312">
        <v>546.75</v>
      </c>
      <c r="E1322" s="311">
        <v>0.69929290874783545</v>
      </c>
      <c r="F1322" s="312">
        <v>0</v>
      </c>
      <c r="G1322" s="311">
        <v>0</v>
      </c>
      <c r="H1322" s="312">
        <v>0</v>
      </c>
      <c r="I1322" s="311">
        <v>0</v>
      </c>
      <c r="J1322" s="312">
        <v>75.888888888888886</v>
      </c>
      <c r="K1322" s="311">
        <v>9.7061841523095396E-2</v>
      </c>
      <c r="L1322" s="312">
        <v>6.7142857142857144</v>
      </c>
      <c r="M1322" s="311">
        <v>8.5875672378726946E-3</v>
      </c>
      <c r="N1322" s="312">
        <v>66.2</v>
      </c>
      <c r="O1322" s="311">
        <v>8.4669758681493762E-2</v>
      </c>
      <c r="P1322" s="312">
        <v>781.86121031746029</v>
      </c>
      <c r="Q1322" s="311">
        <v>2.1297135237759494E-2</v>
      </c>
      <c r="R1322" s="326"/>
    </row>
    <row r="1323" spans="1:18" ht="15.75" customHeight="1">
      <c r="A1323" s="316" t="s">
        <v>3</v>
      </c>
      <c r="B1323" s="315">
        <v>4312.8834491163816</v>
      </c>
      <c r="C1323" s="314">
        <v>0.17239543984049152</v>
      </c>
      <c r="D1323" s="315">
        <v>14323.607571108932</v>
      </c>
      <c r="E1323" s="314">
        <v>0.5725461066725166</v>
      </c>
      <c r="F1323" s="315">
        <v>2389.4319377548677</v>
      </c>
      <c r="G1323" s="314">
        <v>9.5510851322115731E-2</v>
      </c>
      <c r="H1323" s="315">
        <v>126.12808381209868</v>
      </c>
      <c r="I1323" s="314">
        <v>5.0416169927986346E-3</v>
      </c>
      <c r="J1323" s="315">
        <v>1320.8458789152132</v>
      </c>
      <c r="K1323" s="314">
        <v>5.2797115652114666E-2</v>
      </c>
      <c r="L1323" s="315">
        <v>426.01893772997016</v>
      </c>
      <c r="M1323" s="314">
        <v>1.7028914186258438E-2</v>
      </c>
      <c r="N1323" s="315">
        <v>2118.471220402057</v>
      </c>
      <c r="O1323" s="314">
        <v>8.467995533370147E-2</v>
      </c>
      <c r="P1323" s="315">
        <v>25017.387078839594</v>
      </c>
      <c r="Q1323" s="314">
        <v>1</v>
      </c>
      <c r="R1323" s="326"/>
    </row>
    <row r="1324" spans="1:18">
      <c r="A1324" s="313" t="s">
        <v>309</v>
      </c>
      <c r="B1324" s="312">
        <v>184.66143790849674</v>
      </c>
      <c r="C1324" s="311">
        <v>0.18183975597206462</v>
      </c>
      <c r="D1324" s="312">
        <v>612.54557338086749</v>
      </c>
      <c r="E1324" s="311">
        <v>0.6031856940296263</v>
      </c>
      <c r="F1324" s="312">
        <v>74.081639928698763</v>
      </c>
      <c r="G1324" s="311">
        <v>7.2949650339666869E-2</v>
      </c>
      <c r="H1324" s="312">
        <v>0</v>
      </c>
      <c r="I1324" s="311">
        <v>0</v>
      </c>
      <c r="J1324" s="312">
        <v>11.705882352941176</v>
      </c>
      <c r="K1324" s="311">
        <v>1.1527012973608926E-2</v>
      </c>
      <c r="L1324" s="312">
        <v>0</v>
      </c>
      <c r="M1324" s="311">
        <v>0</v>
      </c>
      <c r="N1324" s="312">
        <v>132.52287581699346</v>
      </c>
      <c r="O1324" s="311">
        <v>0.13049788668503326</v>
      </c>
      <c r="P1324" s="312">
        <v>1015.5174093879976</v>
      </c>
      <c r="Q1324" s="311">
        <v>4.059246499995E-2</v>
      </c>
      <c r="R1324" s="326"/>
    </row>
    <row r="1325" spans="1:18">
      <c r="A1325" s="313" t="s">
        <v>308</v>
      </c>
      <c r="B1325" s="312">
        <v>177.0831302097439</v>
      </c>
      <c r="C1325" s="311">
        <v>0.10299212090183135</v>
      </c>
      <c r="D1325" s="312">
        <v>987.72768900524488</v>
      </c>
      <c r="E1325" s="311">
        <v>0.57446561647980798</v>
      </c>
      <c r="F1325" s="312">
        <v>324.62385523557316</v>
      </c>
      <c r="G1325" s="311">
        <v>0.18880228346111014</v>
      </c>
      <c r="H1325" s="312">
        <v>82.090909090909093</v>
      </c>
      <c r="I1325" s="311">
        <v>4.7744338063247876E-2</v>
      </c>
      <c r="J1325" s="312">
        <v>36.669716028206594</v>
      </c>
      <c r="K1325" s="311">
        <v>2.1327225366637809E-2</v>
      </c>
      <c r="L1325" s="312">
        <v>59.378787878787882</v>
      </c>
      <c r="M1325" s="311">
        <v>3.4534894955678921E-2</v>
      </c>
      <c r="N1325" s="312">
        <v>51.811130169620739</v>
      </c>
      <c r="O1325" s="311">
        <v>3.0133520771683773E-2</v>
      </c>
      <c r="P1325" s="312">
        <v>1719.3852176180899</v>
      </c>
      <c r="Q1325" s="311">
        <v>6.8727609809914728E-2</v>
      </c>
      <c r="R1325" s="326"/>
    </row>
    <row r="1326" spans="1:18">
      <c r="A1326" s="313" t="s">
        <v>307</v>
      </c>
      <c r="B1326" s="312">
        <v>95.6640625</v>
      </c>
      <c r="C1326" s="311">
        <v>5.2466487480423159E-2</v>
      </c>
      <c r="D1326" s="312">
        <v>1031.9632523148148</v>
      </c>
      <c r="E1326" s="311">
        <v>0.56597520158452386</v>
      </c>
      <c r="F1326" s="312">
        <v>191.328125</v>
      </c>
      <c r="G1326" s="311">
        <v>0.10493297496084632</v>
      </c>
      <c r="H1326" s="312">
        <v>0</v>
      </c>
      <c r="I1326" s="311">
        <v>0</v>
      </c>
      <c r="J1326" s="312">
        <v>0</v>
      </c>
      <c r="K1326" s="311">
        <v>0</v>
      </c>
      <c r="L1326" s="312">
        <v>0</v>
      </c>
      <c r="M1326" s="311">
        <v>0</v>
      </c>
      <c r="N1326" s="312">
        <v>504.38107638888891</v>
      </c>
      <c r="O1326" s="311">
        <v>0.27662533597420658</v>
      </c>
      <c r="P1326" s="312">
        <v>1823.3365162037039</v>
      </c>
      <c r="Q1326" s="311">
        <v>7.2882771908099594E-2</v>
      </c>
      <c r="R1326" s="326"/>
    </row>
    <row r="1327" spans="1:18">
      <c r="A1327" s="313" t="s">
        <v>306</v>
      </c>
      <c r="B1327" s="312">
        <v>138.90351851851852</v>
      </c>
      <c r="C1327" s="311">
        <v>7.6118656394221718E-2</v>
      </c>
      <c r="D1327" s="312">
        <v>1291.8905465659836</v>
      </c>
      <c r="E1327" s="311">
        <v>0.70795163190836785</v>
      </c>
      <c r="F1327" s="312">
        <v>224.40902193455591</v>
      </c>
      <c r="G1327" s="311">
        <v>0.1229753818663888</v>
      </c>
      <c r="H1327" s="312">
        <v>0</v>
      </c>
      <c r="I1327" s="311">
        <v>0</v>
      </c>
      <c r="J1327" s="312">
        <v>72.19</v>
      </c>
      <c r="K1327" s="311">
        <v>3.9559874823230444E-2</v>
      </c>
      <c r="L1327" s="312">
        <v>37.888888888888886</v>
      </c>
      <c r="M1327" s="311">
        <v>2.0762982430194366E-2</v>
      </c>
      <c r="N1327" s="312">
        <v>59.546851851851855</v>
      </c>
      <c r="O1327" s="311">
        <v>3.2631472577596722E-2</v>
      </c>
      <c r="P1327" s="312">
        <v>1824.828827759799</v>
      </c>
      <c r="Q1327" s="311">
        <v>7.2942422884094485E-2</v>
      </c>
      <c r="R1327" s="326"/>
    </row>
    <row r="1328" spans="1:18">
      <c r="A1328" s="313" t="s">
        <v>305</v>
      </c>
      <c r="B1328" s="312">
        <v>1363.4624715043672</v>
      </c>
      <c r="C1328" s="311">
        <v>0.25713352892647601</v>
      </c>
      <c r="D1328" s="312">
        <v>3208.0049751720808</v>
      </c>
      <c r="E1328" s="311">
        <v>0.60499328534474228</v>
      </c>
      <c r="F1328" s="312">
        <v>268.14282111803743</v>
      </c>
      <c r="G1328" s="311">
        <v>5.056868912153327E-2</v>
      </c>
      <c r="H1328" s="312">
        <v>0</v>
      </c>
      <c r="I1328" s="311">
        <v>0</v>
      </c>
      <c r="J1328" s="312">
        <v>240.9531596452328</v>
      </c>
      <c r="K1328" s="311">
        <v>4.5441027927379078E-2</v>
      </c>
      <c r="L1328" s="312">
        <v>60.826063164477802</v>
      </c>
      <c r="M1328" s="311">
        <v>1.1471104338449563E-2</v>
      </c>
      <c r="N1328" s="312">
        <v>161.1569225251076</v>
      </c>
      <c r="O1328" s="311">
        <v>3.0392364341418454E-2</v>
      </c>
      <c r="P1328" s="312">
        <v>5302.5464131293111</v>
      </c>
      <c r="Q1328" s="311">
        <v>0.21195444577880612</v>
      </c>
      <c r="R1328" s="326"/>
    </row>
    <row r="1329" spans="1:46" ht="28.5">
      <c r="A1329" s="313" t="s">
        <v>304</v>
      </c>
      <c r="B1329" s="312">
        <v>1568.5999519433146</v>
      </c>
      <c r="C1329" s="311">
        <v>0.21066001499750184</v>
      </c>
      <c r="D1329" s="312">
        <v>3748.4019004690522</v>
      </c>
      <c r="E1329" s="311">
        <v>0.50340330534321631</v>
      </c>
      <c r="F1329" s="312">
        <v>752.51746523834743</v>
      </c>
      <c r="G1329" s="311">
        <v>0.10106167625250638</v>
      </c>
      <c r="H1329" s="312">
        <v>0</v>
      </c>
      <c r="I1329" s="311">
        <v>0</v>
      </c>
      <c r="J1329" s="312">
        <v>500.70008287229376</v>
      </c>
      <c r="K1329" s="311">
        <v>6.7243076755455308E-2</v>
      </c>
      <c r="L1329" s="312">
        <v>159.22439263265653</v>
      </c>
      <c r="M1329" s="311">
        <v>2.1383535616208968E-2</v>
      </c>
      <c r="N1329" s="312">
        <v>716.67716132125349</v>
      </c>
      <c r="O1329" s="311">
        <v>9.6248391035114705E-2</v>
      </c>
      <c r="P1329" s="312">
        <v>7446.1209544768917</v>
      </c>
      <c r="Q1329" s="311">
        <v>0.29763783607821415</v>
      </c>
      <c r="R1329" s="326"/>
    </row>
    <row r="1330" spans="1:46" ht="28.5">
      <c r="A1330" s="313" t="s">
        <v>303</v>
      </c>
      <c r="B1330" s="312">
        <v>784.50887653194013</v>
      </c>
      <c r="C1330" s="311">
        <v>0.14464775029014937</v>
      </c>
      <c r="D1330" s="312">
        <v>3092.2673261514142</v>
      </c>
      <c r="E1330" s="311">
        <v>0.57015226392448204</v>
      </c>
      <c r="F1330" s="312">
        <v>554.32900929965206</v>
      </c>
      <c r="G1330" s="311">
        <v>0.10220718530327227</v>
      </c>
      <c r="H1330" s="312">
        <v>44.037174721189594</v>
      </c>
      <c r="I1330" s="311">
        <v>8.1195744791486366E-3</v>
      </c>
      <c r="J1330" s="312">
        <v>420.41651170074897</v>
      </c>
      <c r="K1330" s="311">
        <v>7.7516398375474221E-2</v>
      </c>
      <c r="L1330" s="312">
        <v>108.70080516515937</v>
      </c>
      <c r="M1330" s="311">
        <v>2.0042254960040591E-2</v>
      </c>
      <c r="N1330" s="312">
        <v>419.32189350480928</v>
      </c>
      <c r="O1330" s="311">
        <v>7.7314572667434717E-2</v>
      </c>
      <c r="P1330" s="312">
        <v>5423.5815970749036</v>
      </c>
      <c r="Q1330" s="311">
        <v>0.21679248835951859</v>
      </c>
      <c r="R1330" s="326"/>
    </row>
    <row r="1331" spans="1:46" ht="15.75" thickBot="1">
      <c r="A1331" s="310" t="s">
        <v>302</v>
      </c>
      <c r="B1331" s="309">
        <v>0</v>
      </c>
      <c r="C1331" s="308">
        <v>0</v>
      </c>
      <c r="D1331" s="309">
        <v>350.80630804953557</v>
      </c>
      <c r="E1331" s="308">
        <v>0.75920574661790285</v>
      </c>
      <c r="F1331" s="309">
        <v>0</v>
      </c>
      <c r="G1331" s="308">
        <v>0</v>
      </c>
      <c r="H1331" s="309">
        <v>0</v>
      </c>
      <c r="I1331" s="308">
        <v>0</v>
      </c>
      <c r="J1331" s="309">
        <v>38.210526315789473</v>
      </c>
      <c r="K1331" s="308">
        <v>8.2694211861622693E-2</v>
      </c>
      <c r="L1331" s="309">
        <v>0</v>
      </c>
      <c r="M1331" s="308">
        <v>0</v>
      </c>
      <c r="N1331" s="309">
        <v>73.053308823529406</v>
      </c>
      <c r="O1331" s="308">
        <v>0.15810004152047427</v>
      </c>
      <c r="P1331" s="309">
        <v>462.07014318885456</v>
      </c>
      <c r="Q1331" s="308">
        <v>1.8469960181400655E-2</v>
      </c>
      <c r="R1331" s="326"/>
    </row>
    <row r="1335" spans="1:46" ht="15.75" thickBot="1"/>
    <row r="1336" spans="1:46" ht="15" customHeight="1">
      <c r="A1336" s="775" t="s">
        <v>310</v>
      </c>
      <c r="B1336" s="763" t="s">
        <v>348</v>
      </c>
      <c r="C1336" s="764"/>
      <c r="D1336" s="764"/>
      <c r="E1336" s="764"/>
      <c r="F1336" s="764"/>
      <c r="G1336" s="764"/>
      <c r="H1336" s="764"/>
      <c r="I1336" s="764"/>
      <c r="J1336" s="764"/>
      <c r="K1336" s="764"/>
      <c r="L1336" s="764"/>
      <c r="M1336" s="764"/>
      <c r="N1336" s="764"/>
      <c r="O1336" s="764"/>
      <c r="P1336" s="764"/>
      <c r="Q1336" s="764"/>
      <c r="R1336" s="764"/>
      <c r="S1336" s="764"/>
      <c r="T1336" s="764"/>
      <c r="U1336" s="764"/>
      <c r="V1336" s="764"/>
      <c r="W1336" s="764"/>
      <c r="X1336" s="764"/>
      <c r="Y1336" s="764"/>
      <c r="Z1336" s="764"/>
      <c r="AA1336" s="764"/>
      <c r="AB1336" s="764"/>
      <c r="AC1336" s="764"/>
      <c r="AD1336" s="764"/>
      <c r="AE1336" s="764"/>
      <c r="AF1336" s="764"/>
      <c r="AG1336" s="764"/>
      <c r="AH1336" s="764"/>
      <c r="AI1336" s="764"/>
      <c r="AJ1336" s="764"/>
      <c r="AK1336" s="764"/>
      <c r="AL1336" s="764"/>
      <c r="AM1336" s="764"/>
      <c r="AN1336" s="764"/>
      <c r="AO1336" s="764"/>
      <c r="AP1336" s="764"/>
      <c r="AQ1336" s="764"/>
      <c r="AR1336" s="764"/>
      <c r="AS1336" s="765"/>
      <c r="AT1336" s="307"/>
    </row>
    <row r="1337" spans="1:46" ht="93" customHeight="1">
      <c r="A1337" s="776"/>
      <c r="B1337" s="848" t="s">
        <v>117</v>
      </c>
      <c r="C1337" s="782"/>
      <c r="D1337" s="781" t="s">
        <v>116</v>
      </c>
      <c r="E1337" s="782"/>
      <c r="F1337" s="781" t="s">
        <v>115</v>
      </c>
      <c r="G1337" s="782"/>
      <c r="H1337" s="781" t="s">
        <v>114</v>
      </c>
      <c r="I1337" s="782"/>
      <c r="J1337" s="779" t="s">
        <v>113</v>
      </c>
      <c r="K1337" s="780"/>
      <c r="L1337" s="781" t="s">
        <v>112</v>
      </c>
      <c r="M1337" s="782"/>
      <c r="N1337" s="779" t="s">
        <v>111</v>
      </c>
      <c r="O1337" s="780"/>
      <c r="P1337" s="781" t="s">
        <v>110</v>
      </c>
      <c r="Q1337" s="782"/>
      <c r="R1337" s="781" t="s">
        <v>109</v>
      </c>
      <c r="S1337" s="782"/>
      <c r="T1337" s="781" t="s">
        <v>108</v>
      </c>
      <c r="U1337" s="782"/>
      <c r="V1337" s="781" t="s">
        <v>107</v>
      </c>
      <c r="W1337" s="782"/>
      <c r="X1337" s="781" t="s">
        <v>106</v>
      </c>
      <c r="Y1337" s="782"/>
      <c r="Z1337" s="781" t="s">
        <v>105</v>
      </c>
      <c r="AA1337" s="782"/>
      <c r="AB1337" s="781" t="s">
        <v>104</v>
      </c>
      <c r="AC1337" s="782"/>
      <c r="AD1337" s="779" t="s">
        <v>103</v>
      </c>
      <c r="AE1337" s="780"/>
      <c r="AF1337" s="781" t="s">
        <v>102</v>
      </c>
      <c r="AG1337" s="782"/>
      <c r="AH1337" s="781" t="s">
        <v>101</v>
      </c>
      <c r="AI1337" s="782"/>
      <c r="AJ1337" s="781" t="s">
        <v>100</v>
      </c>
      <c r="AK1337" s="782"/>
      <c r="AL1337" s="781" t="s">
        <v>99</v>
      </c>
      <c r="AM1337" s="782"/>
      <c r="AN1337" s="779" t="s">
        <v>98</v>
      </c>
      <c r="AO1337" s="780"/>
      <c r="AP1337" s="781" t="s">
        <v>97</v>
      </c>
      <c r="AQ1337" s="782"/>
      <c r="AR1337" s="836" t="s">
        <v>9</v>
      </c>
      <c r="AS1337" s="876"/>
      <c r="AT1337" s="307"/>
    </row>
    <row r="1338" spans="1:46" ht="15.75" customHeight="1" thickBot="1">
      <c r="A1338" s="754"/>
      <c r="B1338" s="318" t="s">
        <v>7</v>
      </c>
      <c r="C1338" s="318" t="s">
        <v>8</v>
      </c>
      <c r="D1338" s="318" t="s">
        <v>7</v>
      </c>
      <c r="E1338" s="318" t="s">
        <v>8</v>
      </c>
      <c r="F1338" s="318" t="s">
        <v>7</v>
      </c>
      <c r="G1338" s="318" t="s">
        <v>8</v>
      </c>
      <c r="H1338" s="318" t="s">
        <v>7</v>
      </c>
      <c r="I1338" s="318" t="s">
        <v>8</v>
      </c>
      <c r="J1338" s="318" t="s">
        <v>7</v>
      </c>
      <c r="K1338" s="318" t="s">
        <v>8</v>
      </c>
      <c r="L1338" s="318" t="s">
        <v>7</v>
      </c>
      <c r="M1338" s="318" t="s">
        <v>8</v>
      </c>
      <c r="N1338" s="318" t="s">
        <v>7</v>
      </c>
      <c r="O1338" s="318" t="s">
        <v>8</v>
      </c>
      <c r="P1338" s="318" t="s">
        <v>7</v>
      </c>
      <c r="Q1338" s="318" t="s">
        <v>8</v>
      </c>
      <c r="R1338" s="318" t="s">
        <v>7</v>
      </c>
      <c r="S1338" s="318" t="s">
        <v>8</v>
      </c>
      <c r="T1338" s="318" t="s">
        <v>7</v>
      </c>
      <c r="U1338" s="318" t="s">
        <v>8</v>
      </c>
      <c r="V1338" s="318" t="s">
        <v>7</v>
      </c>
      <c r="W1338" s="318" t="s">
        <v>8</v>
      </c>
      <c r="X1338" s="318" t="s">
        <v>7</v>
      </c>
      <c r="Y1338" s="318" t="s">
        <v>8</v>
      </c>
      <c r="Z1338" s="318" t="s">
        <v>7</v>
      </c>
      <c r="AA1338" s="318" t="s">
        <v>8</v>
      </c>
      <c r="AB1338" s="318" t="s">
        <v>7</v>
      </c>
      <c r="AC1338" s="318" t="s">
        <v>8</v>
      </c>
      <c r="AD1338" s="318" t="s">
        <v>7</v>
      </c>
      <c r="AE1338" s="318" t="s">
        <v>8</v>
      </c>
      <c r="AF1338" s="318" t="s">
        <v>7</v>
      </c>
      <c r="AG1338" s="318" t="s">
        <v>8</v>
      </c>
      <c r="AH1338" s="318" t="s">
        <v>7</v>
      </c>
      <c r="AI1338" s="318" t="s">
        <v>8</v>
      </c>
      <c r="AJ1338" s="318" t="s">
        <v>7</v>
      </c>
      <c r="AK1338" s="318" t="s">
        <v>8</v>
      </c>
      <c r="AL1338" s="318" t="s">
        <v>7</v>
      </c>
      <c r="AM1338" s="318" t="s">
        <v>8</v>
      </c>
      <c r="AN1338" s="318" t="s">
        <v>7</v>
      </c>
      <c r="AO1338" s="318" t="s">
        <v>8</v>
      </c>
      <c r="AP1338" s="318" t="s">
        <v>7</v>
      </c>
      <c r="AQ1338" s="318" t="s">
        <v>8</v>
      </c>
      <c r="AR1338" s="318" t="s">
        <v>7</v>
      </c>
      <c r="AS1338" s="318" t="s">
        <v>6</v>
      </c>
      <c r="AT1338" s="307"/>
    </row>
    <row r="1339" spans="1:46" ht="15.75" customHeight="1">
      <c r="A1339" s="316" t="s">
        <v>5</v>
      </c>
      <c r="B1339" s="315">
        <v>1227.3132378</v>
      </c>
      <c r="C1339" s="314">
        <v>3.3155654019676635E-2</v>
      </c>
      <c r="D1339" s="315">
        <v>360.733114</v>
      </c>
      <c r="E1339" s="314">
        <v>9.7451424402981938E-3</v>
      </c>
      <c r="F1339" s="315">
        <v>2407.9630579999989</v>
      </c>
      <c r="G1339" s="314">
        <v>6.5050703915099997E-2</v>
      </c>
      <c r="H1339" s="315">
        <v>131.20686899999998</v>
      </c>
      <c r="I1339" s="314">
        <v>3.5445307844694995E-3</v>
      </c>
      <c r="J1339" s="315">
        <v>317.60757100000001</v>
      </c>
      <c r="K1339" s="314">
        <v>8.5801133840796278E-3</v>
      </c>
      <c r="L1339" s="315">
        <v>1317.5009340000004</v>
      </c>
      <c r="M1339" s="314">
        <v>3.5592058973149647E-2</v>
      </c>
      <c r="N1339" s="315">
        <v>5590.9845805000059</v>
      </c>
      <c r="O1339" s="314">
        <v>0.15103947767457634</v>
      </c>
      <c r="P1339" s="315">
        <v>827.08721899999989</v>
      </c>
      <c r="Q1339" s="314">
        <v>2.2343617613394665E-2</v>
      </c>
      <c r="R1339" s="315">
        <v>921.65840400000002</v>
      </c>
      <c r="S1339" s="314">
        <v>2.4898441755690604E-2</v>
      </c>
      <c r="T1339" s="315">
        <v>1971.1819110000004</v>
      </c>
      <c r="U1339" s="314">
        <v>5.3251137067594524E-2</v>
      </c>
      <c r="V1339" s="315">
        <v>2323.2418794999994</v>
      </c>
      <c r="W1339" s="314">
        <v>6.2761975988136168E-2</v>
      </c>
      <c r="X1339" s="315">
        <v>267.42089199999998</v>
      </c>
      <c r="Y1339" s="314">
        <v>7.224328964852391E-3</v>
      </c>
      <c r="Z1339" s="315">
        <v>9290.7842307999981</v>
      </c>
      <c r="AA1339" s="314">
        <v>0.25098892282792279</v>
      </c>
      <c r="AB1339" s="315">
        <v>609.17219299999999</v>
      </c>
      <c r="AC1339" s="314">
        <v>1.6456681022784681E-2</v>
      </c>
      <c r="AD1339" s="315">
        <v>734.27664600000003</v>
      </c>
      <c r="AE1339" s="314">
        <v>1.9836356098582104E-2</v>
      </c>
      <c r="AF1339" s="315">
        <v>4018.6635239999987</v>
      </c>
      <c r="AG1339" s="314">
        <v>0.1085634973367338</v>
      </c>
      <c r="AH1339" s="315">
        <v>2598.056853</v>
      </c>
      <c r="AI1339" s="314">
        <v>7.018605478087013E-2</v>
      </c>
      <c r="AJ1339" s="315">
        <v>954.13191899999993</v>
      </c>
      <c r="AK1339" s="314">
        <v>2.5775708125010274E-2</v>
      </c>
      <c r="AL1339" s="315">
        <v>1005.7630584999999</v>
      </c>
      <c r="AM1339" s="314">
        <v>2.7170514393842052E-2</v>
      </c>
      <c r="AN1339" s="315">
        <v>87.698993000000002</v>
      </c>
      <c r="AO1339" s="314">
        <v>2.3691730686407524E-3</v>
      </c>
      <c r="AP1339" s="315">
        <v>54.263157</v>
      </c>
      <c r="AQ1339" s="314">
        <v>1.4659097645947302E-3</v>
      </c>
      <c r="AR1339" s="315">
        <v>37016.710244100017</v>
      </c>
      <c r="AS1339" s="314">
        <v>1</v>
      </c>
      <c r="AT1339" s="307"/>
    </row>
    <row r="1340" spans="1:46">
      <c r="A1340" s="313" t="s">
        <v>309</v>
      </c>
      <c r="B1340" s="312">
        <v>348.07181780000008</v>
      </c>
      <c r="C1340" s="311">
        <v>0.26629079696002378</v>
      </c>
      <c r="D1340" s="312">
        <v>0</v>
      </c>
      <c r="E1340" s="311">
        <v>0</v>
      </c>
      <c r="F1340" s="312">
        <v>63.328198999999998</v>
      </c>
      <c r="G1340" s="311">
        <v>4.8448957138617778E-2</v>
      </c>
      <c r="H1340" s="312">
        <v>0</v>
      </c>
      <c r="I1340" s="311">
        <v>0</v>
      </c>
      <c r="J1340" s="312">
        <v>52.237290000000002</v>
      </c>
      <c r="K1340" s="311">
        <v>3.9963906509445299E-2</v>
      </c>
      <c r="L1340" s="312">
        <v>0</v>
      </c>
      <c r="M1340" s="311">
        <v>0</v>
      </c>
      <c r="N1340" s="312">
        <v>213.58543499999999</v>
      </c>
      <c r="O1340" s="311">
        <v>0.16340258761737458</v>
      </c>
      <c r="P1340" s="312">
        <v>114.14124700000001</v>
      </c>
      <c r="Q1340" s="311">
        <v>8.7323253636999623E-2</v>
      </c>
      <c r="R1340" s="312">
        <v>0</v>
      </c>
      <c r="S1340" s="311">
        <v>0</v>
      </c>
      <c r="T1340" s="312">
        <v>0</v>
      </c>
      <c r="U1340" s="311">
        <v>0</v>
      </c>
      <c r="V1340" s="312">
        <v>0</v>
      </c>
      <c r="W1340" s="311">
        <v>0</v>
      </c>
      <c r="X1340" s="312">
        <v>47.206898000000002</v>
      </c>
      <c r="Y1340" s="311">
        <v>3.6115427470929683E-2</v>
      </c>
      <c r="Z1340" s="312">
        <v>369.09663080000007</v>
      </c>
      <c r="AA1340" s="311">
        <v>0.28237573668623411</v>
      </c>
      <c r="AB1340" s="312">
        <v>0</v>
      </c>
      <c r="AC1340" s="311">
        <v>0</v>
      </c>
      <c r="AD1340" s="312">
        <v>0</v>
      </c>
      <c r="AE1340" s="311">
        <v>0</v>
      </c>
      <c r="AF1340" s="312">
        <v>52.237290000000002</v>
      </c>
      <c r="AG1340" s="311">
        <v>3.9963906509445299E-2</v>
      </c>
      <c r="AH1340" s="312">
        <v>47.206898000000002</v>
      </c>
      <c r="AI1340" s="311">
        <v>3.6115427470929683E-2</v>
      </c>
      <c r="AJ1340" s="312">
        <v>0</v>
      </c>
      <c r="AK1340" s="311">
        <v>0</v>
      </c>
      <c r="AL1340" s="312">
        <v>0</v>
      </c>
      <c r="AM1340" s="311">
        <v>0</v>
      </c>
      <c r="AN1340" s="312">
        <v>0</v>
      </c>
      <c r="AO1340" s="311">
        <v>0</v>
      </c>
      <c r="AP1340" s="312">
        <v>0</v>
      </c>
      <c r="AQ1340" s="311">
        <v>0</v>
      </c>
      <c r="AR1340" s="312">
        <v>1307.1117056000003</v>
      </c>
      <c r="AS1340" s="311">
        <v>3.5311395771814622E-2</v>
      </c>
      <c r="AT1340" s="307"/>
    </row>
    <row r="1341" spans="1:46">
      <c r="A1341" s="313" t="s">
        <v>308</v>
      </c>
      <c r="B1341" s="312">
        <v>69.460000000000008</v>
      </c>
      <c r="C1341" s="311">
        <v>2.4741977128507057E-2</v>
      </c>
      <c r="D1341" s="312">
        <v>0</v>
      </c>
      <c r="E1341" s="311">
        <v>0</v>
      </c>
      <c r="F1341" s="312">
        <v>261.93310199999996</v>
      </c>
      <c r="G1341" s="311">
        <v>9.3301796989388189E-2</v>
      </c>
      <c r="H1341" s="312">
        <v>0</v>
      </c>
      <c r="I1341" s="311">
        <v>0</v>
      </c>
      <c r="J1341" s="312">
        <v>0</v>
      </c>
      <c r="K1341" s="311">
        <v>0</v>
      </c>
      <c r="L1341" s="312">
        <v>40.355556</v>
      </c>
      <c r="M1341" s="311">
        <v>1.4374837943567314E-2</v>
      </c>
      <c r="N1341" s="312">
        <v>162.733678</v>
      </c>
      <c r="O1341" s="311">
        <v>5.7966497827725762E-2</v>
      </c>
      <c r="P1341" s="312">
        <v>0</v>
      </c>
      <c r="Q1341" s="311">
        <v>0</v>
      </c>
      <c r="R1341" s="312">
        <v>0</v>
      </c>
      <c r="S1341" s="311">
        <v>0</v>
      </c>
      <c r="T1341" s="312">
        <v>129.65239700000001</v>
      </c>
      <c r="U1341" s="311">
        <v>4.6182790688599429E-2</v>
      </c>
      <c r="V1341" s="312">
        <v>0</v>
      </c>
      <c r="W1341" s="311">
        <v>0</v>
      </c>
      <c r="X1341" s="312">
        <v>0</v>
      </c>
      <c r="Y1341" s="311">
        <v>0</v>
      </c>
      <c r="Z1341" s="312">
        <v>1084.4285960000002</v>
      </c>
      <c r="AA1341" s="311">
        <v>0.38627854189074312</v>
      </c>
      <c r="AB1341" s="312">
        <v>130.66432900000001</v>
      </c>
      <c r="AC1341" s="311">
        <v>4.6543245603652771E-2</v>
      </c>
      <c r="AD1341" s="312">
        <v>18.258823</v>
      </c>
      <c r="AE1341" s="311">
        <v>6.5038782185352509E-3</v>
      </c>
      <c r="AF1341" s="312">
        <v>248.72702000000001</v>
      </c>
      <c r="AG1341" s="311">
        <v>8.8597728765933151E-2</v>
      </c>
      <c r="AH1341" s="312">
        <v>0</v>
      </c>
      <c r="AI1341" s="311">
        <v>0</v>
      </c>
      <c r="AJ1341" s="312">
        <v>563.94713799999988</v>
      </c>
      <c r="AK1341" s="311">
        <v>0.20088061028049251</v>
      </c>
      <c r="AL1341" s="312">
        <v>90.308773000000002</v>
      </c>
      <c r="AM1341" s="311">
        <v>3.2168407660085448E-2</v>
      </c>
      <c r="AN1341" s="312">
        <v>6.9052629999999997</v>
      </c>
      <c r="AO1341" s="311">
        <v>2.459687002768874E-3</v>
      </c>
      <c r="AP1341" s="312">
        <v>0</v>
      </c>
      <c r="AQ1341" s="311">
        <v>0</v>
      </c>
      <c r="AR1341" s="312">
        <v>2807.3746750000032</v>
      </c>
      <c r="AS1341" s="311">
        <v>7.5840739398160384E-2</v>
      </c>
      <c r="AT1341" s="307"/>
    </row>
    <row r="1342" spans="1:46">
      <c r="A1342" s="313" t="s">
        <v>307</v>
      </c>
      <c r="B1342" s="312">
        <v>61.692307</v>
      </c>
      <c r="C1342" s="311">
        <v>2.6057084683478098E-2</v>
      </c>
      <c r="D1342" s="312">
        <v>0</v>
      </c>
      <c r="E1342" s="311">
        <v>0</v>
      </c>
      <c r="F1342" s="312">
        <v>123.384614</v>
      </c>
      <c r="G1342" s="311">
        <v>5.2114169366956196E-2</v>
      </c>
      <c r="H1342" s="312">
        <v>0</v>
      </c>
      <c r="I1342" s="311">
        <v>0</v>
      </c>
      <c r="J1342" s="312">
        <v>0</v>
      </c>
      <c r="K1342" s="311">
        <v>0</v>
      </c>
      <c r="L1342" s="312">
        <v>0</v>
      </c>
      <c r="M1342" s="311">
        <v>0</v>
      </c>
      <c r="N1342" s="312">
        <v>99.101029999999994</v>
      </c>
      <c r="O1342" s="311">
        <v>4.18574706718279E-2</v>
      </c>
      <c r="P1342" s="312">
        <v>89.726029999999994</v>
      </c>
      <c r="Q1342" s="311">
        <v>3.7897735969288623E-2</v>
      </c>
      <c r="R1342" s="312">
        <v>0</v>
      </c>
      <c r="S1342" s="311">
        <v>0</v>
      </c>
      <c r="T1342" s="312">
        <v>0</v>
      </c>
      <c r="U1342" s="311">
        <v>0</v>
      </c>
      <c r="V1342" s="312">
        <v>124.56470400000001</v>
      </c>
      <c r="W1342" s="311">
        <v>5.2612605988302287E-2</v>
      </c>
      <c r="X1342" s="312">
        <v>0</v>
      </c>
      <c r="Y1342" s="311">
        <v>0</v>
      </c>
      <c r="Z1342" s="312">
        <v>0</v>
      </c>
      <c r="AA1342" s="311">
        <v>0</v>
      </c>
      <c r="AB1342" s="312">
        <v>9.375</v>
      </c>
      <c r="AC1342" s="311">
        <v>3.959734702539284E-3</v>
      </c>
      <c r="AD1342" s="312">
        <v>241.14436699999999</v>
      </c>
      <c r="AE1342" s="311">
        <v>0.10185255662205535</v>
      </c>
      <c r="AF1342" s="312">
        <v>1618.594805</v>
      </c>
      <c r="AG1342" s="311">
        <v>0.68364864199555242</v>
      </c>
      <c r="AH1342" s="312">
        <v>0</v>
      </c>
      <c r="AI1342" s="311">
        <v>0</v>
      </c>
      <c r="AJ1342" s="312">
        <v>0</v>
      </c>
      <c r="AK1342" s="311">
        <v>0</v>
      </c>
      <c r="AL1342" s="312">
        <v>0</v>
      </c>
      <c r="AM1342" s="311">
        <v>0</v>
      </c>
      <c r="AN1342" s="312">
        <v>0</v>
      </c>
      <c r="AO1342" s="311">
        <v>0</v>
      </c>
      <c r="AP1342" s="312">
        <v>0</v>
      </c>
      <c r="AQ1342" s="311">
        <v>0</v>
      </c>
      <c r="AR1342" s="312">
        <v>2367.5828569999994</v>
      </c>
      <c r="AS1342" s="311">
        <v>6.3959839796335266E-2</v>
      </c>
      <c r="AT1342" s="307"/>
    </row>
    <row r="1343" spans="1:46">
      <c r="A1343" s="313" t="s">
        <v>306</v>
      </c>
      <c r="B1343" s="312">
        <v>0</v>
      </c>
      <c r="C1343" s="311">
        <v>0</v>
      </c>
      <c r="D1343" s="312">
        <v>71.671639999999996</v>
      </c>
      <c r="E1343" s="311">
        <v>3.4579135788606837E-2</v>
      </c>
      <c r="F1343" s="312">
        <v>59.68421</v>
      </c>
      <c r="G1343" s="311">
        <v>2.8795607328445754E-2</v>
      </c>
      <c r="H1343" s="312">
        <v>0</v>
      </c>
      <c r="I1343" s="311">
        <v>0</v>
      </c>
      <c r="J1343" s="312">
        <v>0</v>
      </c>
      <c r="K1343" s="311">
        <v>0</v>
      </c>
      <c r="L1343" s="312">
        <v>0</v>
      </c>
      <c r="M1343" s="311">
        <v>0</v>
      </c>
      <c r="N1343" s="312">
        <v>305.09451949999999</v>
      </c>
      <c r="O1343" s="311">
        <v>0.14719775936688842</v>
      </c>
      <c r="P1343" s="312">
        <v>131.35585</v>
      </c>
      <c r="Q1343" s="311">
        <v>6.3374743117052587E-2</v>
      </c>
      <c r="R1343" s="312">
        <v>0</v>
      </c>
      <c r="S1343" s="311">
        <v>0</v>
      </c>
      <c r="T1343" s="312">
        <v>0</v>
      </c>
      <c r="U1343" s="311">
        <v>0</v>
      </c>
      <c r="V1343" s="312">
        <v>55.3877515</v>
      </c>
      <c r="W1343" s="311">
        <v>2.6722711802661583E-2</v>
      </c>
      <c r="X1343" s="312">
        <v>0</v>
      </c>
      <c r="Y1343" s="311">
        <v>0</v>
      </c>
      <c r="Z1343" s="312">
        <v>101.67164</v>
      </c>
      <c r="AA1343" s="311">
        <v>4.9053118435832495E-2</v>
      </c>
      <c r="AB1343" s="312">
        <v>59.68421</v>
      </c>
      <c r="AC1343" s="311">
        <v>2.8795607328445754E-2</v>
      </c>
      <c r="AD1343" s="312">
        <v>0</v>
      </c>
      <c r="AE1343" s="311">
        <v>0</v>
      </c>
      <c r="AF1343" s="312">
        <v>0</v>
      </c>
      <c r="AG1343" s="311">
        <v>0</v>
      </c>
      <c r="AH1343" s="312">
        <v>1221.8762120000001</v>
      </c>
      <c r="AI1343" s="311">
        <v>0.58951383631819443</v>
      </c>
      <c r="AJ1343" s="312">
        <v>30</v>
      </c>
      <c r="AK1343" s="311">
        <v>1.4473982647225667E-2</v>
      </c>
      <c r="AL1343" s="312">
        <v>36.258502499999999</v>
      </c>
      <c r="AM1343" s="311">
        <v>1.7493497866646283E-2</v>
      </c>
      <c r="AN1343" s="312">
        <v>0</v>
      </c>
      <c r="AO1343" s="311">
        <v>0</v>
      </c>
      <c r="AP1343" s="312">
        <v>0</v>
      </c>
      <c r="AQ1343" s="311">
        <v>0</v>
      </c>
      <c r="AR1343" s="312">
        <v>2072.6845355000005</v>
      </c>
      <c r="AS1343" s="311">
        <v>5.5993212844470952E-2</v>
      </c>
      <c r="AT1343" s="307"/>
    </row>
    <row r="1344" spans="1:46">
      <c r="A1344" s="313" t="s">
        <v>305</v>
      </c>
      <c r="B1344" s="312">
        <v>0</v>
      </c>
      <c r="C1344" s="311">
        <v>0</v>
      </c>
      <c r="D1344" s="312">
        <v>0</v>
      </c>
      <c r="E1344" s="311">
        <v>0</v>
      </c>
      <c r="F1344" s="312">
        <v>171.42733699999999</v>
      </c>
      <c r="G1344" s="311">
        <v>2.5096146671604477E-2</v>
      </c>
      <c r="H1344" s="312">
        <v>0</v>
      </c>
      <c r="I1344" s="311">
        <v>0</v>
      </c>
      <c r="J1344" s="312">
        <v>0</v>
      </c>
      <c r="K1344" s="311">
        <v>0</v>
      </c>
      <c r="L1344" s="312">
        <v>0</v>
      </c>
      <c r="M1344" s="311">
        <v>0</v>
      </c>
      <c r="N1344" s="312">
        <v>110.8056</v>
      </c>
      <c r="O1344" s="311">
        <v>1.6221412747227926E-2</v>
      </c>
      <c r="P1344" s="312">
        <v>5.7886179999999996</v>
      </c>
      <c r="Q1344" s="311">
        <v>8.4742613923874789E-4</v>
      </c>
      <c r="R1344" s="312">
        <v>68.924790000000002</v>
      </c>
      <c r="S1344" s="311">
        <v>1.0090261386662837E-2</v>
      </c>
      <c r="T1344" s="312">
        <v>589.08554099999992</v>
      </c>
      <c r="U1344" s="311">
        <v>8.6239320972812353E-2</v>
      </c>
      <c r="V1344" s="312">
        <v>872.86874799999987</v>
      </c>
      <c r="W1344" s="311">
        <v>0.12778383254514281</v>
      </c>
      <c r="X1344" s="312">
        <v>0</v>
      </c>
      <c r="Y1344" s="311">
        <v>0</v>
      </c>
      <c r="Z1344" s="312">
        <v>3056.3261469999993</v>
      </c>
      <c r="AA1344" s="311">
        <v>0.44743160923844821</v>
      </c>
      <c r="AB1344" s="312">
        <v>5.7886179999999996</v>
      </c>
      <c r="AC1344" s="311">
        <v>8.4742613923874789E-4</v>
      </c>
      <c r="AD1344" s="312">
        <v>54.263157</v>
      </c>
      <c r="AE1344" s="311">
        <v>7.9438680595983434E-3</v>
      </c>
      <c r="AF1344" s="312">
        <v>700.60613000000001</v>
      </c>
      <c r="AG1344" s="311">
        <v>0.1025654047084987</v>
      </c>
      <c r="AH1344" s="312">
        <v>668.43361599999992</v>
      </c>
      <c r="AI1344" s="311">
        <v>9.7855501700799014E-2</v>
      </c>
      <c r="AJ1344" s="312">
        <v>177.62630100000001</v>
      </c>
      <c r="AK1344" s="311">
        <v>2.6003645513262365E-2</v>
      </c>
      <c r="AL1344" s="312">
        <v>294.61528399999997</v>
      </c>
      <c r="AM1344" s="311">
        <v>4.3130276117865657E-2</v>
      </c>
      <c r="AN1344" s="312">
        <v>0</v>
      </c>
      <c r="AO1344" s="311">
        <v>0</v>
      </c>
      <c r="AP1344" s="312">
        <v>54.263157</v>
      </c>
      <c r="AQ1344" s="311">
        <v>7.9438680595983434E-3</v>
      </c>
      <c r="AR1344" s="312">
        <v>6830.8230440000088</v>
      </c>
      <c r="AS1344" s="311">
        <v>0.18453349849177247</v>
      </c>
      <c r="AT1344" s="307"/>
    </row>
    <row r="1345" spans="1:46" ht="28.5">
      <c r="A1345" s="313" t="s">
        <v>304</v>
      </c>
      <c r="B1345" s="312">
        <v>349.64321699999994</v>
      </c>
      <c r="C1345" s="311">
        <v>2.7711134770046636E-2</v>
      </c>
      <c r="D1345" s="312">
        <v>8.7419360000000008</v>
      </c>
      <c r="E1345" s="311">
        <v>6.9284617824324167E-4</v>
      </c>
      <c r="F1345" s="312">
        <v>911.97127799999998</v>
      </c>
      <c r="G1345" s="311">
        <v>7.2278705155231618E-2</v>
      </c>
      <c r="H1345" s="312">
        <v>80.793729999999996</v>
      </c>
      <c r="I1345" s="311">
        <v>6.4033444143855945E-3</v>
      </c>
      <c r="J1345" s="312">
        <v>85.103050999999994</v>
      </c>
      <c r="K1345" s="311">
        <v>6.7448816420286857E-3</v>
      </c>
      <c r="L1345" s="312">
        <v>255.31635</v>
      </c>
      <c r="M1345" s="311">
        <v>2.0235215327647545E-2</v>
      </c>
      <c r="N1345" s="312">
        <v>3419.2613190000006</v>
      </c>
      <c r="O1345" s="311">
        <v>0.27099513623573729</v>
      </c>
      <c r="P1345" s="312">
        <v>203.06948</v>
      </c>
      <c r="Q1345" s="311">
        <v>1.6094365497052645E-2</v>
      </c>
      <c r="R1345" s="312">
        <v>613.96424200000001</v>
      </c>
      <c r="S1345" s="311">
        <v>4.8660019776821606E-2</v>
      </c>
      <c r="T1345" s="312">
        <v>309.65317300000004</v>
      </c>
      <c r="U1345" s="311">
        <v>2.4541705349243395E-2</v>
      </c>
      <c r="V1345" s="312">
        <v>1139.3833249999998</v>
      </c>
      <c r="W1345" s="311">
        <v>9.030235205111628E-2</v>
      </c>
      <c r="X1345" s="312">
        <v>108.718604</v>
      </c>
      <c r="Y1345" s="311">
        <v>8.6165432102614809E-3</v>
      </c>
      <c r="Z1345" s="312">
        <v>3130.5723620000008</v>
      </c>
      <c r="AA1345" s="311">
        <v>0.24811495951533147</v>
      </c>
      <c r="AB1345" s="312">
        <v>329.25514400000009</v>
      </c>
      <c r="AC1345" s="311">
        <v>2.6095268620970034E-2</v>
      </c>
      <c r="AD1345" s="312">
        <v>302.88335499999999</v>
      </c>
      <c r="AE1345" s="311">
        <v>2.4005160294612207E-2</v>
      </c>
      <c r="AF1345" s="312">
        <v>547.28269799999998</v>
      </c>
      <c r="AG1345" s="311">
        <v>4.3375143186583635E-2</v>
      </c>
      <c r="AH1345" s="312">
        <v>490.88276399999995</v>
      </c>
      <c r="AI1345" s="311">
        <v>3.8905140349103348E-2</v>
      </c>
      <c r="AJ1345" s="312">
        <v>0</v>
      </c>
      <c r="AK1345" s="311">
        <v>0</v>
      </c>
      <c r="AL1345" s="312">
        <v>250.13713199999989</v>
      </c>
      <c r="AM1345" s="311">
        <v>1.9824734011199031E-2</v>
      </c>
      <c r="AN1345" s="312">
        <v>80.793729999999996</v>
      </c>
      <c r="AO1345" s="311">
        <v>6.4033444143855945E-3</v>
      </c>
      <c r="AP1345" s="312">
        <v>0</v>
      </c>
      <c r="AQ1345" s="311">
        <v>0</v>
      </c>
      <c r="AR1345" s="312">
        <v>12617.426889999984</v>
      </c>
      <c r="AS1345" s="311">
        <v>0.34085759665828319</v>
      </c>
      <c r="AT1345" s="307"/>
    </row>
    <row r="1346" spans="1:46" ht="28.5">
      <c r="A1346" s="313" t="s">
        <v>303</v>
      </c>
      <c r="B1346" s="312">
        <v>398.44589600000006</v>
      </c>
      <c r="C1346" s="311">
        <v>4.6345568000524924E-2</v>
      </c>
      <c r="D1346" s="312">
        <v>280.31953800000002</v>
      </c>
      <c r="E1346" s="311">
        <v>3.2605601765954013E-2</v>
      </c>
      <c r="F1346" s="312">
        <v>816.23431800000014</v>
      </c>
      <c r="G1346" s="311">
        <v>9.494097810768036E-2</v>
      </c>
      <c r="H1346" s="312">
        <v>50.413139000000001</v>
      </c>
      <c r="I1346" s="311">
        <v>5.8638464722558341E-3</v>
      </c>
      <c r="J1346" s="312">
        <v>180.26723000000001</v>
      </c>
      <c r="K1346" s="311">
        <v>2.0967933790015159E-2</v>
      </c>
      <c r="L1346" s="312">
        <v>1021.829028</v>
      </c>
      <c r="M1346" s="311">
        <v>0.11885489893986581</v>
      </c>
      <c r="N1346" s="312">
        <v>1068.7780069999999</v>
      </c>
      <c r="O1346" s="311">
        <v>0.12431580874128013</v>
      </c>
      <c r="P1346" s="312">
        <v>283.00599400000004</v>
      </c>
      <c r="Q1346" s="311">
        <v>3.2918079144886335E-2</v>
      </c>
      <c r="R1346" s="312">
        <v>238.769372</v>
      </c>
      <c r="S1346" s="311">
        <v>2.7772659418905471E-2</v>
      </c>
      <c r="T1346" s="312">
        <v>942.79079999999988</v>
      </c>
      <c r="U1346" s="311">
        <v>0.10966150127361152</v>
      </c>
      <c r="V1346" s="312">
        <v>131.037351</v>
      </c>
      <c r="W1346" s="311">
        <v>1.524171919536888E-2</v>
      </c>
      <c r="X1346" s="312">
        <v>111.49539000000001</v>
      </c>
      <c r="Y1346" s="311">
        <v>1.2968679639732181E-2</v>
      </c>
      <c r="Z1346" s="312">
        <v>1548.6888550000008</v>
      </c>
      <c r="AA1346" s="311">
        <v>0.18013704084194562</v>
      </c>
      <c r="AB1346" s="312">
        <v>74.40489199999999</v>
      </c>
      <c r="AC1346" s="311">
        <v>8.6544673100553467E-3</v>
      </c>
      <c r="AD1346" s="312">
        <v>117.726944</v>
      </c>
      <c r="AE1346" s="311">
        <v>1.3693508060743056E-2</v>
      </c>
      <c r="AF1346" s="312">
        <v>646.415571</v>
      </c>
      <c r="AG1346" s="311">
        <v>7.5188368366024383E-2</v>
      </c>
      <c r="AH1346" s="312">
        <v>169.65736300000003</v>
      </c>
      <c r="AI1346" s="311">
        <v>1.9733838226573781E-2</v>
      </c>
      <c r="AJ1346" s="312">
        <v>182.55848</v>
      </c>
      <c r="AK1346" s="311">
        <v>2.1234442452162862E-2</v>
      </c>
      <c r="AL1346" s="312">
        <v>334.44336700000008</v>
      </c>
      <c r="AM1346" s="311">
        <v>3.8901060252413827E-2</v>
      </c>
      <c r="AN1346" s="312">
        <v>0</v>
      </c>
      <c r="AO1346" s="311">
        <v>0</v>
      </c>
      <c r="AP1346" s="312">
        <v>0</v>
      </c>
      <c r="AQ1346" s="311">
        <v>0</v>
      </c>
      <c r="AR1346" s="312">
        <v>8597.2815350000055</v>
      </c>
      <c r="AS1346" s="311">
        <v>0.23225406791437661</v>
      </c>
      <c r="AT1346" s="307"/>
    </row>
    <row r="1347" spans="1:46" ht="15.75" thickBot="1">
      <c r="A1347" s="313" t="s">
        <v>302</v>
      </c>
      <c r="B1347" s="312">
        <v>0</v>
      </c>
      <c r="C1347" s="311">
        <v>0</v>
      </c>
      <c r="D1347" s="312">
        <v>0</v>
      </c>
      <c r="E1347" s="311">
        <v>0</v>
      </c>
      <c r="F1347" s="312">
        <v>0</v>
      </c>
      <c r="G1347" s="311">
        <v>0</v>
      </c>
      <c r="H1347" s="312">
        <v>0</v>
      </c>
      <c r="I1347" s="311">
        <v>0</v>
      </c>
      <c r="J1347" s="312">
        <v>0</v>
      </c>
      <c r="K1347" s="311">
        <v>0</v>
      </c>
      <c r="L1347" s="312">
        <v>0</v>
      </c>
      <c r="M1347" s="311">
        <v>0</v>
      </c>
      <c r="N1347" s="312">
        <v>211.62499199999999</v>
      </c>
      <c r="O1347" s="311">
        <v>0.50819473130482218</v>
      </c>
      <c r="P1347" s="312">
        <v>0</v>
      </c>
      <c r="Q1347" s="311">
        <v>0</v>
      </c>
      <c r="R1347" s="312">
        <v>0</v>
      </c>
      <c r="S1347" s="311">
        <v>0</v>
      </c>
      <c r="T1347" s="312">
        <v>0</v>
      </c>
      <c r="U1347" s="311">
        <v>0</v>
      </c>
      <c r="V1347" s="312">
        <v>0</v>
      </c>
      <c r="W1347" s="311">
        <v>0</v>
      </c>
      <c r="X1347" s="312">
        <v>0</v>
      </c>
      <c r="Y1347" s="311">
        <v>0</v>
      </c>
      <c r="Z1347" s="312">
        <v>0</v>
      </c>
      <c r="AA1347" s="311">
        <v>0</v>
      </c>
      <c r="AB1347" s="312">
        <v>0</v>
      </c>
      <c r="AC1347" s="311">
        <v>0</v>
      </c>
      <c r="AD1347" s="312">
        <v>0</v>
      </c>
      <c r="AE1347" s="311">
        <v>0</v>
      </c>
      <c r="AF1347" s="312">
        <v>204.80001000000001</v>
      </c>
      <c r="AG1347" s="311">
        <v>0.49180526869517799</v>
      </c>
      <c r="AH1347" s="312">
        <v>0</v>
      </c>
      <c r="AI1347" s="311">
        <v>0</v>
      </c>
      <c r="AJ1347" s="312">
        <v>0</v>
      </c>
      <c r="AK1347" s="311">
        <v>0</v>
      </c>
      <c r="AL1347" s="312">
        <v>0</v>
      </c>
      <c r="AM1347" s="311">
        <v>0</v>
      </c>
      <c r="AN1347" s="312">
        <v>0</v>
      </c>
      <c r="AO1347" s="311">
        <v>0</v>
      </c>
      <c r="AP1347" s="312">
        <v>0</v>
      </c>
      <c r="AQ1347" s="311">
        <v>0</v>
      </c>
      <c r="AR1347" s="312">
        <v>416.42500199999995</v>
      </c>
      <c r="AS1347" s="311">
        <v>1.1249649124786088E-2</v>
      </c>
      <c r="AT1347" s="307"/>
    </row>
    <row r="1348" spans="1:46" ht="15" customHeight="1">
      <c r="A1348" s="316" t="s">
        <v>4</v>
      </c>
      <c r="B1348" s="315">
        <v>1421.4513786702928</v>
      </c>
      <c r="C1348" s="314">
        <v>3.8718946337226758E-2</v>
      </c>
      <c r="D1348" s="315">
        <v>121.93233880626431</v>
      </c>
      <c r="E1348" s="314">
        <v>3.3213177417497604E-3</v>
      </c>
      <c r="F1348" s="315">
        <v>2037.496250239672</v>
      </c>
      <c r="G1348" s="314">
        <v>5.5499406563683219E-2</v>
      </c>
      <c r="H1348" s="315">
        <v>104.25551589325174</v>
      </c>
      <c r="I1348" s="314">
        <v>2.839818361572685E-3</v>
      </c>
      <c r="J1348" s="315">
        <v>230.78264537029071</v>
      </c>
      <c r="K1348" s="314">
        <v>6.2862937105977205E-3</v>
      </c>
      <c r="L1348" s="315">
        <v>1580.9900205386491</v>
      </c>
      <c r="M1348" s="314">
        <v>4.3064623020866409E-2</v>
      </c>
      <c r="N1348" s="315">
        <v>4800.7620312934587</v>
      </c>
      <c r="O1348" s="314">
        <v>0.13076806583516798</v>
      </c>
      <c r="P1348" s="315">
        <v>695.45088116037471</v>
      </c>
      <c r="Q1348" s="314">
        <v>1.8943402322360678E-2</v>
      </c>
      <c r="R1348" s="315">
        <v>537.76546112177164</v>
      </c>
      <c r="S1348" s="314">
        <v>1.4648205590166372E-2</v>
      </c>
      <c r="T1348" s="315">
        <v>2039.3787343723859</v>
      </c>
      <c r="U1348" s="314">
        <v>5.5550683591662472E-2</v>
      </c>
      <c r="V1348" s="315">
        <v>2023.5312635295859</v>
      </c>
      <c r="W1348" s="314">
        <v>5.5119013974009333E-2</v>
      </c>
      <c r="X1348" s="315">
        <v>281.17721112264741</v>
      </c>
      <c r="Y1348" s="314">
        <v>7.6589924299015292E-3</v>
      </c>
      <c r="Z1348" s="315">
        <v>10920.250803601562</v>
      </c>
      <c r="AA1348" s="314">
        <v>0.29745695927301918</v>
      </c>
      <c r="AB1348" s="315">
        <v>1032.6526569699938</v>
      </c>
      <c r="AC1348" s="314">
        <v>2.8128449140214999E-2</v>
      </c>
      <c r="AD1348" s="315">
        <v>454.62662335870607</v>
      </c>
      <c r="AE1348" s="314">
        <v>1.2383584903035434E-2</v>
      </c>
      <c r="AF1348" s="315">
        <v>3588.1228814652413</v>
      </c>
      <c r="AG1348" s="314">
        <v>9.7736960534513445E-2</v>
      </c>
      <c r="AH1348" s="315">
        <v>2709.6025939635779</v>
      </c>
      <c r="AI1348" s="314">
        <v>7.3806926501438136E-2</v>
      </c>
      <c r="AJ1348" s="315">
        <v>796.50196653066837</v>
      </c>
      <c r="AK1348" s="314">
        <v>2.1695935128253047E-2</v>
      </c>
      <c r="AL1348" s="315">
        <v>1131.7082826158505</v>
      </c>
      <c r="AM1348" s="314">
        <v>3.0826627573423269E-2</v>
      </c>
      <c r="AN1348" s="315">
        <v>203.59715298833447</v>
      </c>
      <c r="AO1348" s="314">
        <v>5.5457874671321801E-3</v>
      </c>
      <c r="AP1348" s="315">
        <v>0</v>
      </c>
      <c r="AQ1348" s="314">
        <v>0</v>
      </c>
      <c r="AR1348" s="315">
        <v>36712.036693612776</v>
      </c>
      <c r="AS1348" s="314">
        <v>1</v>
      </c>
      <c r="AT1348" s="307"/>
    </row>
    <row r="1349" spans="1:46">
      <c r="A1349" s="313" t="s">
        <v>309</v>
      </c>
      <c r="B1349" s="312">
        <v>682.70091093117412</v>
      </c>
      <c r="C1349" s="311">
        <v>0.37093787295127462</v>
      </c>
      <c r="D1349" s="312">
        <v>0</v>
      </c>
      <c r="E1349" s="311">
        <v>0</v>
      </c>
      <c r="F1349" s="312">
        <v>119.51785714285714</v>
      </c>
      <c r="G1349" s="311">
        <v>6.4938685445426622E-2</v>
      </c>
      <c r="H1349" s="312">
        <v>0</v>
      </c>
      <c r="I1349" s="311">
        <v>0</v>
      </c>
      <c r="J1349" s="312">
        <v>39.839285714285715</v>
      </c>
      <c r="K1349" s="311">
        <v>2.1646228481808878E-2</v>
      </c>
      <c r="L1349" s="312">
        <v>39.839285714285715</v>
      </c>
      <c r="M1349" s="311">
        <v>2.1646228481808878E-2</v>
      </c>
      <c r="N1349" s="312">
        <v>320.02515905147487</v>
      </c>
      <c r="O1349" s="311">
        <v>0.173882076160603</v>
      </c>
      <c r="P1349" s="312">
        <v>0</v>
      </c>
      <c r="Q1349" s="311">
        <v>0</v>
      </c>
      <c r="R1349" s="312">
        <v>0</v>
      </c>
      <c r="S1349" s="311">
        <v>0</v>
      </c>
      <c r="T1349" s="312">
        <v>39.839285714285715</v>
      </c>
      <c r="U1349" s="311">
        <v>2.1646228481808878E-2</v>
      </c>
      <c r="V1349" s="312">
        <v>0</v>
      </c>
      <c r="W1349" s="311">
        <v>0</v>
      </c>
      <c r="X1349" s="312">
        <v>0</v>
      </c>
      <c r="Y1349" s="311">
        <v>0</v>
      </c>
      <c r="Z1349" s="312">
        <v>319.96197223828801</v>
      </c>
      <c r="AA1349" s="311">
        <v>0.17384774431527097</v>
      </c>
      <c r="AB1349" s="312">
        <v>39.839285714285715</v>
      </c>
      <c r="AC1349" s="311">
        <v>2.1646228481808878E-2</v>
      </c>
      <c r="AD1349" s="312">
        <v>39.839285714285715</v>
      </c>
      <c r="AE1349" s="311">
        <v>2.1646228481808878E-2</v>
      </c>
      <c r="AF1349" s="312">
        <v>199.07005494505495</v>
      </c>
      <c r="AG1349" s="311">
        <v>0.10816247871838044</v>
      </c>
      <c r="AH1349" s="312">
        <v>0</v>
      </c>
      <c r="AI1349" s="311">
        <v>0</v>
      </c>
      <c r="AJ1349" s="312">
        <v>0</v>
      </c>
      <c r="AK1349" s="311">
        <v>0</v>
      </c>
      <c r="AL1349" s="312">
        <v>0</v>
      </c>
      <c r="AM1349" s="311">
        <v>0</v>
      </c>
      <c r="AN1349" s="312">
        <v>0</v>
      </c>
      <c r="AO1349" s="311">
        <v>0</v>
      </c>
      <c r="AP1349" s="312">
        <v>0</v>
      </c>
      <c r="AQ1349" s="311">
        <v>0</v>
      </c>
      <c r="AR1349" s="312">
        <v>1840.4723828802776</v>
      </c>
      <c r="AS1349" s="311">
        <v>5.0132668972857237E-2</v>
      </c>
      <c r="AT1349" s="307"/>
    </row>
    <row r="1350" spans="1:46">
      <c r="A1350" s="313" t="s">
        <v>308</v>
      </c>
      <c r="B1350" s="312">
        <v>118.00939849624061</v>
      </c>
      <c r="C1350" s="311">
        <v>3.9412781258899375E-2</v>
      </c>
      <c r="D1350" s="312">
        <v>0</v>
      </c>
      <c r="E1350" s="311">
        <v>0</v>
      </c>
      <c r="F1350" s="312">
        <v>282.10951140610564</v>
      </c>
      <c r="G1350" s="311">
        <v>9.4218940235154452E-2</v>
      </c>
      <c r="H1350" s="312">
        <v>0</v>
      </c>
      <c r="I1350" s="311">
        <v>0</v>
      </c>
      <c r="J1350" s="312">
        <v>0</v>
      </c>
      <c r="K1350" s="311">
        <v>0</v>
      </c>
      <c r="L1350" s="312">
        <v>5.3796992481203008</v>
      </c>
      <c r="M1350" s="311">
        <v>1.796712061976872E-3</v>
      </c>
      <c r="N1350" s="312">
        <v>140.79396555266061</v>
      </c>
      <c r="O1350" s="311">
        <v>4.7022371417957884E-2</v>
      </c>
      <c r="P1350" s="312">
        <v>71.606557377049185</v>
      </c>
      <c r="Q1350" s="311">
        <v>2.3915159458205132E-2</v>
      </c>
      <c r="R1350" s="312">
        <v>20.770114942528735</v>
      </c>
      <c r="S1350" s="311">
        <v>6.9368034019609091E-3</v>
      </c>
      <c r="T1350" s="312">
        <v>278.6273810586386</v>
      </c>
      <c r="U1350" s="311">
        <v>9.305597827239126E-2</v>
      </c>
      <c r="V1350" s="312">
        <v>10.759398496240602</v>
      </c>
      <c r="W1350" s="311">
        <v>3.593424123953744E-3</v>
      </c>
      <c r="X1350" s="312">
        <v>5.3796992481203008</v>
      </c>
      <c r="Y1350" s="311">
        <v>1.796712061976872E-3</v>
      </c>
      <c r="Z1350" s="312">
        <v>1662.5831790725038</v>
      </c>
      <c r="AA1350" s="311">
        <v>0.55526956324243615</v>
      </c>
      <c r="AB1350" s="312">
        <v>0</v>
      </c>
      <c r="AC1350" s="311">
        <v>0</v>
      </c>
      <c r="AD1350" s="312">
        <v>5.3796992481203008</v>
      </c>
      <c r="AE1350" s="311">
        <v>1.796712061976872E-3</v>
      </c>
      <c r="AF1350" s="312">
        <v>112.6296992481203</v>
      </c>
      <c r="AG1350" s="311">
        <v>3.7616069196922501E-2</v>
      </c>
      <c r="AH1350" s="312">
        <v>5.3796992481203008</v>
      </c>
      <c r="AI1350" s="311">
        <v>1.796712061976872E-3</v>
      </c>
      <c r="AJ1350" s="312">
        <v>133.76686380349267</v>
      </c>
      <c r="AK1350" s="311">
        <v>4.4675459835887513E-2</v>
      </c>
      <c r="AL1350" s="312">
        <v>69.409666651991074</v>
      </c>
      <c r="AM1350" s="311">
        <v>2.3181441850118362E-2</v>
      </c>
      <c r="AN1350" s="312">
        <v>71.606557377049185</v>
      </c>
      <c r="AO1350" s="311">
        <v>2.3915159458205132E-2</v>
      </c>
      <c r="AP1350" s="312">
        <v>0</v>
      </c>
      <c r="AQ1350" s="311">
        <v>0</v>
      </c>
      <c r="AR1350" s="312">
        <v>2994.1910904751026</v>
      </c>
      <c r="AS1350" s="311">
        <v>8.1558839011403511E-2</v>
      </c>
      <c r="AT1350" s="307"/>
    </row>
    <row r="1351" spans="1:46">
      <c r="A1351" s="313" t="s">
        <v>307</v>
      </c>
      <c r="B1351" s="312">
        <v>0</v>
      </c>
      <c r="C1351" s="311">
        <v>0</v>
      </c>
      <c r="D1351" s="312">
        <v>0</v>
      </c>
      <c r="E1351" s="311">
        <v>0</v>
      </c>
      <c r="F1351" s="312">
        <v>0</v>
      </c>
      <c r="G1351" s="311">
        <v>0</v>
      </c>
      <c r="H1351" s="312">
        <v>0</v>
      </c>
      <c r="I1351" s="311">
        <v>0</v>
      </c>
      <c r="J1351" s="312">
        <v>0</v>
      </c>
      <c r="K1351" s="311">
        <v>0</v>
      </c>
      <c r="L1351" s="312">
        <v>0</v>
      </c>
      <c r="M1351" s="311">
        <v>0</v>
      </c>
      <c r="N1351" s="312">
        <v>357.73046251993622</v>
      </c>
      <c r="O1351" s="311">
        <v>0.17422454969067988</v>
      </c>
      <c r="P1351" s="312">
        <v>0</v>
      </c>
      <c r="Q1351" s="311">
        <v>0</v>
      </c>
      <c r="R1351" s="312">
        <v>0</v>
      </c>
      <c r="S1351" s="311">
        <v>0</v>
      </c>
      <c r="T1351" s="312">
        <v>0</v>
      </c>
      <c r="U1351" s="311">
        <v>0</v>
      </c>
      <c r="V1351" s="312">
        <v>120.45614035087719</v>
      </c>
      <c r="W1351" s="311">
        <v>5.8665445101531849E-2</v>
      </c>
      <c r="X1351" s="312">
        <v>0</v>
      </c>
      <c r="Y1351" s="311">
        <v>0</v>
      </c>
      <c r="Z1351" s="312">
        <v>0</v>
      </c>
      <c r="AA1351" s="311">
        <v>0</v>
      </c>
      <c r="AB1351" s="312">
        <v>0</v>
      </c>
      <c r="AC1351" s="311">
        <v>0</v>
      </c>
      <c r="AD1351" s="312">
        <v>0</v>
      </c>
      <c r="AE1351" s="311">
        <v>0</v>
      </c>
      <c r="AF1351" s="312">
        <v>1428.4611822812158</v>
      </c>
      <c r="AG1351" s="311">
        <v>0.6956997860356704</v>
      </c>
      <c r="AH1351" s="312">
        <v>0</v>
      </c>
      <c r="AI1351" s="311">
        <v>0</v>
      </c>
      <c r="AJ1351" s="312">
        <v>29.806451612903224</v>
      </c>
      <c r="AK1351" s="311">
        <v>1.4516559684501844E-2</v>
      </c>
      <c r="AL1351" s="312">
        <v>0</v>
      </c>
      <c r="AM1351" s="311">
        <v>0</v>
      </c>
      <c r="AN1351" s="312">
        <v>116.81818181818181</v>
      </c>
      <c r="AO1351" s="311">
        <v>5.689365948761619E-2</v>
      </c>
      <c r="AP1351" s="312">
        <v>0</v>
      </c>
      <c r="AQ1351" s="311">
        <v>0</v>
      </c>
      <c r="AR1351" s="312">
        <v>2053.2724185831139</v>
      </c>
      <c r="AS1351" s="311">
        <v>5.5929133970939446E-2</v>
      </c>
      <c r="AT1351" s="307"/>
    </row>
    <row r="1352" spans="1:46">
      <c r="A1352" s="313" t="s">
        <v>306</v>
      </c>
      <c r="B1352" s="312">
        <v>0</v>
      </c>
      <c r="C1352" s="311">
        <v>0</v>
      </c>
      <c r="D1352" s="312">
        <v>0</v>
      </c>
      <c r="E1352" s="311">
        <v>0</v>
      </c>
      <c r="F1352" s="312">
        <v>8.8048780487804876</v>
      </c>
      <c r="G1352" s="311">
        <v>3.8850874448579736E-3</v>
      </c>
      <c r="H1352" s="312">
        <v>0</v>
      </c>
      <c r="I1352" s="311">
        <v>0</v>
      </c>
      <c r="J1352" s="312">
        <v>74.15625</v>
      </c>
      <c r="K1352" s="311">
        <v>3.272089792006292E-2</v>
      </c>
      <c r="L1352" s="312">
        <v>0</v>
      </c>
      <c r="M1352" s="311">
        <v>0</v>
      </c>
      <c r="N1352" s="312">
        <v>350.8878484320557</v>
      </c>
      <c r="O1352" s="311">
        <v>0.15482667300376979</v>
      </c>
      <c r="P1352" s="312">
        <v>0</v>
      </c>
      <c r="Q1352" s="311">
        <v>0</v>
      </c>
      <c r="R1352" s="312">
        <v>0</v>
      </c>
      <c r="S1352" s="311">
        <v>0</v>
      </c>
      <c r="T1352" s="312">
        <v>7.6875</v>
      </c>
      <c r="U1352" s="311">
        <v>3.3920526288813645E-3</v>
      </c>
      <c r="V1352" s="312">
        <v>327.33750000000003</v>
      </c>
      <c r="W1352" s="311">
        <v>0.14443525559758749</v>
      </c>
      <c r="X1352" s="312">
        <v>0</v>
      </c>
      <c r="Y1352" s="311">
        <v>0</v>
      </c>
      <c r="Z1352" s="312">
        <v>77.640909090909091</v>
      </c>
      <c r="AA1352" s="311">
        <v>3.42584780215359E-2</v>
      </c>
      <c r="AB1352" s="312">
        <v>8.8048780487804876</v>
      </c>
      <c r="AC1352" s="311">
        <v>3.8850874448579736E-3</v>
      </c>
      <c r="AD1352" s="312">
        <v>7.6875</v>
      </c>
      <c r="AE1352" s="311">
        <v>3.3920526288813645E-3</v>
      </c>
      <c r="AF1352" s="312">
        <v>81.292378048780478</v>
      </c>
      <c r="AG1352" s="311">
        <v>3.5869661745480785E-2</v>
      </c>
      <c r="AH1352" s="312">
        <v>1217.1209732340826</v>
      </c>
      <c r="AI1352" s="311">
        <v>0.53704564512849617</v>
      </c>
      <c r="AJ1352" s="312">
        <v>89.53125</v>
      </c>
      <c r="AK1352" s="311">
        <v>3.9505003177825647E-2</v>
      </c>
      <c r="AL1352" s="312">
        <v>15.375</v>
      </c>
      <c r="AM1352" s="311">
        <v>6.784105257762729E-3</v>
      </c>
      <c r="AN1352" s="312">
        <v>0</v>
      </c>
      <c r="AO1352" s="311">
        <v>0</v>
      </c>
      <c r="AP1352" s="312">
        <v>0</v>
      </c>
      <c r="AQ1352" s="311">
        <v>0</v>
      </c>
      <c r="AR1352" s="312">
        <v>2266.3268649033885</v>
      </c>
      <c r="AS1352" s="311">
        <v>6.1732528865599219E-2</v>
      </c>
      <c r="AT1352" s="307"/>
    </row>
    <row r="1353" spans="1:46">
      <c r="A1353" s="313" t="s">
        <v>305</v>
      </c>
      <c r="B1353" s="312">
        <v>0</v>
      </c>
      <c r="C1353" s="311">
        <v>0</v>
      </c>
      <c r="D1353" s="312">
        <v>52.911174785100286</v>
      </c>
      <c r="E1353" s="311">
        <v>7.1748369495909089E-3</v>
      </c>
      <c r="F1353" s="312">
        <v>198.51426876211974</v>
      </c>
      <c r="G1353" s="311">
        <v>2.6918841177129938E-2</v>
      </c>
      <c r="H1353" s="312">
        <v>0</v>
      </c>
      <c r="I1353" s="311">
        <v>0</v>
      </c>
      <c r="J1353" s="312">
        <v>0</v>
      </c>
      <c r="K1353" s="311">
        <v>0</v>
      </c>
      <c r="L1353" s="312">
        <v>105.82234957020057</v>
      </c>
      <c r="M1353" s="311">
        <v>1.4349673899181818E-2</v>
      </c>
      <c r="N1353" s="312">
        <v>260.74907776740594</v>
      </c>
      <c r="O1353" s="311">
        <v>3.5357977314541905E-2</v>
      </c>
      <c r="P1353" s="312">
        <v>0</v>
      </c>
      <c r="Q1353" s="311">
        <v>0</v>
      </c>
      <c r="R1353" s="312">
        <v>57.42307692307692</v>
      </c>
      <c r="S1353" s="311">
        <v>7.7866578419444263E-3</v>
      </c>
      <c r="T1353" s="312">
        <v>548.90749357022446</v>
      </c>
      <c r="U1353" s="311">
        <v>7.4432703162811018E-2</v>
      </c>
      <c r="V1353" s="312">
        <v>392.29533153888451</v>
      </c>
      <c r="W1353" s="311">
        <v>5.3195852318701629E-2</v>
      </c>
      <c r="X1353" s="312">
        <v>105.82234957020057</v>
      </c>
      <c r="Y1353" s="311">
        <v>1.4349673899181818E-2</v>
      </c>
      <c r="Z1353" s="312">
        <v>3054.6431139697593</v>
      </c>
      <c r="AA1353" s="311">
        <v>0.41421431996054148</v>
      </c>
      <c r="AB1353" s="312">
        <v>222.02023764201414</v>
      </c>
      <c r="AC1353" s="311">
        <v>3.0106286829969471E-2</v>
      </c>
      <c r="AD1353" s="312">
        <v>276.28314665277418</v>
      </c>
      <c r="AE1353" s="311">
        <v>3.746442102645918E-2</v>
      </c>
      <c r="AF1353" s="312">
        <v>633.92561171441719</v>
      </c>
      <c r="AG1353" s="311">
        <v>8.596129117702786E-2</v>
      </c>
      <c r="AH1353" s="312">
        <v>1076.9272814100893</v>
      </c>
      <c r="AI1353" s="311">
        <v>0.1460330011961754</v>
      </c>
      <c r="AJ1353" s="312">
        <v>260.56337458170282</v>
      </c>
      <c r="AK1353" s="311">
        <v>3.5332795675996717E-2</v>
      </c>
      <c r="AL1353" s="312">
        <v>127.73945761338311</v>
      </c>
      <c r="AM1353" s="311">
        <v>1.7321667570747091E-2</v>
      </c>
      <c r="AN1353" s="312">
        <v>0</v>
      </c>
      <c r="AO1353" s="311">
        <v>0</v>
      </c>
      <c r="AP1353" s="312">
        <v>0</v>
      </c>
      <c r="AQ1353" s="311">
        <v>0</v>
      </c>
      <c r="AR1353" s="312">
        <v>7374.5473460713483</v>
      </c>
      <c r="AS1353" s="311">
        <v>0.20087546238899859</v>
      </c>
      <c r="AT1353" s="307"/>
    </row>
    <row r="1354" spans="1:46" ht="28.5">
      <c r="A1354" s="313" t="s">
        <v>304</v>
      </c>
      <c r="B1354" s="312">
        <v>318.72780205838831</v>
      </c>
      <c r="C1354" s="311">
        <v>2.6488419468860661E-2</v>
      </c>
      <c r="D1354" s="312">
        <v>0</v>
      </c>
      <c r="E1354" s="311">
        <v>0</v>
      </c>
      <c r="F1354" s="312">
        <v>576.0309514413542</v>
      </c>
      <c r="G1354" s="311">
        <v>4.787203805343071E-2</v>
      </c>
      <c r="H1354" s="312">
        <v>104.25551589325174</v>
      </c>
      <c r="I1354" s="311">
        <v>8.6643330738277596E-3</v>
      </c>
      <c r="J1354" s="312">
        <v>91.124959306354654</v>
      </c>
      <c r="K1354" s="311">
        <v>7.5730956967080014E-3</v>
      </c>
      <c r="L1354" s="312">
        <v>472.10421499504099</v>
      </c>
      <c r="M1354" s="311">
        <v>3.9235028758222212E-2</v>
      </c>
      <c r="N1354" s="312">
        <v>2616.994402297139</v>
      </c>
      <c r="O1354" s="311">
        <v>0.21748979859312065</v>
      </c>
      <c r="P1354" s="312">
        <v>435.27404215841801</v>
      </c>
      <c r="Q1354" s="311">
        <v>3.6174194212548062E-2</v>
      </c>
      <c r="R1354" s="312">
        <v>433.91011890651572</v>
      </c>
      <c r="S1354" s="311">
        <v>3.6060843036446077E-2</v>
      </c>
      <c r="T1354" s="312">
        <v>188.62933707597702</v>
      </c>
      <c r="U1354" s="311">
        <v>1.5676363882703503E-2</v>
      </c>
      <c r="V1354" s="312">
        <v>588.43168953890063</v>
      </c>
      <c r="W1354" s="311">
        <v>4.8902622615963211E-2</v>
      </c>
      <c r="X1354" s="312">
        <v>163.97516230432655</v>
      </c>
      <c r="Y1354" s="311">
        <v>1.3627436494529044E-2</v>
      </c>
      <c r="Z1354" s="312">
        <v>4228.364769386726</v>
      </c>
      <c r="AA1354" s="311">
        <v>0.35140549068998345</v>
      </c>
      <c r="AB1354" s="312">
        <v>486.0502094010194</v>
      </c>
      <c r="AC1354" s="311">
        <v>4.0394034490857572E-2</v>
      </c>
      <c r="AD1354" s="312">
        <v>119.12449174352591</v>
      </c>
      <c r="AE1354" s="311">
        <v>9.9000447590050396E-3</v>
      </c>
      <c r="AF1354" s="312">
        <v>397.05978357944127</v>
      </c>
      <c r="AG1354" s="311">
        <v>3.2998332852496363E-2</v>
      </c>
      <c r="AH1354" s="312">
        <v>336.5808900712866</v>
      </c>
      <c r="AI1354" s="311">
        <v>2.797213090239763E-2</v>
      </c>
      <c r="AJ1354" s="312">
        <v>163.08982592964679</v>
      </c>
      <c r="AK1354" s="311">
        <v>1.3553859099924284E-2</v>
      </c>
      <c r="AL1354" s="312">
        <v>297.8219626283913</v>
      </c>
      <c r="AM1354" s="311">
        <v>2.4751003904249943E-2</v>
      </c>
      <c r="AN1354" s="312">
        <v>15.172413793103448</v>
      </c>
      <c r="AO1354" s="311">
        <v>1.260929414727454E-3</v>
      </c>
      <c r="AP1354" s="312">
        <v>0</v>
      </c>
      <c r="AQ1354" s="311">
        <v>0</v>
      </c>
      <c r="AR1354" s="312">
        <v>12032.722542508787</v>
      </c>
      <c r="AS1354" s="311">
        <v>0.32775960219614464</v>
      </c>
      <c r="AT1354" s="307"/>
    </row>
    <row r="1355" spans="1:46" ht="28.5">
      <c r="A1355" s="313" t="s">
        <v>303</v>
      </c>
      <c r="B1355" s="312">
        <v>232.12437829560054</v>
      </c>
      <c r="C1355" s="311">
        <v>3.1501646015808467E-2</v>
      </c>
      <c r="D1355" s="312">
        <v>69.021164021164026</v>
      </c>
      <c r="E1355" s="311">
        <v>9.3668760367121399E-3</v>
      </c>
      <c r="F1355" s="312">
        <v>852.51878343845408</v>
      </c>
      <c r="G1355" s="311">
        <v>0.1156954953844021</v>
      </c>
      <c r="H1355" s="312">
        <v>0</v>
      </c>
      <c r="I1355" s="311">
        <v>0</v>
      </c>
      <c r="J1355" s="312">
        <v>25.66215034965035</v>
      </c>
      <c r="K1355" s="311">
        <v>3.4826155798667463E-3</v>
      </c>
      <c r="L1355" s="312">
        <v>957.84447101100091</v>
      </c>
      <c r="M1355" s="311">
        <v>0.12998926560640248</v>
      </c>
      <c r="N1355" s="312">
        <v>673.27307995849856</v>
      </c>
      <c r="O1355" s="311">
        <v>9.137002495195358E-2</v>
      </c>
      <c r="P1355" s="312">
        <v>181.85599591062191</v>
      </c>
      <c r="Q1355" s="311">
        <v>2.4679713742661646E-2</v>
      </c>
      <c r="R1355" s="312">
        <v>25.66215034965035</v>
      </c>
      <c r="S1355" s="311">
        <v>3.4826155798667463E-3</v>
      </c>
      <c r="T1355" s="312">
        <v>975.68773695325922</v>
      </c>
      <c r="U1355" s="311">
        <v>0.13241077881240945</v>
      </c>
      <c r="V1355" s="312">
        <v>516.65745360468327</v>
      </c>
      <c r="W1355" s="311">
        <v>7.0115686833019678E-2</v>
      </c>
      <c r="X1355" s="312">
        <v>0</v>
      </c>
      <c r="Y1355" s="311">
        <v>0</v>
      </c>
      <c r="Z1355" s="312">
        <v>1306.6818598433933</v>
      </c>
      <c r="AA1355" s="311">
        <v>0.17733005773157515</v>
      </c>
      <c r="AB1355" s="312">
        <v>275.9380461638944</v>
      </c>
      <c r="AC1355" s="311">
        <v>3.7447607685045833E-2</v>
      </c>
      <c r="AD1355" s="312">
        <v>6.3125</v>
      </c>
      <c r="AE1355" s="311">
        <v>8.5667064327710836E-4</v>
      </c>
      <c r="AF1355" s="312">
        <v>594.49667164820892</v>
      </c>
      <c r="AG1355" s="311">
        <v>8.0679262752787487E-2</v>
      </c>
      <c r="AH1355" s="312">
        <v>0</v>
      </c>
      <c r="AI1355" s="311">
        <v>0</v>
      </c>
      <c r="AJ1355" s="312">
        <v>119.74420060292283</v>
      </c>
      <c r="AK1355" s="311">
        <v>1.625050952225093E-2</v>
      </c>
      <c r="AL1355" s="312">
        <v>555.16219572208468</v>
      </c>
      <c r="AM1355" s="311">
        <v>7.5341173121959634E-2</v>
      </c>
      <c r="AN1355" s="312">
        <v>0</v>
      </c>
      <c r="AO1355" s="311">
        <v>0</v>
      </c>
      <c r="AP1355" s="312">
        <v>0</v>
      </c>
      <c r="AQ1355" s="311">
        <v>0</v>
      </c>
      <c r="AR1355" s="312">
        <v>7368.6428378730934</v>
      </c>
      <c r="AS1355" s="311">
        <v>0.20071462935629239</v>
      </c>
      <c r="AT1355" s="307"/>
    </row>
    <row r="1356" spans="1:46" ht="15.75" thickBot="1">
      <c r="A1356" s="313" t="s">
        <v>302</v>
      </c>
      <c r="B1356" s="312">
        <v>69.888888888888886</v>
      </c>
      <c r="C1356" s="311">
        <v>8.9387845267975108E-2</v>
      </c>
      <c r="D1356" s="312">
        <v>0</v>
      </c>
      <c r="E1356" s="311">
        <v>0</v>
      </c>
      <c r="F1356" s="312">
        <v>0</v>
      </c>
      <c r="G1356" s="311">
        <v>0</v>
      </c>
      <c r="H1356" s="312">
        <v>0</v>
      </c>
      <c r="I1356" s="311">
        <v>0</v>
      </c>
      <c r="J1356" s="312">
        <v>0</v>
      </c>
      <c r="K1356" s="311">
        <v>0</v>
      </c>
      <c r="L1356" s="312">
        <v>0</v>
      </c>
      <c r="M1356" s="311">
        <v>0</v>
      </c>
      <c r="N1356" s="312">
        <v>80.308035714285708</v>
      </c>
      <c r="O1356" s="311">
        <v>0.10271392755458236</v>
      </c>
      <c r="P1356" s="312">
        <v>6.7142857142857144</v>
      </c>
      <c r="Q1356" s="311">
        <v>8.5875672378726946E-3</v>
      </c>
      <c r="R1356" s="312">
        <v>0</v>
      </c>
      <c r="S1356" s="311">
        <v>0</v>
      </c>
      <c r="T1356" s="312">
        <v>0</v>
      </c>
      <c r="U1356" s="311">
        <v>0</v>
      </c>
      <c r="V1356" s="312">
        <v>67.59375</v>
      </c>
      <c r="W1356" s="311">
        <v>8.6452364061589404E-2</v>
      </c>
      <c r="X1356" s="312">
        <v>6</v>
      </c>
      <c r="Y1356" s="311">
        <v>7.6739962551202797E-3</v>
      </c>
      <c r="Z1356" s="312">
        <v>270.375</v>
      </c>
      <c r="AA1356" s="311">
        <v>0.34580945624635762</v>
      </c>
      <c r="AB1356" s="312">
        <v>0</v>
      </c>
      <c r="AC1356" s="311">
        <v>0</v>
      </c>
      <c r="AD1356" s="312">
        <v>0</v>
      </c>
      <c r="AE1356" s="311">
        <v>0</v>
      </c>
      <c r="AF1356" s="312">
        <v>141.1875</v>
      </c>
      <c r="AG1356" s="311">
        <v>0.18057872437829911</v>
      </c>
      <c r="AH1356" s="312">
        <v>73.59375</v>
      </c>
      <c r="AI1356" s="311">
        <v>9.4126360316709692E-2</v>
      </c>
      <c r="AJ1356" s="312">
        <v>0</v>
      </c>
      <c r="AK1356" s="311">
        <v>0</v>
      </c>
      <c r="AL1356" s="312">
        <v>66.2</v>
      </c>
      <c r="AM1356" s="311">
        <v>8.4669758681493762E-2</v>
      </c>
      <c r="AN1356" s="312">
        <v>0</v>
      </c>
      <c r="AO1356" s="311">
        <v>0</v>
      </c>
      <c r="AP1356" s="312">
        <v>0</v>
      </c>
      <c r="AQ1356" s="311">
        <v>0</v>
      </c>
      <c r="AR1356" s="312">
        <v>781.86121031746029</v>
      </c>
      <c r="AS1356" s="311">
        <v>2.1297135237759494E-2</v>
      </c>
      <c r="AT1356" s="307"/>
    </row>
    <row r="1357" spans="1:46" ht="15.75" customHeight="1">
      <c r="A1357" s="316" t="s">
        <v>3</v>
      </c>
      <c r="B1357" s="315">
        <v>699.96055657167699</v>
      </c>
      <c r="C1357" s="314">
        <v>2.7978963365191852E-2</v>
      </c>
      <c r="D1357" s="315">
        <v>171.27922014470067</v>
      </c>
      <c r="E1357" s="314">
        <v>6.8464072448866341E-3</v>
      </c>
      <c r="F1357" s="315">
        <v>1304.6043418742618</v>
      </c>
      <c r="G1357" s="314">
        <v>5.2147905685071827E-2</v>
      </c>
      <c r="H1357" s="315">
        <v>4.6022408963585431</v>
      </c>
      <c r="I1357" s="314">
        <v>1.8396169359554131E-4</v>
      </c>
      <c r="J1357" s="315">
        <v>387.77496042984177</v>
      </c>
      <c r="K1357" s="314">
        <v>1.550021827650549E-2</v>
      </c>
      <c r="L1357" s="315">
        <v>610.37354134109648</v>
      </c>
      <c r="M1357" s="314">
        <v>2.4397973274250032E-2</v>
      </c>
      <c r="N1357" s="315">
        <v>2681.4028855564093</v>
      </c>
      <c r="O1357" s="314">
        <v>0.10718157244424678</v>
      </c>
      <c r="P1357" s="315">
        <v>519.00077245173384</v>
      </c>
      <c r="Q1357" s="314">
        <v>2.074560268089385E-2</v>
      </c>
      <c r="R1357" s="315">
        <v>258.40906176910346</v>
      </c>
      <c r="S1357" s="314">
        <v>1.0329178700987245E-2</v>
      </c>
      <c r="T1357" s="315">
        <v>1850.3941615794911</v>
      </c>
      <c r="U1357" s="314">
        <v>7.3964325520813737E-2</v>
      </c>
      <c r="V1357" s="315">
        <v>990.38051518189639</v>
      </c>
      <c r="W1357" s="314">
        <v>3.9587688037156683E-2</v>
      </c>
      <c r="X1357" s="315">
        <v>458.67117479437906</v>
      </c>
      <c r="Y1357" s="314">
        <v>1.8334095936914849E-2</v>
      </c>
      <c r="Z1357" s="315">
        <v>7599.7918768900445</v>
      </c>
      <c r="AA1357" s="314">
        <v>0.30378040092436998</v>
      </c>
      <c r="AB1357" s="315">
        <v>932.46719010758216</v>
      </c>
      <c r="AC1357" s="314">
        <v>3.7272765024141508E-2</v>
      </c>
      <c r="AD1357" s="315">
        <v>570.83643396835214</v>
      </c>
      <c r="AE1357" s="314">
        <v>2.2817588110597753E-2</v>
      </c>
      <c r="AF1357" s="315">
        <v>2741.3129434968196</v>
      </c>
      <c r="AG1357" s="314">
        <v>0.10957630926274865</v>
      </c>
      <c r="AH1357" s="315">
        <v>2155.4117127158202</v>
      </c>
      <c r="AI1357" s="314">
        <v>8.6156548080871628E-2</v>
      </c>
      <c r="AJ1357" s="315">
        <v>365.74008842236566</v>
      </c>
      <c r="AK1357" s="314">
        <v>1.4619435965465747E-2</v>
      </c>
      <c r="AL1357" s="315">
        <v>597.55453932514183</v>
      </c>
      <c r="AM1357" s="314">
        <v>2.3885569561761716E-2</v>
      </c>
      <c r="AN1357" s="315">
        <v>7.5707070707070709</v>
      </c>
      <c r="AO1357" s="314">
        <v>3.0261781723442199E-4</v>
      </c>
      <c r="AP1357" s="315">
        <v>109.84815425178654</v>
      </c>
      <c r="AQ1357" s="314">
        <v>4.3908723922930857E-3</v>
      </c>
      <c r="AR1357" s="315">
        <v>25017.387078839594</v>
      </c>
      <c r="AS1357" s="314">
        <v>1</v>
      </c>
      <c r="AT1357" s="307"/>
    </row>
    <row r="1358" spans="1:46">
      <c r="A1358" s="313" t="s">
        <v>309</v>
      </c>
      <c r="B1358" s="312">
        <v>109.19928698752229</v>
      </c>
      <c r="C1358" s="311">
        <v>0.10753068926049364</v>
      </c>
      <c r="D1358" s="312">
        <v>0</v>
      </c>
      <c r="E1358" s="311">
        <v>0</v>
      </c>
      <c r="F1358" s="312">
        <v>35.81818181818182</v>
      </c>
      <c r="G1358" s="311">
        <v>3.5270869299786477E-2</v>
      </c>
      <c r="H1358" s="312">
        <v>0</v>
      </c>
      <c r="I1358" s="311">
        <v>0</v>
      </c>
      <c r="J1358" s="312">
        <v>17.90909090909091</v>
      </c>
      <c r="K1358" s="311">
        <v>1.7635434649893238E-2</v>
      </c>
      <c r="L1358" s="312">
        <v>0</v>
      </c>
      <c r="M1358" s="311">
        <v>0</v>
      </c>
      <c r="N1358" s="312">
        <v>347.36209150326795</v>
      </c>
      <c r="O1358" s="311">
        <v>0.34205429497521467</v>
      </c>
      <c r="P1358" s="312">
        <v>0</v>
      </c>
      <c r="Q1358" s="311">
        <v>0</v>
      </c>
      <c r="R1358" s="312">
        <v>54.555555555555557</v>
      </c>
      <c r="S1358" s="311">
        <v>5.3721930368907718E-2</v>
      </c>
      <c r="T1358" s="312">
        <v>0</v>
      </c>
      <c r="U1358" s="311">
        <v>0</v>
      </c>
      <c r="V1358" s="312">
        <v>0</v>
      </c>
      <c r="W1358" s="311">
        <v>0</v>
      </c>
      <c r="X1358" s="312">
        <v>0</v>
      </c>
      <c r="Y1358" s="311">
        <v>0</v>
      </c>
      <c r="Z1358" s="312">
        <v>318.15032679738567</v>
      </c>
      <c r="AA1358" s="311">
        <v>0.31328889476067107</v>
      </c>
      <c r="AB1358" s="312">
        <v>11.705882352941176</v>
      </c>
      <c r="AC1358" s="311">
        <v>1.1527012973608926E-2</v>
      </c>
      <c r="AD1358" s="312">
        <v>0</v>
      </c>
      <c r="AE1358" s="311">
        <v>0</v>
      </c>
      <c r="AF1358" s="312">
        <v>109.11111111111111</v>
      </c>
      <c r="AG1358" s="311">
        <v>0.10744386073781544</v>
      </c>
      <c r="AH1358" s="312">
        <v>0</v>
      </c>
      <c r="AI1358" s="311">
        <v>0</v>
      </c>
      <c r="AJ1358" s="312">
        <v>0</v>
      </c>
      <c r="AK1358" s="311">
        <v>0</v>
      </c>
      <c r="AL1358" s="312">
        <v>11.705882352941176</v>
      </c>
      <c r="AM1358" s="311">
        <v>1.1527012973608926E-2</v>
      </c>
      <c r="AN1358" s="312">
        <v>0</v>
      </c>
      <c r="AO1358" s="311">
        <v>0</v>
      </c>
      <c r="AP1358" s="312">
        <v>0</v>
      </c>
      <c r="AQ1358" s="311">
        <v>0</v>
      </c>
      <c r="AR1358" s="312">
        <v>1015.5174093879976</v>
      </c>
      <c r="AS1358" s="311">
        <v>4.059246499995E-2</v>
      </c>
      <c r="AT1358" s="307"/>
    </row>
    <row r="1359" spans="1:46">
      <c r="A1359" s="313" t="s">
        <v>308</v>
      </c>
      <c r="B1359" s="312">
        <v>15.141414141414142</v>
      </c>
      <c r="C1359" s="311">
        <v>8.806295405045966E-3</v>
      </c>
      <c r="D1359" s="312">
        <v>0</v>
      </c>
      <c r="E1359" s="311">
        <v>0</v>
      </c>
      <c r="F1359" s="312">
        <v>117.573756432247</v>
      </c>
      <c r="G1359" s="311">
        <v>6.8381276765380736E-2</v>
      </c>
      <c r="H1359" s="312">
        <v>0</v>
      </c>
      <c r="I1359" s="311">
        <v>0</v>
      </c>
      <c r="J1359" s="312">
        <v>0</v>
      </c>
      <c r="K1359" s="311">
        <v>0</v>
      </c>
      <c r="L1359" s="312">
        <v>10</v>
      </c>
      <c r="M1359" s="311">
        <v>5.8160323222118115E-3</v>
      </c>
      <c r="N1359" s="312">
        <v>100.42881646655233</v>
      </c>
      <c r="O1359" s="311">
        <v>5.8409724265094616E-2</v>
      </c>
      <c r="P1359" s="312">
        <v>7.5707070707070709</v>
      </c>
      <c r="Q1359" s="311">
        <v>4.403147702522983E-3</v>
      </c>
      <c r="R1359" s="312">
        <v>13.465443912812333</v>
      </c>
      <c r="S1359" s="311">
        <v>7.8315457029846814E-3</v>
      </c>
      <c r="T1359" s="312">
        <v>104.24194777968364</v>
      </c>
      <c r="U1359" s="311">
        <v>6.0627453761695579E-2</v>
      </c>
      <c r="V1359" s="312">
        <v>54.181818181818187</v>
      </c>
      <c r="W1359" s="311">
        <v>3.1512320582165819E-2</v>
      </c>
      <c r="X1359" s="312">
        <v>46.611111111111114</v>
      </c>
      <c r="Y1359" s="311">
        <v>2.7109172879642832E-2</v>
      </c>
      <c r="Z1359" s="312">
        <v>909.45769010863239</v>
      </c>
      <c r="AA1359" s="311">
        <v>0.52894353213558998</v>
      </c>
      <c r="AB1359" s="312">
        <v>51.80808080808081</v>
      </c>
      <c r="AC1359" s="311">
        <v>3.0131747253155941E-2</v>
      </c>
      <c r="AD1359" s="312">
        <v>12.570707070707071</v>
      </c>
      <c r="AE1359" s="311">
        <v>7.3111638636288879E-3</v>
      </c>
      <c r="AF1359" s="312">
        <v>122.45181707843079</v>
      </c>
      <c r="AG1359" s="311">
        <v>7.1218372604172173E-2</v>
      </c>
      <c r="AH1359" s="312">
        <v>18.465443912812333</v>
      </c>
      <c r="AI1359" s="311">
        <v>1.0739561864090587E-2</v>
      </c>
      <c r="AJ1359" s="312">
        <v>97.562928189541879</v>
      </c>
      <c r="AK1359" s="311">
        <v>5.6742914380000543E-2</v>
      </c>
      <c r="AL1359" s="312">
        <v>30.282828282828284</v>
      </c>
      <c r="AM1359" s="311">
        <v>1.7612590810091932E-2</v>
      </c>
      <c r="AN1359" s="312">
        <v>7.5707070707070709</v>
      </c>
      <c r="AO1359" s="311">
        <v>4.403147702522983E-3</v>
      </c>
      <c r="AP1359" s="312">
        <v>0</v>
      </c>
      <c r="AQ1359" s="311">
        <v>0</v>
      </c>
      <c r="AR1359" s="312">
        <v>1719.3852176180899</v>
      </c>
      <c r="AS1359" s="311">
        <v>6.8727609809914728E-2</v>
      </c>
      <c r="AT1359" s="307"/>
    </row>
    <row r="1360" spans="1:46">
      <c r="A1360" s="313" t="s">
        <v>307</v>
      </c>
      <c r="B1360" s="312">
        <v>0</v>
      </c>
      <c r="C1360" s="311">
        <v>0</v>
      </c>
      <c r="D1360" s="312">
        <v>0</v>
      </c>
      <c r="E1360" s="311">
        <v>0</v>
      </c>
      <c r="F1360" s="312">
        <v>95.6640625</v>
      </c>
      <c r="G1360" s="311">
        <v>5.2466487480423159E-2</v>
      </c>
      <c r="H1360" s="312">
        <v>0</v>
      </c>
      <c r="I1360" s="311">
        <v>0</v>
      </c>
      <c r="J1360" s="312">
        <v>0</v>
      </c>
      <c r="K1360" s="311">
        <v>0</v>
      </c>
      <c r="L1360" s="312">
        <v>0</v>
      </c>
      <c r="M1360" s="311">
        <v>0</v>
      </c>
      <c r="N1360" s="312">
        <v>168.12702546296296</v>
      </c>
      <c r="O1360" s="311">
        <v>9.2208445324735516E-2</v>
      </c>
      <c r="P1360" s="312">
        <v>0</v>
      </c>
      <c r="Q1360" s="311">
        <v>0</v>
      </c>
      <c r="R1360" s="312">
        <v>0</v>
      </c>
      <c r="S1360" s="311">
        <v>0</v>
      </c>
      <c r="T1360" s="312">
        <v>95.6640625</v>
      </c>
      <c r="U1360" s="311">
        <v>5.2466487480423159E-2</v>
      </c>
      <c r="V1360" s="312">
        <v>72.462962962962962</v>
      </c>
      <c r="W1360" s="311">
        <v>3.9741957844312358E-2</v>
      </c>
      <c r="X1360" s="312">
        <v>0</v>
      </c>
      <c r="Y1360" s="311">
        <v>0</v>
      </c>
      <c r="Z1360" s="312">
        <v>72.462962962962962</v>
      </c>
      <c r="AA1360" s="311">
        <v>3.9741957844312358E-2</v>
      </c>
      <c r="AB1360" s="312">
        <v>0</v>
      </c>
      <c r="AC1360" s="311">
        <v>0</v>
      </c>
      <c r="AD1360" s="312">
        <v>95.6640625</v>
      </c>
      <c r="AE1360" s="311">
        <v>5.2466487480423159E-2</v>
      </c>
      <c r="AF1360" s="312">
        <v>959.50028935185173</v>
      </c>
      <c r="AG1360" s="311">
        <v>0.52623324374021141</v>
      </c>
      <c r="AH1360" s="312">
        <v>0</v>
      </c>
      <c r="AI1360" s="311">
        <v>0</v>
      </c>
      <c r="AJ1360" s="312">
        <v>95.6640625</v>
      </c>
      <c r="AK1360" s="311">
        <v>5.2466487480423159E-2</v>
      </c>
      <c r="AL1360" s="312">
        <v>168.12702546296296</v>
      </c>
      <c r="AM1360" s="311">
        <v>9.2208445324735516E-2</v>
      </c>
      <c r="AN1360" s="312">
        <v>0</v>
      </c>
      <c r="AO1360" s="311">
        <v>0</v>
      </c>
      <c r="AP1360" s="312">
        <v>0</v>
      </c>
      <c r="AQ1360" s="311">
        <v>0</v>
      </c>
      <c r="AR1360" s="312">
        <v>1823.3365162037039</v>
      </c>
      <c r="AS1360" s="311">
        <v>7.2882771908099594E-2</v>
      </c>
      <c r="AT1360" s="307"/>
    </row>
    <row r="1361" spans="1:46">
      <c r="A1361" s="313" t="s">
        <v>306</v>
      </c>
      <c r="B1361" s="312">
        <v>0</v>
      </c>
      <c r="C1361" s="311">
        <v>0</v>
      </c>
      <c r="D1361" s="312">
        <v>0</v>
      </c>
      <c r="E1361" s="311">
        <v>0</v>
      </c>
      <c r="F1361" s="312">
        <v>7.2592592592592595</v>
      </c>
      <c r="G1361" s="311">
        <v>3.978049419665783E-3</v>
      </c>
      <c r="H1361" s="312">
        <v>0</v>
      </c>
      <c r="I1361" s="311">
        <v>0</v>
      </c>
      <c r="J1361" s="312">
        <v>0</v>
      </c>
      <c r="K1361" s="311">
        <v>0</v>
      </c>
      <c r="L1361" s="312">
        <v>0</v>
      </c>
      <c r="M1361" s="311">
        <v>0</v>
      </c>
      <c r="N1361" s="312">
        <v>156.90111111111111</v>
      </c>
      <c r="O1361" s="311">
        <v>8.5981276010269114E-2</v>
      </c>
      <c r="P1361" s="312">
        <v>0</v>
      </c>
      <c r="Q1361" s="311">
        <v>0</v>
      </c>
      <c r="R1361" s="312">
        <v>7.2592592592592595</v>
      </c>
      <c r="S1361" s="311">
        <v>3.978049419665783E-3</v>
      </c>
      <c r="T1361" s="312">
        <v>7.2592592592592595</v>
      </c>
      <c r="U1361" s="311">
        <v>3.978049419665783E-3</v>
      </c>
      <c r="V1361" s="312">
        <v>72.19</v>
      </c>
      <c r="W1361" s="311">
        <v>3.9559874823230444E-2</v>
      </c>
      <c r="X1361" s="312">
        <v>0</v>
      </c>
      <c r="Y1361" s="311">
        <v>0</v>
      </c>
      <c r="Z1361" s="312">
        <v>0</v>
      </c>
      <c r="AA1361" s="311">
        <v>0</v>
      </c>
      <c r="AB1361" s="312">
        <v>0</v>
      </c>
      <c r="AC1361" s="311">
        <v>0</v>
      </c>
      <c r="AD1361" s="312">
        <v>36.094999999999999</v>
      </c>
      <c r="AE1361" s="311">
        <v>1.9779937411615222E-2</v>
      </c>
      <c r="AF1361" s="312">
        <v>70.088888888888889</v>
      </c>
      <c r="AG1361" s="311">
        <v>3.8408473070283305E-2</v>
      </c>
      <c r="AH1361" s="312">
        <v>1453.257531463503</v>
      </c>
      <c r="AI1361" s="311">
        <v>0.79638019158627316</v>
      </c>
      <c r="AJ1361" s="312">
        <v>0</v>
      </c>
      <c r="AK1361" s="311">
        <v>0</v>
      </c>
      <c r="AL1361" s="312">
        <v>14.518518518518519</v>
      </c>
      <c r="AM1361" s="311">
        <v>7.956098839331566E-3</v>
      </c>
      <c r="AN1361" s="312">
        <v>0</v>
      </c>
      <c r="AO1361" s="311">
        <v>0</v>
      </c>
      <c r="AP1361" s="312">
        <v>0</v>
      </c>
      <c r="AQ1361" s="311">
        <v>0</v>
      </c>
      <c r="AR1361" s="312">
        <v>1824.828827759799</v>
      </c>
      <c r="AS1361" s="311">
        <v>7.2942422884094485E-2</v>
      </c>
      <c r="AT1361" s="307"/>
    </row>
    <row r="1362" spans="1:46">
      <c r="A1362" s="313" t="s">
        <v>305</v>
      </c>
      <c r="B1362" s="312">
        <v>45.954268292682926</v>
      </c>
      <c r="C1362" s="311">
        <v>8.6664528157449731E-3</v>
      </c>
      <c r="D1362" s="312">
        <v>45.954268292682926</v>
      </c>
      <c r="E1362" s="311">
        <v>8.6664528157449731E-3</v>
      </c>
      <c r="F1362" s="312">
        <v>122.63855166832211</v>
      </c>
      <c r="G1362" s="311">
        <v>2.3128237287025774E-2</v>
      </c>
      <c r="H1362" s="312">
        <v>0</v>
      </c>
      <c r="I1362" s="311">
        <v>0</v>
      </c>
      <c r="J1362" s="312">
        <v>0</v>
      </c>
      <c r="K1362" s="311">
        <v>0</v>
      </c>
      <c r="L1362" s="312">
        <v>0</v>
      </c>
      <c r="M1362" s="311">
        <v>0</v>
      </c>
      <c r="N1362" s="312">
        <v>183.46461483279992</v>
      </c>
      <c r="O1362" s="311">
        <v>3.4599341625475337E-2</v>
      </c>
      <c r="P1362" s="312">
        <v>57.136086474501106</v>
      </c>
      <c r="Q1362" s="311">
        <v>1.0775216664399189E-2</v>
      </c>
      <c r="R1362" s="312">
        <v>45.954268292682926</v>
      </c>
      <c r="S1362" s="311">
        <v>8.6664528157449731E-3</v>
      </c>
      <c r="T1362" s="312">
        <v>205.31075209212503</v>
      </c>
      <c r="U1362" s="311">
        <v>3.8719274872119486E-2</v>
      </c>
      <c r="V1362" s="312">
        <v>260.70692368214003</v>
      </c>
      <c r="W1362" s="311">
        <v>4.916636336018098E-2</v>
      </c>
      <c r="X1362" s="312">
        <v>240.08320220298975</v>
      </c>
      <c r="Y1362" s="311">
        <v>4.5276963839210232E-2</v>
      </c>
      <c r="Z1362" s="312">
        <v>2099.2482632916049</v>
      </c>
      <c r="AA1362" s="311">
        <v>0.39589436842905973</v>
      </c>
      <c r="AB1362" s="312">
        <v>307.53114941706599</v>
      </c>
      <c r="AC1362" s="311">
        <v>5.7996880264094795E-2</v>
      </c>
      <c r="AD1362" s="312">
        <v>214.75265538945712</v>
      </c>
      <c r="AE1362" s="311">
        <v>4.049991054443601E-2</v>
      </c>
      <c r="AF1362" s="312">
        <v>789.55666848231749</v>
      </c>
      <c r="AG1362" s="311">
        <v>0.1489014158418952</v>
      </c>
      <c r="AH1362" s="312">
        <v>490.47826514555459</v>
      </c>
      <c r="AI1362" s="311">
        <v>9.2498627438905828E-2</v>
      </c>
      <c r="AJ1362" s="312">
        <v>68.261960600375232</v>
      </c>
      <c r="AK1362" s="311">
        <v>1.2873430099801854E-2</v>
      </c>
      <c r="AL1362" s="312">
        <v>69.248385939741752</v>
      </c>
      <c r="AM1362" s="311">
        <v>1.3059458709928508E-2</v>
      </c>
      <c r="AN1362" s="312">
        <v>0</v>
      </c>
      <c r="AO1362" s="311">
        <v>0</v>
      </c>
      <c r="AP1362" s="312">
        <v>56.266129032258064</v>
      </c>
      <c r="AQ1362" s="311">
        <v>1.0611152576230345E-2</v>
      </c>
      <c r="AR1362" s="312">
        <v>5302.5464131293111</v>
      </c>
      <c r="AS1362" s="311">
        <v>0.21195444577880612</v>
      </c>
      <c r="AT1362" s="307"/>
    </row>
    <row r="1363" spans="1:46" ht="28.5">
      <c r="A1363" s="313" t="s">
        <v>304</v>
      </c>
      <c r="B1363" s="312">
        <v>166.30358834149496</v>
      </c>
      <c r="C1363" s="311">
        <v>2.2334258247780264E-2</v>
      </c>
      <c r="D1363" s="312">
        <v>0</v>
      </c>
      <c r="E1363" s="311">
        <v>0</v>
      </c>
      <c r="F1363" s="312">
        <v>469.46267463865115</v>
      </c>
      <c r="G1363" s="311">
        <v>6.3047951746794062E-2</v>
      </c>
      <c r="H1363" s="312">
        <v>0</v>
      </c>
      <c r="I1363" s="311">
        <v>0</v>
      </c>
      <c r="J1363" s="312">
        <v>59.15746031746032</v>
      </c>
      <c r="K1363" s="311">
        <v>7.9447353432920802E-3</v>
      </c>
      <c r="L1363" s="312">
        <v>114.81757351345713</v>
      </c>
      <c r="M1363" s="311">
        <v>1.5419783564545032E-2</v>
      </c>
      <c r="N1363" s="312">
        <v>1115.4253691959914</v>
      </c>
      <c r="O1363" s="311">
        <v>0.14979952327061719</v>
      </c>
      <c r="P1363" s="312">
        <v>356.4412008998342</v>
      </c>
      <c r="Q1363" s="311">
        <v>4.786938099434554E-2</v>
      </c>
      <c r="R1363" s="312">
        <v>67.087663282946934</v>
      </c>
      <c r="S1363" s="311">
        <v>9.0097466443398652E-3</v>
      </c>
      <c r="T1363" s="312">
        <v>190.18991213147018</v>
      </c>
      <c r="U1363" s="311">
        <v>2.5542146480594136E-2</v>
      </c>
      <c r="V1363" s="312">
        <v>304.54542941846131</v>
      </c>
      <c r="W1363" s="311">
        <v>4.0899876765412603E-2</v>
      </c>
      <c r="X1363" s="312">
        <v>162.4320109819393</v>
      </c>
      <c r="Y1363" s="311">
        <v>2.1814312710603901E-2</v>
      </c>
      <c r="Z1363" s="312">
        <v>3136.1604332921856</v>
      </c>
      <c r="AA1363" s="311">
        <v>0.42118043105472336</v>
      </c>
      <c r="AB1363" s="312">
        <v>413.7208702454613</v>
      </c>
      <c r="AC1363" s="311">
        <v>5.5561932551836481E-2</v>
      </c>
      <c r="AD1363" s="312">
        <v>202.20915850984912</v>
      </c>
      <c r="AE1363" s="311">
        <v>2.7156308599616995E-2</v>
      </c>
      <c r="AF1363" s="312">
        <v>423.79509160946878</v>
      </c>
      <c r="AG1363" s="311">
        <v>5.691488147995595E-2</v>
      </c>
      <c r="AH1363" s="312">
        <v>136.8701687876339</v>
      </c>
      <c r="AI1363" s="311">
        <v>1.8381405516296689E-2</v>
      </c>
      <c r="AJ1363" s="312">
        <v>104.2511371324486</v>
      </c>
      <c r="AK1363" s="311">
        <v>1.4000731088012858E-2</v>
      </c>
      <c r="AL1363" s="312">
        <v>23.251212178162</v>
      </c>
      <c r="AM1363" s="311">
        <v>3.1225939412362737E-3</v>
      </c>
      <c r="AN1363" s="312">
        <v>0</v>
      </c>
      <c r="AO1363" s="311">
        <v>0</v>
      </c>
      <c r="AP1363" s="312">
        <v>0</v>
      </c>
      <c r="AQ1363" s="311">
        <v>0</v>
      </c>
      <c r="AR1363" s="312">
        <v>7446.1209544768917</v>
      </c>
      <c r="AS1363" s="311">
        <v>0.29763783607821415</v>
      </c>
      <c r="AT1363" s="307"/>
    </row>
    <row r="1364" spans="1:46" ht="28.5">
      <c r="A1364" s="313" t="s">
        <v>303</v>
      </c>
      <c r="B1364" s="312">
        <v>363.36199880856293</v>
      </c>
      <c r="C1364" s="311">
        <v>6.6996687024038645E-2</v>
      </c>
      <c r="D1364" s="312">
        <v>125.32495185201773</v>
      </c>
      <c r="E1364" s="311">
        <v>2.3107415203195088E-2</v>
      </c>
      <c r="F1364" s="312">
        <v>428.89373791054015</v>
      </c>
      <c r="G1364" s="311">
        <v>7.9079429383316566E-2</v>
      </c>
      <c r="H1364" s="312">
        <v>4.6022408963585431</v>
      </c>
      <c r="I1364" s="311">
        <v>8.48561197796059E-4</v>
      </c>
      <c r="J1364" s="312">
        <v>272.49788288750102</v>
      </c>
      <c r="K1364" s="311">
        <v>5.0243160909474859E-2</v>
      </c>
      <c r="L1364" s="312">
        <v>485.55596782763945</v>
      </c>
      <c r="M1364" s="311">
        <v>8.9526811597987949E-2</v>
      </c>
      <c r="N1364" s="312">
        <v>512.07708066793134</v>
      </c>
      <c r="O1364" s="311">
        <v>9.4416774506372245E-2</v>
      </c>
      <c r="P1364" s="312">
        <v>97.852778006691594</v>
      </c>
      <c r="Q1364" s="311">
        <v>1.8042095662295643E-2</v>
      </c>
      <c r="R1364" s="312">
        <v>70.086871465846428</v>
      </c>
      <c r="S1364" s="311">
        <v>1.2922617685635325E-2</v>
      </c>
      <c r="T1364" s="312">
        <v>1247.7282278169523</v>
      </c>
      <c r="U1364" s="311">
        <v>0.23005613642650619</v>
      </c>
      <c r="V1364" s="312">
        <v>226.29338093651407</v>
      </c>
      <c r="W1364" s="311">
        <v>4.1723974625653408E-2</v>
      </c>
      <c r="X1364" s="312">
        <v>9.5448504983388709</v>
      </c>
      <c r="Y1364" s="311">
        <v>1.759879579111834E-3</v>
      </c>
      <c r="Z1364" s="312">
        <v>838.41678635059066</v>
      </c>
      <c r="AA1364" s="311">
        <v>0.15458729095230603</v>
      </c>
      <c r="AB1364" s="312">
        <v>147.70120728403296</v>
      </c>
      <c r="AC1364" s="311">
        <v>2.7233149283435242E-2</v>
      </c>
      <c r="AD1364" s="312">
        <v>9.5448504983388709</v>
      </c>
      <c r="AE1364" s="311">
        <v>1.759879579111834E-3</v>
      </c>
      <c r="AF1364" s="312">
        <v>193.75576815122133</v>
      </c>
      <c r="AG1364" s="311">
        <v>3.5724689429531123E-2</v>
      </c>
      <c r="AH1364" s="312">
        <v>56.340303406316295</v>
      </c>
      <c r="AI1364" s="311">
        <v>1.0388025403121486E-2</v>
      </c>
      <c r="AJ1364" s="312">
        <v>0</v>
      </c>
      <c r="AK1364" s="311">
        <v>0</v>
      </c>
      <c r="AL1364" s="312">
        <v>280.42068658998721</v>
      </c>
      <c r="AM1364" s="311">
        <v>5.1703967492851277E-2</v>
      </c>
      <c r="AN1364" s="312">
        <v>0</v>
      </c>
      <c r="AO1364" s="311">
        <v>0</v>
      </c>
      <c r="AP1364" s="312">
        <v>53.582025219528461</v>
      </c>
      <c r="AQ1364" s="311">
        <v>9.8794540582604704E-3</v>
      </c>
      <c r="AR1364" s="312">
        <v>5423.5815970749036</v>
      </c>
      <c r="AS1364" s="311">
        <v>0.21679248835951859</v>
      </c>
      <c r="AT1364" s="307"/>
    </row>
    <row r="1365" spans="1:46" ht="15.75" thickBot="1">
      <c r="A1365" s="310" t="s">
        <v>302</v>
      </c>
      <c r="B1365" s="309">
        <v>0</v>
      </c>
      <c r="C1365" s="308">
        <v>0</v>
      </c>
      <c r="D1365" s="309">
        <v>0</v>
      </c>
      <c r="E1365" s="308">
        <v>0</v>
      </c>
      <c r="F1365" s="309">
        <v>27.294117647058822</v>
      </c>
      <c r="G1365" s="308">
        <v>5.9069208537681543E-2</v>
      </c>
      <c r="H1365" s="309">
        <v>0</v>
      </c>
      <c r="I1365" s="308">
        <v>0</v>
      </c>
      <c r="J1365" s="309">
        <v>38.210526315789473</v>
      </c>
      <c r="K1365" s="308">
        <v>8.2694211861622693E-2</v>
      </c>
      <c r="L1365" s="309">
        <v>0</v>
      </c>
      <c r="M1365" s="308">
        <v>0</v>
      </c>
      <c r="N1365" s="309">
        <v>97.61677631578948</v>
      </c>
      <c r="O1365" s="308">
        <v>0.21125964911325623</v>
      </c>
      <c r="P1365" s="309">
        <v>0</v>
      </c>
      <c r="Q1365" s="308">
        <v>0</v>
      </c>
      <c r="R1365" s="309">
        <v>0</v>
      </c>
      <c r="S1365" s="308">
        <v>0</v>
      </c>
      <c r="T1365" s="309">
        <v>0</v>
      </c>
      <c r="U1365" s="308">
        <v>0</v>
      </c>
      <c r="V1365" s="309">
        <v>0</v>
      </c>
      <c r="W1365" s="308">
        <v>0</v>
      </c>
      <c r="X1365" s="309">
        <v>0</v>
      </c>
      <c r="Y1365" s="308">
        <v>0</v>
      </c>
      <c r="Z1365" s="309">
        <v>225.89541408668731</v>
      </c>
      <c r="AA1365" s="308">
        <v>0.48887688896696507</v>
      </c>
      <c r="AB1365" s="309">
        <v>0</v>
      </c>
      <c r="AC1365" s="308">
        <v>0</v>
      </c>
      <c r="AD1365" s="309">
        <v>0</v>
      </c>
      <c r="AE1365" s="308">
        <v>0</v>
      </c>
      <c r="AF1365" s="309">
        <v>73.053308823529406</v>
      </c>
      <c r="AG1365" s="308">
        <v>0.15810004152047427</v>
      </c>
      <c r="AH1365" s="309">
        <v>0</v>
      </c>
      <c r="AI1365" s="308">
        <v>0</v>
      </c>
      <c r="AJ1365" s="309">
        <v>0</v>
      </c>
      <c r="AK1365" s="308">
        <v>0</v>
      </c>
      <c r="AL1365" s="309">
        <v>0</v>
      </c>
      <c r="AM1365" s="308">
        <v>0</v>
      </c>
      <c r="AN1365" s="309">
        <v>0</v>
      </c>
      <c r="AO1365" s="308">
        <v>0</v>
      </c>
      <c r="AP1365" s="309">
        <v>0</v>
      </c>
      <c r="AQ1365" s="308">
        <v>0</v>
      </c>
      <c r="AR1365" s="309">
        <v>462.07014318885456</v>
      </c>
      <c r="AS1365" s="308">
        <v>1.8469960181400655E-2</v>
      </c>
      <c r="AT1365" s="307"/>
    </row>
    <row r="1369" spans="1:46" ht="15.75" thickBot="1"/>
    <row r="1370" spans="1:46" ht="49.5" customHeight="1">
      <c r="A1370" s="777" t="s">
        <v>310</v>
      </c>
      <c r="B1370" s="763" t="s">
        <v>349</v>
      </c>
      <c r="C1370" s="764"/>
      <c r="D1370" s="764"/>
      <c r="E1370" s="765"/>
      <c r="F1370" s="326"/>
    </row>
    <row r="1371" spans="1:46" ht="43.5" thickBot="1">
      <c r="A1371" s="778"/>
      <c r="B1371" s="346" t="s">
        <v>95</v>
      </c>
      <c r="C1371" s="345" t="s">
        <v>94</v>
      </c>
      <c r="D1371" s="345" t="s">
        <v>93</v>
      </c>
      <c r="E1371" s="344" t="s">
        <v>92</v>
      </c>
      <c r="F1371" s="326"/>
    </row>
    <row r="1372" spans="1:46" ht="15.75" customHeight="1">
      <c r="A1372" s="316" t="s">
        <v>5</v>
      </c>
      <c r="B1372" s="339">
        <v>1650209.7482878035</v>
      </c>
      <c r="C1372" s="338">
        <v>9200.0789958913028</v>
      </c>
      <c r="D1372" s="338">
        <v>1770070.1003020103</v>
      </c>
      <c r="E1372" s="337">
        <v>37016.710244100017</v>
      </c>
      <c r="F1372" s="326"/>
    </row>
    <row r="1373" spans="1:46">
      <c r="A1373" s="313" t="s">
        <v>309</v>
      </c>
      <c r="B1373" s="342">
        <v>1414619.6673334267</v>
      </c>
      <c r="C1373" s="341">
        <v>35910.517611156334</v>
      </c>
      <c r="D1373" s="341">
        <v>1298308.848548766</v>
      </c>
      <c r="E1373" s="340">
        <v>1307.1117056000003</v>
      </c>
      <c r="F1373" s="326"/>
    </row>
    <row r="1374" spans="1:46">
      <c r="A1374" s="313" t="s">
        <v>308</v>
      </c>
      <c r="B1374" s="342">
        <v>1340019.3336631136</v>
      </c>
      <c r="C1374" s="341">
        <v>14440.493047525977</v>
      </c>
      <c r="D1374" s="341">
        <v>765124.67972236208</v>
      </c>
      <c r="E1374" s="340">
        <v>2807.3746750000032</v>
      </c>
      <c r="F1374" s="326"/>
    </row>
    <row r="1375" spans="1:46">
      <c r="A1375" s="313" t="s">
        <v>307</v>
      </c>
      <c r="B1375" s="342">
        <v>1283483.9169798901</v>
      </c>
      <c r="C1375" s="341">
        <v>14616.209283492304</v>
      </c>
      <c r="D1375" s="341">
        <v>711192.79176123906</v>
      </c>
      <c r="E1375" s="340">
        <v>2367.5828569999994</v>
      </c>
      <c r="F1375" s="326"/>
    </row>
    <row r="1376" spans="1:46">
      <c r="A1376" s="313" t="s">
        <v>306</v>
      </c>
      <c r="B1376" s="342">
        <v>1958284.5774988413</v>
      </c>
      <c r="C1376" s="341">
        <v>45474.869560621948</v>
      </c>
      <c r="D1376" s="341">
        <v>2070322.8029828256</v>
      </c>
      <c r="E1376" s="340">
        <v>2072.6845355000005</v>
      </c>
      <c r="F1376" s="326"/>
    </row>
    <row r="1377" spans="1:6">
      <c r="A1377" s="313" t="s">
        <v>305</v>
      </c>
      <c r="B1377" s="342">
        <v>1704363.0720137493</v>
      </c>
      <c r="C1377" s="341">
        <v>16495.887312637798</v>
      </c>
      <c r="D1377" s="341">
        <v>1363365.1818056221</v>
      </c>
      <c r="E1377" s="340">
        <v>6830.8230440000088</v>
      </c>
      <c r="F1377" s="326"/>
    </row>
    <row r="1378" spans="1:6" ht="28.5">
      <c r="A1378" s="313" t="s">
        <v>304</v>
      </c>
      <c r="B1378" s="342">
        <v>1624573.4383911181</v>
      </c>
      <c r="C1378" s="341">
        <v>20855.137363122431</v>
      </c>
      <c r="D1378" s="341">
        <v>2342601.6948798122</v>
      </c>
      <c r="E1378" s="340">
        <v>12617.426889999984</v>
      </c>
      <c r="F1378" s="326"/>
    </row>
    <row r="1379" spans="1:6" ht="28.5">
      <c r="A1379" s="313" t="s">
        <v>303</v>
      </c>
      <c r="B1379" s="342">
        <v>1768400.5456874168</v>
      </c>
      <c r="C1379" s="341">
        <v>14784.379172314104</v>
      </c>
      <c r="D1379" s="341">
        <v>1370830.2098764428</v>
      </c>
      <c r="E1379" s="340">
        <v>8597.2815350000055</v>
      </c>
      <c r="F1379" s="326"/>
    </row>
    <row r="1380" spans="1:6" ht="15.75" thickBot="1">
      <c r="A1380" s="313" t="s">
        <v>302</v>
      </c>
      <c r="B1380" s="342">
        <v>2480870.8675950249</v>
      </c>
      <c r="C1380" s="341">
        <v>124368.24247513726</v>
      </c>
      <c r="D1380" s="341">
        <v>2537919.8079620949</v>
      </c>
      <c r="E1380" s="340">
        <v>416.42500199999995</v>
      </c>
      <c r="F1380" s="326"/>
    </row>
    <row r="1381" spans="1:6" ht="15" customHeight="1">
      <c r="A1381" s="316" t="s">
        <v>4</v>
      </c>
      <c r="B1381" s="364">
        <v>1911279.1570972074</v>
      </c>
      <c r="C1381" s="363">
        <v>8272.9656446922872</v>
      </c>
      <c r="D1381" s="363">
        <v>1543064.9935030579</v>
      </c>
      <c r="E1381" s="362">
        <v>34789.324483885954</v>
      </c>
      <c r="F1381" s="326"/>
    </row>
    <row r="1382" spans="1:6">
      <c r="A1382" s="313" t="s">
        <v>309</v>
      </c>
      <c r="B1382" s="361">
        <v>1503262.4752346356</v>
      </c>
      <c r="C1382" s="360">
        <v>22104.241979061659</v>
      </c>
      <c r="D1382" s="360">
        <v>872743.23056040378</v>
      </c>
      <c r="E1382" s="359">
        <v>1558.9124493927127</v>
      </c>
      <c r="F1382" s="326"/>
    </row>
    <row r="1383" spans="1:6">
      <c r="A1383" s="313" t="s">
        <v>308</v>
      </c>
      <c r="B1383" s="361">
        <v>1665061.6966408552</v>
      </c>
      <c r="C1383" s="360">
        <v>26844.695044099648</v>
      </c>
      <c r="D1383" s="360">
        <v>1441869.1892442147</v>
      </c>
      <c r="E1383" s="359">
        <v>2884.9266383612112</v>
      </c>
      <c r="F1383" s="326"/>
    </row>
    <row r="1384" spans="1:6">
      <c r="A1384" s="313" t="s">
        <v>307</v>
      </c>
      <c r="B1384" s="361">
        <v>1136721.6087545448</v>
      </c>
      <c r="C1384" s="360">
        <v>12248.505269052333</v>
      </c>
      <c r="D1384" s="360">
        <v>550973.92409067624</v>
      </c>
      <c r="E1384" s="359">
        <v>2023.4659669702107</v>
      </c>
      <c r="F1384" s="326"/>
    </row>
    <row r="1385" spans="1:6">
      <c r="A1385" s="313" t="s">
        <v>306</v>
      </c>
      <c r="B1385" s="361">
        <v>2154171.54675534</v>
      </c>
      <c r="C1385" s="360">
        <v>39139.853304985496</v>
      </c>
      <c r="D1385" s="360">
        <v>1775486.9549442658</v>
      </c>
      <c r="E1385" s="359">
        <v>2057.7688291891027</v>
      </c>
      <c r="F1385" s="326"/>
    </row>
    <row r="1386" spans="1:6">
      <c r="A1386" s="313" t="s">
        <v>305</v>
      </c>
      <c r="B1386" s="361">
        <v>2211603.4189782399</v>
      </c>
      <c r="C1386" s="360">
        <v>18328.377005028251</v>
      </c>
      <c r="D1386" s="360">
        <v>1558337.2329318316</v>
      </c>
      <c r="E1386" s="359">
        <v>7228.9442520943303</v>
      </c>
      <c r="F1386" s="326"/>
    </row>
    <row r="1387" spans="1:6" ht="28.5">
      <c r="A1387" s="313" t="s">
        <v>304</v>
      </c>
      <c r="B1387" s="361">
        <v>1818887.8190618532</v>
      </c>
      <c r="C1387" s="360">
        <v>14401.805440184376</v>
      </c>
      <c r="D1387" s="360">
        <v>1550906.892462329</v>
      </c>
      <c r="E1387" s="359">
        <v>11596.784129262693</v>
      </c>
      <c r="F1387" s="326"/>
    </row>
    <row r="1388" spans="1:6" ht="28.5">
      <c r="A1388" s="313" t="s">
        <v>303</v>
      </c>
      <c r="B1388" s="361">
        <v>2119700.1822293201</v>
      </c>
      <c r="C1388" s="360">
        <v>20925.48676452188</v>
      </c>
      <c r="D1388" s="360">
        <v>1707276.2141065733</v>
      </c>
      <c r="E1388" s="359">
        <v>6656.6610082980242</v>
      </c>
      <c r="F1388" s="326"/>
    </row>
    <row r="1389" spans="1:6" ht="15.75" thickBot="1">
      <c r="A1389" s="313" t="s">
        <v>302</v>
      </c>
      <c r="B1389" s="361">
        <v>1817762.5472947452</v>
      </c>
      <c r="C1389" s="360">
        <v>38228.773413586954</v>
      </c>
      <c r="D1389" s="360">
        <v>1068944.5994035923</v>
      </c>
      <c r="E1389" s="359">
        <v>781.86121031746029</v>
      </c>
      <c r="F1389" s="326"/>
    </row>
    <row r="1390" spans="1:6" ht="15.75" customHeight="1">
      <c r="A1390" s="316" t="s">
        <v>3</v>
      </c>
      <c r="B1390" s="364">
        <v>2305155.8669892726</v>
      </c>
      <c r="C1390" s="363">
        <v>9819.7067473450788</v>
      </c>
      <c r="D1390" s="363">
        <v>1553171.7846712186</v>
      </c>
      <c r="E1390" s="362">
        <v>25017.387078839594</v>
      </c>
      <c r="F1390" s="326"/>
    </row>
    <row r="1391" spans="1:6">
      <c r="A1391" s="313" t="s">
        <v>309</v>
      </c>
      <c r="B1391" s="361">
        <v>2055317.3636229911</v>
      </c>
      <c r="C1391" s="360">
        <v>27357.072656136654</v>
      </c>
      <c r="D1391" s="360">
        <v>871792.86515779782</v>
      </c>
      <c r="E1391" s="359">
        <v>1015.5174093879976</v>
      </c>
      <c r="F1391" s="326"/>
    </row>
    <row r="1392" spans="1:6">
      <c r="A1392" s="313" t="s">
        <v>308</v>
      </c>
      <c r="B1392" s="361">
        <v>1829909.4417853432</v>
      </c>
      <c r="C1392" s="360">
        <v>32681.205313936876</v>
      </c>
      <c r="D1392" s="360">
        <v>1355141.5445371661</v>
      </c>
      <c r="E1392" s="359">
        <v>1719.3852176180899</v>
      </c>
      <c r="F1392" s="326"/>
    </row>
    <row r="1393" spans="1:8">
      <c r="A1393" s="313" t="s">
        <v>307</v>
      </c>
      <c r="B1393" s="361">
        <v>1817378.432354707</v>
      </c>
      <c r="C1393" s="360">
        <v>27143.221954733013</v>
      </c>
      <c r="D1393" s="360">
        <v>1159030.3619119334</v>
      </c>
      <c r="E1393" s="359">
        <v>1823.3365162037039</v>
      </c>
      <c r="F1393" s="326"/>
    </row>
    <row r="1394" spans="1:8">
      <c r="A1394" s="313" t="s">
        <v>306</v>
      </c>
      <c r="B1394" s="361">
        <v>1831470.2757233898</v>
      </c>
      <c r="C1394" s="360">
        <v>23216.520801773855</v>
      </c>
      <c r="D1394" s="360">
        <v>991763.68989596947</v>
      </c>
      <c r="E1394" s="359">
        <v>1824.828827759799</v>
      </c>
      <c r="F1394" s="326"/>
    </row>
    <row r="1395" spans="1:8">
      <c r="A1395" s="313" t="s">
        <v>305</v>
      </c>
      <c r="B1395" s="361">
        <v>2716271.0379868881</v>
      </c>
      <c r="C1395" s="360">
        <v>22879.001834875537</v>
      </c>
      <c r="D1395" s="360">
        <v>1666016.5542379888</v>
      </c>
      <c r="E1395" s="359">
        <v>5302.5464131293111</v>
      </c>
      <c r="F1395" s="326"/>
    </row>
    <row r="1396" spans="1:8" ht="28.5">
      <c r="A1396" s="313" t="s">
        <v>304</v>
      </c>
      <c r="B1396" s="361">
        <v>2258875.495345558</v>
      </c>
      <c r="C1396" s="360">
        <v>18436.24311952373</v>
      </c>
      <c r="D1396" s="360">
        <v>1590880.1750245243</v>
      </c>
      <c r="E1396" s="359">
        <v>7446.1209544768917</v>
      </c>
      <c r="F1396" s="326"/>
    </row>
    <row r="1397" spans="1:8" ht="28.5">
      <c r="A1397" s="313" t="s">
        <v>303</v>
      </c>
      <c r="B1397" s="361">
        <v>2438707.0761975576</v>
      </c>
      <c r="C1397" s="360">
        <v>22652.571850156153</v>
      </c>
      <c r="D1397" s="360">
        <v>1668247.972908675</v>
      </c>
      <c r="E1397" s="359">
        <v>5423.5815970749036</v>
      </c>
      <c r="F1397" s="326"/>
    </row>
    <row r="1398" spans="1:8" ht="15.75" thickBot="1">
      <c r="A1398" s="310" t="s">
        <v>302</v>
      </c>
      <c r="B1398" s="358">
        <v>2878555.0610476602</v>
      </c>
      <c r="C1398" s="357">
        <v>71014.513178422538</v>
      </c>
      <c r="D1398" s="357">
        <v>1526514.9708585416</v>
      </c>
      <c r="E1398" s="356">
        <v>462.07014318885456</v>
      </c>
      <c r="F1398" s="326"/>
    </row>
    <row r="1403" spans="1:8" ht="15.75" thickBot="1"/>
    <row r="1404" spans="1:8" ht="48" customHeight="1">
      <c r="A1404" s="775" t="s">
        <v>310</v>
      </c>
      <c r="B1404" s="755" t="s">
        <v>350</v>
      </c>
      <c r="C1404" s="756"/>
      <c r="D1404" s="756"/>
      <c r="E1404" s="756"/>
      <c r="F1404" s="756"/>
      <c r="G1404" s="757"/>
      <c r="H1404" s="307"/>
    </row>
    <row r="1405" spans="1:8" ht="15" customHeight="1">
      <c r="A1405" s="776"/>
      <c r="B1405" s="767" t="s">
        <v>27</v>
      </c>
      <c r="C1405" s="759"/>
      <c r="D1405" s="768" t="s">
        <v>26</v>
      </c>
      <c r="E1405" s="759"/>
      <c r="F1405" s="769" t="s">
        <v>9</v>
      </c>
      <c r="G1405" s="762"/>
      <c r="H1405" s="307"/>
    </row>
    <row r="1406" spans="1:8" ht="15.75" customHeight="1" thickBot="1">
      <c r="A1406" s="754"/>
      <c r="B1406" s="318" t="s">
        <v>7</v>
      </c>
      <c r="C1406" s="318" t="s">
        <v>8</v>
      </c>
      <c r="D1406" s="318" t="s">
        <v>7</v>
      </c>
      <c r="E1406" s="318" t="s">
        <v>8</v>
      </c>
      <c r="F1406" s="318" t="s">
        <v>7</v>
      </c>
      <c r="G1406" s="317" t="s">
        <v>8</v>
      </c>
      <c r="H1406" s="307"/>
    </row>
    <row r="1407" spans="1:8" ht="15.75" customHeight="1">
      <c r="A1407" s="316" t="s">
        <v>5</v>
      </c>
      <c r="B1407" s="315">
        <v>1690.6819097999996</v>
      </c>
      <c r="C1407" s="314">
        <v>0.24238548188479453</v>
      </c>
      <c r="D1407" s="315">
        <v>5284.4962100000048</v>
      </c>
      <c r="E1407" s="314">
        <v>0.75761451811520519</v>
      </c>
      <c r="F1407" s="315">
        <v>6975.1781198000072</v>
      </c>
      <c r="G1407" s="314">
        <v>1</v>
      </c>
      <c r="H1407" s="307"/>
    </row>
    <row r="1408" spans="1:8">
      <c r="A1408" s="313" t="s">
        <v>309</v>
      </c>
      <c r="B1408" s="312">
        <v>60.186695800000003</v>
      </c>
      <c r="C1408" s="311">
        <v>0.37703666337779185</v>
      </c>
      <c r="D1408" s="312">
        <v>99.444187999999997</v>
      </c>
      <c r="E1408" s="311">
        <v>0.62296333662220815</v>
      </c>
      <c r="F1408" s="312">
        <v>159.63088379999999</v>
      </c>
      <c r="G1408" s="311">
        <v>2.2885563788954101E-2</v>
      </c>
      <c r="H1408" s="307"/>
    </row>
    <row r="1409" spans="1:8">
      <c r="A1409" s="313" t="s">
        <v>308</v>
      </c>
      <c r="B1409" s="312">
        <v>115.472859</v>
      </c>
      <c r="C1409" s="311">
        <v>0.28826081180507718</v>
      </c>
      <c r="D1409" s="312">
        <v>285.11180000000002</v>
      </c>
      <c r="E1409" s="311">
        <v>0.71173918819492299</v>
      </c>
      <c r="F1409" s="312">
        <v>400.58465899999993</v>
      </c>
      <c r="G1409" s="311">
        <v>5.7430025745562684E-2</v>
      </c>
      <c r="H1409" s="307"/>
    </row>
    <row r="1410" spans="1:8">
      <c r="A1410" s="313" t="s">
        <v>307</v>
      </c>
      <c r="B1410" s="312">
        <v>0</v>
      </c>
      <c r="C1410" s="311">
        <v>0</v>
      </c>
      <c r="D1410" s="312">
        <v>64.032352000000003</v>
      </c>
      <c r="E1410" s="311">
        <v>1</v>
      </c>
      <c r="F1410" s="312">
        <v>64.032352000000003</v>
      </c>
      <c r="G1410" s="311">
        <v>9.1800310902793031E-3</v>
      </c>
      <c r="H1410" s="307"/>
    </row>
    <row r="1411" spans="1:8">
      <c r="A1411" s="313" t="s">
        <v>306</v>
      </c>
      <c r="B1411" s="312">
        <v>148.29420399999998</v>
      </c>
      <c r="C1411" s="311">
        <v>0.47782843229216126</v>
      </c>
      <c r="D1411" s="312">
        <v>162.05610999999999</v>
      </c>
      <c r="E1411" s="311">
        <v>0.52217156770783868</v>
      </c>
      <c r="F1411" s="312">
        <v>310.35031399999997</v>
      </c>
      <c r="G1411" s="311">
        <v>4.4493532447440691E-2</v>
      </c>
      <c r="H1411" s="307"/>
    </row>
    <row r="1412" spans="1:8">
      <c r="A1412" s="313" t="s">
        <v>305</v>
      </c>
      <c r="B1412" s="312">
        <v>108.526314</v>
      </c>
      <c r="C1412" s="311">
        <v>0.15076291885562851</v>
      </c>
      <c r="D1412" s="312">
        <v>611.32121099999995</v>
      </c>
      <c r="E1412" s="311">
        <v>0.84923708114437158</v>
      </c>
      <c r="F1412" s="312">
        <v>719.84752499999991</v>
      </c>
      <c r="G1412" s="311">
        <v>0.10320131079615204</v>
      </c>
      <c r="H1412" s="307"/>
    </row>
    <row r="1413" spans="1:8" ht="28.5">
      <c r="A1413" s="313" t="s">
        <v>304</v>
      </c>
      <c r="B1413" s="312">
        <v>980.06955999999991</v>
      </c>
      <c r="C1413" s="311">
        <v>0.27103989067022405</v>
      </c>
      <c r="D1413" s="312">
        <v>2635.8910189999997</v>
      </c>
      <c r="E1413" s="311">
        <v>0.72896010932977606</v>
      </c>
      <c r="F1413" s="312">
        <v>3615.9605789999991</v>
      </c>
      <c r="G1413" s="311">
        <v>0.51840404888523139</v>
      </c>
      <c r="H1413" s="307"/>
    </row>
    <row r="1414" spans="1:8" ht="28.5">
      <c r="A1414" s="313" t="s">
        <v>303</v>
      </c>
      <c r="B1414" s="312">
        <v>278.13227700000004</v>
      </c>
      <c r="C1414" s="311">
        <v>0.18369416376928915</v>
      </c>
      <c r="D1414" s="312">
        <v>1235.9728600000001</v>
      </c>
      <c r="E1414" s="311">
        <v>0.81630583623071062</v>
      </c>
      <c r="F1414" s="312">
        <v>1514.1051370000005</v>
      </c>
      <c r="G1414" s="311">
        <v>0.21707046200039015</v>
      </c>
      <c r="H1414" s="307"/>
    </row>
    <row r="1415" spans="1:8" ht="15.75" thickBot="1">
      <c r="A1415" s="313" t="s">
        <v>302</v>
      </c>
      <c r="B1415" s="312">
        <v>0</v>
      </c>
      <c r="C1415" s="311">
        <v>0</v>
      </c>
      <c r="D1415" s="312">
        <v>190.66667000000001</v>
      </c>
      <c r="E1415" s="311">
        <v>1</v>
      </c>
      <c r="F1415" s="312">
        <v>190.66667000000001</v>
      </c>
      <c r="G1415" s="311">
        <v>2.7335025245988531E-2</v>
      </c>
      <c r="H1415" s="307"/>
    </row>
    <row r="1416" spans="1:8" ht="15" customHeight="1">
      <c r="A1416" s="316" t="s">
        <v>4</v>
      </c>
      <c r="B1416" s="315">
        <v>1074.5062936856527</v>
      </c>
      <c r="C1416" s="314">
        <v>0.15218553889434694</v>
      </c>
      <c r="D1416" s="315">
        <v>5985.9956534252142</v>
      </c>
      <c r="E1416" s="314">
        <v>0.84781446110565351</v>
      </c>
      <c r="F1416" s="315">
        <v>7060.5019471108635</v>
      </c>
      <c r="G1416" s="314">
        <v>1</v>
      </c>
      <c r="H1416" s="307"/>
    </row>
    <row r="1417" spans="1:8">
      <c r="A1417" s="313" t="s">
        <v>309</v>
      </c>
      <c r="B1417" s="312">
        <v>25</v>
      </c>
      <c r="C1417" s="311">
        <v>6.4737436154154462E-2</v>
      </c>
      <c r="D1417" s="312">
        <v>361.17531810294975</v>
      </c>
      <c r="E1417" s="311">
        <v>0.93526256384584561</v>
      </c>
      <c r="F1417" s="312">
        <v>386.17531810294975</v>
      </c>
      <c r="G1417" s="311">
        <v>5.4695164875773673E-2</v>
      </c>
      <c r="H1417" s="307"/>
    </row>
    <row r="1418" spans="1:8">
      <c r="A1418" s="313" t="s">
        <v>308</v>
      </c>
      <c r="B1418" s="312">
        <v>98.320837063380637</v>
      </c>
      <c r="C1418" s="311">
        <v>0.12921204487481516</v>
      </c>
      <c r="D1418" s="312">
        <v>662.60541527352098</v>
      </c>
      <c r="E1418" s="311">
        <v>0.87078795512518492</v>
      </c>
      <c r="F1418" s="312">
        <v>760.92625233690148</v>
      </c>
      <c r="G1418" s="311">
        <v>0.10777226010797579</v>
      </c>
      <c r="H1418" s="307"/>
    </row>
    <row r="1419" spans="1:8">
      <c r="A1419" s="313" t="s">
        <v>307</v>
      </c>
      <c r="B1419" s="312">
        <v>0</v>
      </c>
      <c r="C1419" s="311">
        <v>0</v>
      </c>
      <c r="D1419" s="312">
        <v>296.88722539486548</v>
      </c>
      <c r="E1419" s="311">
        <v>1</v>
      </c>
      <c r="F1419" s="312">
        <v>296.88722539486548</v>
      </c>
      <c r="G1419" s="311">
        <v>4.2049025355251242E-2</v>
      </c>
      <c r="H1419" s="307"/>
    </row>
    <row r="1420" spans="1:8">
      <c r="A1420" s="313" t="s">
        <v>306</v>
      </c>
      <c r="B1420" s="312">
        <v>63.357142857142854</v>
      </c>
      <c r="C1420" s="311">
        <v>0.14612866229510238</v>
      </c>
      <c r="D1420" s="312">
        <v>370.21380662020908</v>
      </c>
      <c r="E1420" s="311">
        <v>0.85387133770489765</v>
      </c>
      <c r="F1420" s="312">
        <v>433.57094947735192</v>
      </c>
      <c r="G1420" s="311">
        <v>6.1407949849056821E-2</v>
      </c>
      <c r="H1420" s="307"/>
    </row>
    <row r="1421" spans="1:8">
      <c r="A1421" s="313" t="s">
        <v>305</v>
      </c>
      <c r="B1421" s="312">
        <v>105.82234957020057</v>
      </c>
      <c r="C1421" s="311">
        <v>0.12444681217934579</v>
      </c>
      <c r="D1421" s="312">
        <v>744.51963763711592</v>
      </c>
      <c r="E1421" s="311">
        <v>0.87555318782065428</v>
      </c>
      <c r="F1421" s="312">
        <v>850.34198720731638</v>
      </c>
      <c r="G1421" s="311">
        <v>0.12043647796956897</v>
      </c>
      <c r="H1421" s="307"/>
    </row>
    <row r="1422" spans="1:8" ht="28.5">
      <c r="A1422" s="313" t="s">
        <v>304</v>
      </c>
      <c r="B1422" s="312">
        <v>569.90852649664271</v>
      </c>
      <c r="C1422" s="311">
        <v>0.22635637586573507</v>
      </c>
      <c r="D1422" s="312">
        <v>1947.8404183560876</v>
      </c>
      <c r="E1422" s="311">
        <v>0.77364362413426457</v>
      </c>
      <c r="F1422" s="312">
        <v>2517.7489448527313</v>
      </c>
      <c r="G1422" s="311">
        <v>0.35659631053327401</v>
      </c>
      <c r="H1422" s="307"/>
    </row>
    <row r="1423" spans="1:8" ht="28.5">
      <c r="A1423" s="313" t="s">
        <v>303</v>
      </c>
      <c r="B1423" s="312">
        <v>212.09743769828589</v>
      </c>
      <c r="C1423" s="311">
        <v>0.13182977950601335</v>
      </c>
      <c r="D1423" s="312">
        <v>1396.776054262695</v>
      </c>
      <c r="E1423" s="311">
        <v>0.8681702204939864</v>
      </c>
      <c r="F1423" s="312">
        <v>1608.8734919609813</v>
      </c>
      <c r="G1423" s="311">
        <v>0.22786956281760215</v>
      </c>
      <c r="H1423" s="307"/>
    </row>
    <row r="1424" spans="1:8" ht="15.75" thickBot="1">
      <c r="A1424" s="313" t="s">
        <v>302</v>
      </c>
      <c r="B1424" s="312">
        <v>0</v>
      </c>
      <c r="C1424" s="311">
        <v>0</v>
      </c>
      <c r="D1424" s="312">
        <v>205.97777777777779</v>
      </c>
      <c r="E1424" s="311">
        <v>1</v>
      </c>
      <c r="F1424" s="312">
        <v>205.97777777777779</v>
      </c>
      <c r="G1424" s="311">
        <v>2.9173248491499004E-2</v>
      </c>
      <c r="H1424" s="307"/>
    </row>
    <row r="1425" spans="1:20" ht="15.75" customHeight="1">
      <c r="A1425" s="316" t="s">
        <v>3</v>
      </c>
      <c r="B1425" s="315">
        <v>1077.9602678948579</v>
      </c>
      <c r="C1425" s="314">
        <v>0.17739644050820988</v>
      </c>
      <c r="D1425" s="315">
        <v>4998.6005966111634</v>
      </c>
      <c r="E1425" s="314">
        <v>0.82260355949179087</v>
      </c>
      <c r="F1425" s="315">
        <v>6076.5608645060165</v>
      </c>
      <c r="G1425" s="314">
        <v>1</v>
      </c>
      <c r="H1425" s="307"/>
    </row>
    <row r="1426" spans="1:20">
      <c r="A1426" s="313" t="s">
        <v>309</v>
      </c>
      <c r="B1426" s="312">
        <v>0</v>
      </c>
      <c r="C1426" s="311">
        <v>0</v>
      </c>
      <c r="D1426" s="312">
        <v>89.673202614379079</v>
      </c>
      <c r="E1426" s="311">
        <v>1</v>
      </c>
      <c r="F1426" s="312">
        <v>89.673202614379079</v>
      </c>
      <c r="G1426" s="311">
        <v>1.4757229395688593E-2</v>
      </c>
      <c r="H1426" s="307"/>
    </row>
    <row r="1427" spans="1:20">
      <c r="A1427" s="313" t="s">
        <v>308</v>
      </c>
      <c r="B1427" s="312">
        <v>23.334858014103297</v>
      </c>
      <c r="C1427" s="311">
        <v>4.2782112703566924E-2</v>
      </c>
      <c r="D1427" s="312">
        <v>522.1000571755286</v>
      </c>
      <c r="E1427" s="311">
        <v>0.9572178872964332</v>
      </c>
      <c r="F1427" s="312">
        <v>545.43491518963185</v>
      </c>
      <c r="G1427" s="311">
        <v>8.976046276037293E-2</v>
      </c>
      <c r="H1427" s="307"/>
    </row>
    <row r="1428" spans="1:20">
      <c r="A1428" s="313" t="s">
        <v>307</v>
      </c>
      <c r="B1428" s="312">
        <v>144.92592592592592</v>
      </c>
      <c r="C1428" s="311">
        <v>0.46294380961095682</v>
      </c>
      <c r="D1428" s="312">
        <v>168.12702546296296</v>
      </c>
      <c r="E1428" s="311">
        <v>0.53705619038904306</v>
      </c>
      <c r="F1428" s="312">
        <v>313.05295138888891</v>
      </c>
      <c r="G1428" s="311">
        <v>5.1518113348863491E-2</v>
      </c>
      <c r="H1428" s="307"/>
    </row>
    <row r="1429" spans="1:20">
      <c r="A1429" s="313" t="s">
        <v>306</v>
      </c>
      <c r="B1429" s="312">
        <v>0</v>
      </c>
      <c r="C1429" s="311">
        <v>0</v>
      </c>
      <c r="D1429" s="312">
        <v>242.61013304566703</v>
      </c>
      <c r="E1429" s="311">
        <v>1</v>
      </c>
      <c r="F1429" s="312">
        <v>242.61013304566703</v>
      </c>
      <c r="G1429" s="311">
        <v>3.9925566196955982E-2</v>
      </c>
      <c r="H1429" s="307"/>
    </row>
    <row r="1430" spans="1:20">
      <c r="A1430" s="313" t="s">
        <v>305</v>
      </c>
      <c r="B1430" s="312">
        <v>91.908536585365852</v>
      </c>
      <c r="C1430" s="311">
        <v>0.12086041306293951</v>
      </c>
      <c r="D1430" s="312">
        <v>668.54341170893099</v>
      </c>
      <c r="E1430" s="311">
        <v>0.8791395869370604</v>
      </c>
      <c r="F1430" s="312">
        <v>760.45194829429693</v>
      </c>
      <c r="G1430" s="311">
        <v>0.1251451215993237</v>
      </c>
      <c r="H1430" s="307"/>
    </row>
    <row r="1431" spans="1:20" ht="28.5">
      <c r="A1431" s="313" t="s">
        <v>304</v>
      </c>
      <c r="B1431" s="312">
        <v>471.98513944598841</v>
      </c>
      <c r="C1431" s="311">
        <v>0.21133607646626842</v>
      </c>
      <c r="D1431" s="312">
        <v>1761.3540392593682</v>
      </c>
      <c r="E1431" s="311">
        <v>0.78866392353373138</v>
      </c>
      <c r="F1431" s="312">
        <v>2233.339178705357</v>
      </c>
      <c r="G1431" s="311">
        <v>0.36753341709297804</v>
      </c>
      <c r="H1431" s="307"/>
    </row>
    <row r="1432" spans="1:20" ht="28.5">
      <c r="A1432" s="313" t="s">
        <v>303</v>
      </c>
      <c r="B1432" s="312">
        <v>332.15874909994494</v>
      </c>
      <c r="C1432" s="311">
        <v>0.19296651320388705</v>
      </c>
      <c r="D1432" s="312">
        <v>1389.1697010285409</v>
      </c>
      <c r="E1432" s="311">
        <v>0.80703348679611286</v>
      </c>
      <c r="F1432" s="312">
        <v>1721.3284501284861</v>
      </c>
      <c r="G1432" s="311">
        <v>0.28327346479535648</v>
      </c>
      <c r="H1432" s="307"/>
    </row>
    <row r="1433" spans="1:20" ht="15.75" thickBot="1">
      <c r="A1433" s="310" t="s">
        <v>302</v>
      </c>
      <c r="B1433" s="309">
        <v>13.647058823529411</v>
      </c>
      <c r="C1433" s="308">
        <v>7.9961633653544167E-2</v>
      </c>
      <c r="D1433" s="309">
        <v>157.02302631578948</v>
      </c>
      <c r="E1433" s="308">
        <v>0.92003836634645575</v>
      </c>
      <c r="F1433" s="309">
        <v>170.6700851393189</v>
      </c>
      <c r="G1433" s="308">
        <v>2.8086624810462296E-2</v>
      </c>
      <c r="H1433" s="307"/>
    </row>
    <row r="1437" spans="1:20" ht="15.75" thickBot="1"/>
    <row r="1438" spans="1:20" ht="15" customHeight="1">
      <c r="A1438" s="775" t="s">
        <v>310</v>
      </c>
      <c r="B1438" s="755" t="s">
        <v>351</v>
      </c>
      <c r="C1438" s="756"/>
      <c r="D1438" s="756"/>
      <c r="E1438" s="756"/>
      <c r="F1438" s="756"/>
      <c r="G1438" s="756"/>
      <c r="H1438" s="756"/>
      <c r="I1438" s="756"/>
      <c r="J1438" s="756"/>
      <c r="K1438" s="756"/>
      <c r="L1438" s="756"/>
      <c r="M1438" s="756"/>
      <c r="N1438" s="756"/>
      <c r="O1438" s="756"/>
      <c r="P1438" s="756"/>
      <c r="Q1438" s="756"/>
      <c r="R1438" s="756"/>
      <c r="S1438" s="757"/>
      <c r="T1438" s="307"/>
    </row>
    <row r="1439" spans="1:20" ht="50.25" customHeight="1">
      <c r="A1439" s="776"/>
      <c r="B1439" s="758" t="s">
        <v>128</v>
      </c>
      <c r="C1439" s="885"/>
      <c r="D1439" s="760" t="s">
        <v>127</v>
      </c>
      <c r="E1439" s="885"/>
      <c r="F1439" s="760" t="s">
        <v>126</v>
      </c>
      <c r="G1439" s="885"/>
      <c r="H1439" s="760" t="s">
        <v>125</v>
      </c>
      <c r="I1439" s="885"/>
      <c r="J1439" s="760" t="s">
        <v>124</v>
      </c>
      <c r="K1439" s="885"/>
      <c r="L1439" s="760" t="s">
        <v>123</v>
      </c>
      <c r="M1439" s="885"/>
      <c r="N1439" s="760" t="s">
        <v>122</v>
      </c>
      <c r="O1439" s="885"/>
      <c r="P1439" s="760" t="s">
        <v>121</v>
      </c>
      <c r="Q1439" s="885"/>
      <c r="R1439" s="761" t="s">
        <v>9</v>
      </c>
      <c r="S1439" s="886"/>
      <c r="T1439" s="307"/>
    </row>
    <row r="1440" spans="1:20" ht="15.75" customHeight="1" thickBot="1">
      <c r="A1440" s="754"/>
      <c r="B1440" s="318" t="s">
        <v>7</v>
      </c>
      <c r="C1440" s="318" t="s">
        <v>8</v>
      </c>
      <c r="D1440" s="318" t="s">
        <v>7</v>
      </c>
      <c r="E1440" s="318" t="s">
        <v>8</v>
      </c>
      <c r="F1440" s="318" t="s">
        <v>7</v>
      </c>
      <c r="G1440" s="318" t="s">
        <v>8</v>
      </c>
      <c r="H1440" s="318" t="s">
        <v>7</v>
      </c>
      <c r="I1440" s="318" t="s">
        <v>8</v>
      </c>
      <c r="J1440" s="318" t="s">
        <v>7</v>
      </c>
      <c r="K1440" s="318" t="s">
        <v>8</v>
      </c>
      <c r="L1440" s="318" t="s">
        <v>7</v>
      </c>
      <c r="M1440" s="318" t="s">
        <v>8</v>
      </c>
      <c r="N1440" s="318" t="s">
        <v>7</v>
      </c>
      <c r="O1440" s="318" t="s">
        <v>8</v>
      </c>
      <c r="P1440" s="318" t="s">
        <v>7</v>
      </c>
      <c r="Q1440" s="318" t="s">
        <v>8</v>
      </c>
      <c r="R1440" s="318" t="s">
        <v>7</v>
      </c>
      <c r="S1440" s="317" t="s">
        <v>6</v>
      </c>
      <c r="T1440" s="307"/>
    </row>
    <row r="1441" spans="1:20" ht="15.75" customHeight="1">
      <c r="A1441" s="316" t="s">
        <v>5</v>
      </c>
      <c r="B1441" s="315">
        <v>395.53789599999999</v>
      </c>
      <c r="C1441" s="314">
        <v>0.23395169351920869</v>
      </c>
      <c r="D1441" s="315">
        <v>238.00087199999999</v>
      </c>
      <c r="E1441" s="314">
        <v>0.14077211722703914</v>
      </c>
      <c r="F1441" s="315">
        <v>448.20443599999999</v>
      </c>
      <c r="G1441" s="314">
        <v>0.26510275729691851</v>
      </c>
      <c r="H1441" s="315">
        <v>6.108333</v>
      </c>
      <c r="I1441" s="314">
        <v>3.6129404145115564E-3</v>
      </c>
      <c r="J1441" s="315">
        <v>312.23906700000003</v>
      </c>
      <c r="K1441" s="314">
        <v>0.18468232562856049</v>
      </c>
      <c r="L1441" s="315">
        <v>273.08408579999997</v>
      </c>
      <c r="M1441" s="314">
        <v>0.1615230423990901</v>
      </c>
      <c r="N1441" s="315">
        <v>17.50722</v>
      </c>
      <c r="O1441" s="314">
        <v>1.0355123514671681E-2</v>
      </c>
      <c r="P1441" s="315">
        <v>0</v>
      </c>
      <c r="Q1441" s="314">
        <v>0</v>
      </c>
      <c r="R1441" s="315">
        <v>1690.6819097999996</v>
      </c>
      <c r="S1441" s="314">
        <v>1</v>
      </c>
      <c r="T1441" s="307"/>
    </row>
    <row r="1442" spans="1:20">
      <c r="A1442" s="313" t="s">
        <v>309</v>
      </c>
      <c r="B1442" s="312">
        <v>0</v>
      </c>
      <c r="C1442" s="311">
        <v>0</v>
      </c>
      <c r="D1442" s="312">
        <v>11.090909</v>
      </c>
      <c r="E1442" s="311">
        <v>0.18427509356644228</v>
      </c>
      <c r="F1442" s="312">
        <v>0</v>
      </c>
      <c r="G1442" s="311">
        <v>0</v>
      </c>
      <c r="H1442" s="312">
        <v>0</v>
      </c>
      <c r="I1442" s="311">
        <v>0</v>
      </c>
      <c r="J1442" s="312">
        <v>47.206898000000002</v>
      </c>
      <c r="K1442" s="311">
        <v>0.78434108024252103</v>
      </c>
      <c r="L1442" s="312">
        <v>1.8888887999999999</v>
      </c>
      <c r="M1442" s="311">
        <v>3.1383826191036725E-2</v>
      </c>
      <c r="N1442" s="312">
        <v>0</v>
      </c>
      <c r="O1442" s="311">
        <v>0</v>
      </c>
      <c r="P1442" s="312">
        <v>0</v>
      </c>
      <c r="Q1442" s="311">
        <v>0</v>
      </c>
      <c r="R1442" s="312">
        <v>60.186695800000003</v>
      </c>
      <c r="S1442" s="311">
        <v>3.5599065354120829E-2</v>
      </c>
      <c r="T1442" s="307"/>
    </row>
    <row r="1443" spans="1:20">
      <c r="A1443" s="313" t="s">
        <v>308</v>
      </c>
      <c r="B1443" s="312">
        <v>6.9052629999999997</v>
      </c>
      <c r="C1443" s="311">
        <v>5.9799879034778201E-2</v>
      </c>
      <c r="D1443" s="312">
        <v>6.9052629999999997</v>
      </c>
      <c r="E1443" s="311">
        <v>5.9799879034778201E-2</v>
      </c>
      <c r="F1443" s="312">
        <v>83.403509999999997</v>
      </c>
      <c r="G1443" s="311">
        <v>0.72227803764692444</v>
      </c>
      <c r="H1443" s="312">
        <v>0</v>
      </c>
      <c r="I1443" s="311">
        <v>0</v>
      </c>
      <c r="J1443" s="312">
        <v>18.258823</v>
      </c>
      <c r="K1443" s="311">
        <v>0.15812220428351911</v>
      </c>
      <c r="L1443" s="312">
        <v>0</v>
      </c>
      <c r="M1443" s="311">
        <v>0</v>
      </c>
      <c r="N1443" s="312">
        <v>0</v>
      </c>
      <c r="O1443" s="311">
        <v>0</v>
      </c>
      <c r="P1443" s="312">
        <v>0</v>
      </c>
      <c r="Q1443" s="311">
        <v>0</v>
      </c>
      <c r="R1443" s="312">
        <v>115.472859</v>
      </c>
      <c r="S1443" s="311">
        <v>6.8299576833858677E-2</v>
      </c>
      <c r="T1443" s="307"/>
    </row>
    <row r="1444" spans="1:20">
      <c r="A1444" s="313" t="s">
        <v>307</v>
      </c>
      <c r="B1444" s="312">
        <v>0</v>
      </c>
      <c r="C1444" s="311">
        <v>0</v>
      </c>
      <c r="D1444" s="312">
        <v>0</v>
      </c>
      <c r="E1444" s="311">
        <v>0</v>
      </c>
      <c r="F1444" s="312">
        <v>0</v>
      </c>
      <c r="G1444" s="311">
        <v>0</v>
      </c>
      <c r="H1444" s="312">
        <v>0</v>
      </c>
      <c r="I1444" s="311">
        <v>0</v>
      </c>
      <c r="J1444" s="312">
        <v>0</v>
      </c>
      <c r="K1444" s="311">
        <v>0</v>
      </c>
      <c r="L1444" s="312">
        <v>0</v>
      </c>
      <c r="M1444" s="311">
        <v>0</v>
      </c>
      <c r="N1444" s="312">
        <v>0</v>
      </c>
      <c r="O1444" s="311">
        <v>0</v>
      </c>
      <c r="P1444" s="312">
        <v>0</v>
      </c>
      <c r="Q1444" s="311">
        <v>0</v>
      </c>
      <c r="R1444" s="312">
        <v>0</v>
      </c>
      <c r="S1444" s="311">
        <v>0</v>
      </c>
      <c r="T1444" s="307"/>
    </row>
    <row r="1445" spans="1:20">
      <c r="A1445" s="313" t="s">
        <v>306</v>
      </c>
      <c r="B1445" s="312">
        <v>0</v>
      </c>
      <c r="C1445" s="311">
        <v>0</v>
      </c>
      <c r="D1445" s="312">
        <v>72.371899999999997</v>
      </c>
      <c r="E1445" s="311">
        <v>0.4880291882479777</v>
      </c>
      <c r="F1445" s="312">
        <v>59.68421</v>
      </c>
      <c r="G1445" s="311">
        <v>0.40247162997685337</v>
      </c>
      <c r="H1445" s="312">
        <v>0</v>
      </c>
      <c r="I1445" s="311">
        <v>0</v>
      </c>
      <c r="J1445" s="312">
        <v>0</v>
      </c>
      <c r="K1445" s="311">
        <v>0</v>
      </c>
      <c r="L1445" s="312">
        <v>16.238094</v>
      </c>
      <c r="M1445" s="311">
        <v>0.10949918177516907</v>
      </c>
      <c r="N1445" s="312">
        <v>0</v>
      </c>
      <c r="O1445" s="311">
        <v>0</v>
      </c>
      <c r="P1445" s="312">
        <v>0</v>
      </c>
      <c r="Q1445" s="311">
        <v>0</v>
      </c>
      <c r="R1445" s="312">
        <v>148.29420399999998</v>
      </c>
      <c r="S1445" s="311">
        <v>8.7712657916557787E-2</v>
      </c>
      <c r="T1445" s="307"/>
    </row>
    <row r="1446" spans="1:20">
      <c r="A1446" s="313" t="s">
        <v>305</v>
      </c>
      <c r="B1446" s="312">
        <v>0</v>
      </c>
      <c r="C1446" s="311">
        <v>0</v>
      </c>
      <c r="D1446" s="312">
        <v>54.263157</v>
      </c>
      <c r="E1446" s="311">
        <v>0.5</v>
      </c>
      <c r="F1446" s="312">
        <v>0</v>
      </c>
      <c r="G1446" s="311">
        <v>0</v>
      </c>
      <c r="H1446" s="312">
        <v>0</v>
      </c>
      <c r="I1446" s="311">
        <v>0</v>
      </c>
      <c r="J1446" s="312">
        <v>54.263157</v>
      </c>
      <c r="K1446" s="311">
        <v>0.5</v>
      </c>
      <c r="L1446" s="312">
        <v>0</v>
      </c>
      <c r="M1446" s="311">
        <v>0</v>
      </c>
      <c r="N1446" s="312">
        <v>0</v>
      </c>
      <c r="O1446" s="311">
        <v>0</v>
      </c>
      <c r="P1446" s="312">
        <v>0</v>
      </c>
      <c r="Q1446" s="311">
        <v>0</v>
      </c>
      <c r="R1446" s="312">
        <v>108.526314</v>
      </c>
      <c r="S1446" s="311">
        <v>6.419085303446477E-2</v>
      </c>
      <c r="T1446" s="307"/>
    </row>
    <row r="1447" spans="1:20" ht="28.5">
      <c r="A1447" s="313" t="s">
        <v>304</v>
      </c>
      <c r="B1447" s="312">
        <v>181.12964499999998</v>
      </c>
      <c r="C1447" s="311">
        <v>0.18481305041246254</v>
      </c>
      <c r="D1447" s="312">
        <v>93.369642999999996</v>
      </c>
      <c r="E1447" s="311">
        <v>9.5268383807369753E-2</v>
      </c>
      <c r="F1447" s="312">
        <v>239.26094599999996</v>
      </c>
      <c r="G1447" s="311">
        <v>0.24412649445004697</v>
      </c>
      <c r="H1447" s="312">
        <v>6.108333</v>
      </c>
      <c r="I1447" s="311">
        <v>6.2325504732541649E-3</v>
      </c>
      <c r="J1447" s="312">
        <v>187.73666999999998</v>
      </c>
      <c r="K1447" s="311">
        <v>0.19155443415669393</v>
      </c>
      <c r="L1447" s="312">
        <v>254.95710299999996</v>
      </c>
      <c r="M1447" s="311">
        <v>0.26014184442173677</v>
      </c>
      <c r="N1447" s="312">
        <v>17.50722</v>
      </c>
      <c r="O1447" s="311">
        <v>1.7863242278435831E-2</v>
      </c>
      <c r="P1447" s="312">
        <v>0</v>
      </c>
      <c r="Q1447" s="311">
        <v>0</v>
      </c>
      <c r="R1447" s="312">
        <v>980.06955999999991</v>
      </c>
      <c r="S1447" s="311">
        <v>0.57968891387495713</v>
      </c>
      <c r="T1447" s="307"/>
    </row>
    <row r="1448" spans="1:20" ht="28.5">
      <c r="A1448" s="313" t="s">
        <v>303</v>
      </c>
      <c r="B1448" s="312">
        <v>207.50298800000002</v>
      </c>
      <c r="C1448" s="311">
        <v>0.74605863885405854</v>
      </c>
      <c r="D1448" s="312">
        <v>0</v>
      </c>
      <c r="E1448" s="311">
        <v>0</v>
      </c>
      <c r="F1448" s="312">
        <v>65.855770000000007</v>
      </c>
      <c r="G1448" s="311">
        <v>0.23677859581899585</v>
      </c>
      <c r="H1448" s="312">
        <v>0</v>
      </c>
      <c r="I1448" s="311">
        <v>0</v>
      </c>
      <c r="J1448" s="312">
        <v>4.7735190000000003</v>
      </c>
      <c r="K1448" s="311">
        <v>1.7162765326945491E-2</v>
      </c>
      <c r="L1448" s="312">
        <v>0</v>
      </c>
      <c r="M1448" s="311">
        <v>0</v>
      </c>
      <c r="N1448" s="312">
        <v>0</v>
      </c>
      <c r="O1448" s="311">
        <v>0</v>
      </c>
      <c r="P1448" s="312">
        <v>0</v>
      </c>
      <c r="Q1448" s="311">
        <v>0</v>
      </c>
      <c r="R1448" s="312">
        <v>278.13227700000004</v>
      </c>
      <c r="S1448" s="311">
        <v>0.16450893298604105</v>
      </c>
      <c r="T1448" s="307"/>
    </row>
    <row r="1449" spans="1:20" ht="15.75" thickBot="1">
      <c r="A1449" s="313" t="s">
        <v>302</v>
      </c>
      <c r="B1449" s="312">
        <v>0</v>
      </c>
      <c r="C1449" s="311">
        <v>0</v>
      </c>
      <c r="D1449" s="312">
        <v>0</v>
      </c>
      <c r="E1449" s="311">
        <v>0</v>
      </c>
      <c r="F1449" s="312">
        <v>0</v>
      </c>
      <c r="G1449" s="311">
        <v>0</v>
      </c>
      <c r="H1449" s="312">
        <v>0</v>
      </c>
      <c r="I1449" s="311">
        <v>0</v>
      </c>
      <c r="J1449" s="312">
        <v>0</v>
      </c>
      <c r="K1449" s="311">
        <v>0</v>
      </c>
      <c r="L1449" s="312">
        <v>0</v>
      </c>
      <c r="M1449" s="311">
        <v>0</v>
      </c>
      <c r="N1449" s="312">
        <v>0</v>
      </c>
      <c r="O1449" s="311">
        <v>0</v>
      </c>
      <c r="P1449" s="312">
        <v>0</v>
      </c>
      <c r="Q1449" s="311">
        <v>0</v>
      </c>
      <c r="R1449" s="312">
        <v>0</v>
      </c>
      <c r="S1449" s="311">
        <v>0</v>
      </c>
      <c r="T1449" s="307"/>
    </row>
    <row r="1450" spans="1:20" ht="15" customHeight="1">
      <c r="A1450" s="316" t="s">
        <v>4</v>
      </c>
      <c r="B1450" s="315">
        <v>248.82833597366604</v>
      </c>
      <c r="C1450" s="314">
        <v>0.23157457283955274</v>
      </c>
      <c r="D1450" s="315">
        <v>158.57236819094848</v>
      </c>
      <c r="E1450" s="314">
        <v>0.14757695615446892</v>
      </c>
      <c r="F1450" s="315">
        <v>234.23422984565047</v>
      </c>
      <c r="G1450" s="314">
        <v>0.21799242240099506</v>
      </c>
      <c r="H1450" s="315">
        <v>0</v>
      </c>
      <c r="I1450" s="314">
        <v>0</v>
      </c>
      <c r="J1450" s="315">
        <v>386.49559743514146</v>
      </c>
      <c r="K1450" s="314">
        <v>0.35969598289594656</v>
      </c>
      <c r="L1450" s="315">
        <v>5.3796992481203008</v>
      </c>
      <c r="M1450" s="314">
        <v>5.0066707656662027E-3</v>
      </c>
      <c r="N1450" s="315">
        <v>0</v>
      </c>
      <c r="O1450" s="314">
        <v>0</v>
      </c>
      <c r="P1450" s="315">
        <v>40.996062992125985</v>
      </c>
      <c r="Q1450" s="314">
        <v>3.8153394943370528E-2</v>
      </c>
      <c r="R1450" s="315">
        <v>1074.5062936856527</v>
      </c>
      <c r="S1450" s="314">
        <v>1</v>
      </c>
      <c r="T1450" s="307"/>
    </row>
    <row r="1451" spans="1:20">
      <c r="A1451" s="313" t="s">
        <v>309</v>
      </c>
      <c r="B1451" s="312">
        <v>0</v>
      </c>
      <c r="C1451" s="311">
        <v>0</v>
      </c>
      <c r="D1451" s="312">
        <v>0</v>
      </c>
      <c r="E1451" s="311">
        <v>0</v>
      </c>
      <c r="F1451" s="312">
        <v>25</v>
      </c>
      <c r="G1451" s="311">
        <v>1</v>
      </c>
      <c r="H1451" s="312">
        <v>0</v>
      </c>
      <c r="I1451" s="311">
        <v>0</v>
      </c>
      <c r="J1451" s="312">
        <v>0</v>
      </c>
      <c r="K1451" s="311">
        <v>0</v>
      </c>
      <c r="L1451" s="312">
        <v>0</v>
      </c>
      <c r="M1451" s="311">
        <v>0</v>
      </c>
      <c r="N1451" s="312">
        <v>0</v>
      </c>
      <c r="O1451" s="311">
        <v>0</v>
      </c>
      <c r="P1451" s="312">
        <v>0</v>
      </c>
      <c r="Q1451" s="311">
        <v>0</v>
      </c>
      <c r="R1451" s="312">
        <v>25</v>
      </c>
      <c r="S1451" s="311">
        <v>2.3266499365255239E-2</v>
      </c>
      <c r="T1451" s="307"/>
    </row>
    <row r="1452" spans="1:20">
      <c r="A1452" s="313" t="s">
        <v>308</v>
      </c>
      <c r="B1452" s="312">
        <v>20.320754716981131</v>
      </c>
      <c r="C1452" s="311">
        <v>0.20667800767279623</v>
      </c>
      <c r="D1452" s="312">
        <v>5.3796992481203008</v>
      </c>
      <c r="E1452" s="311">
        <v>5.4715759230694723E-2</v>
      </c>
      <c r="F1452" s="312">
        <v>20.320754716981131</v>
      </c>
      <c r="G1452" s="311">
        <v>0.20667800767279623</v>
      </c>
      <c r="H1452" s="312">
        <v>0</v>
      </c>
      <c r="I1452" s="311">
        <v>0</v>
      </c>
      <c r="J1452" s="312">
        <v>46.919929133177774</v>
      </c>
      <c r="K1452" s="311">
        <v>0.4772124661930181</v>
      </c>
      <c r="L1452" s="312">
        <v>5.3796992481203008</v>
      </c>
      <c r="M1452" s="311">
        <v>5.4715759230694723E-2</v>
      </c>
      <c r="N1452" s="312">
        <v>0</v>
      </c>
      <c r="O1452" s="311">
        <v>0</v>
      </c>
      <c r="P1452" s="312">
        <v>0</v>
      </c>
      <c r="Q1452" s="311">
        <v>0</v>
      </c>
      <c r="R1452" s="312">
        <v>98.320837063380637</v>
      </c>
      <c r="S1452" s="311">
        <v>9.1503267725060372E-2</v>
      </c>
      <c r="T1452" s="307"/>
    </row>
    <row r="1453" spans="1:20">
      <c r="A1453" s="313" t="s">
        <v>307</v>
      </c>
      <c r="B1453" s="312">
        <v>0</v>
      </c>
      <c r="C1453" s="311">
        <v>0</v>
      </c>
      <c r="D1453" s="312">
        <v>0</v>
      </c>
      <c r="E1453" s="311">
        <v>0</v>
      </c>
      <c r="F1453" s="312">
        <v>0</v>
      </c>
      <c r="G1453" s="311">
        <v>0</v>
      </c>
      <c r="H1453" s="312">
        <v>0</v>
      </c>
      <c r="I1453" s="311">
        <v>0</v>
      </c>
      <c r="J1453" s="312">
        <v>0</v>
      </c>
      <c r="K1453" s="311">
        <v>0</v>
      </c>
      <c r="L1453" s="312">
        <v>0</v>
      </c>
      <c r="M1453" s="311">
        <v>0</v>
      </c>
      <c r="N1453" s="312">
        <v>0</v>
      </c>
      <c r="O1453" s="311">
        <v>0</v>
      </c>
      <c r="P1453" s="312">
        <v>0</v>
      </c>
      <c r="Q1453" s="311">
        <v>0</v>
      </c>
      <c r="R1453" s="312">
        <v>0</v>
      </c>
      <c r="S1453" s="311">
        <v>0</v>
      </c>
      <c r="T1453" s="307"/>
    </row>
    <row r="1454" spans="1:20">
      <c r="A1454" s="313" t="s">
        <v>306</v>
      </c>
      <c r="B1454" s="312">
        <v>0</v>
      </c>
      <c r="C1454" s="311">
        <v>0</v>
      </c>
      <c r="D1454" s="312">
        <v>0</v>
      </c>
      <c r="E1454" s="311">
        <v>0</v>
      </c>
      <c r="F1454" s="312">
        <v>0</v>
      </c>
      <c r="G1454" s="311">
        <v>0</v>
      </c>
      <c r="H1454" s="312">
        <v>0</v>
      </c>
      <c r="I1454" s="311">
        <v>0</v>
      </c>
      <c r="J1454" s="312">
        <v>63.357142857142854</v>
      </c>
      <c r="K1454" s="311">
        <v>1</v>
      </c>
      <c r="L1454" s="312">
        <v>0</v>
      </c>
      <c r="M1454" s="311">
        <v>0</v>
      </c>
      <c r="N1454" s="312">
        <v>0</v>
      </c>
      <c r="O1454" s="311">
        <v>0</v>
      </c>
      <c r="P1454" s="312">
        <v>0</v>
      </c>
      <c r="Q1454" s="311">
        <v>0</v>
      </c>
      <c r="R1454" s="312">
        <v>63.357142857142854</v>
      </c>
      <c r="S1454" s="311">
        <v>5.8963956962803987E-2</v>
      </c>
      <c r="T1454" s="307"/>
    </row>
    <row r="1455" spans="1:20">
      <c r="A1455" s="313" t="s">
        <v>305</v>
      </c>
      <c r="B1455" s="312">
        <v>52.911174785100286</v>
      </c>
      <c r="C1455" s="311">
        <v>0.5</v>
      </c>
      <c r="D1455" s="312">
        <v>0</v>
      </c>
      <c r="E1455" s="311">
        <v>0</v>
      </c>
      <c r="F1455" s="312">
        <v>0</v>
      </c>
      <c r="G1455" s="311">
        <v>0</v>
      </c>
      <c r="H1455" s="312">
        <v>0</v>
      </c>
      <c r="I1455" s="311">
        <v>0</v>
      </c>
      <c r="J1455" s="312">
        <v>52.911174785100286</v>
      </c>
      <c r="K1455" s="311">
        <v>0.5</v>
      </c>
      <c r="L1455" s="312">
        <v>0</v>
      </c>
      <c r="M1455" s="311">
        <v>0</v>
      </c>
      <c r="N1455" s="312">
        <v>0</v>
      </c>
      <c r="O1455" s="311">
        <v>0</v>
      </c>
      <c r="P1455" s="312">
        <v>0</v>
      </c>
      <c r="Q1455" s="311">
        <v>0</v>
      </c>
      <c r="R1455" s="312">
        <v>105.82234957020057</v>
      </c>
      <c r="S1455" s="311">
        <v>9.8484625164195594E-2</v>
      </c>
      <c r="T1455" s="307"/>
    </row>
    <row r="1456" spans="1:20" ht="28.5">
      <c r="A1456" s="313" t="s">
        <v>304</v>
      </c>
      <c r="B1456" s="312">
        <v>134.60034347945864</v>
      </c>
      <c r="C1456" s="311">
        <v>0.23617885541540773</v>
      </c>
      <c r="D1456" s="312">
        <v>94.926126126126121</v>
      </c>
      <c r="E1456" s="311">
        <v>0.16656379350851022</v>
      </c>
      <c r="F1456" s="312">
        <v>147.91741213654333</v>
      </c>
      <c r="G1456" s="311">
        <v>0.25954588369790726</v>
      </c>
      <c r="H1456" s="312">
        <v>0</v>
      </c>
      <c r="I1456" s="311">
        <v>0</v>
      </c>
      <c r="J1456" s="312">
        <v>192.46464475451467</v>
      </c>
      <c r="K1456" s="311">
        <v>0.33771146737817487</v>
      </c>
      <c r="L1456" s="312">
        <v>0</v>
      </c>
      <c r="M1456" s="311">
        <v>0</v>
      </c>
      <c r="N1456" s="312">
        <v>0</v>
      </c>
      <c r="O1456" s="311">
        <v>0</v>
      </c>
      <c r="P1456" s="312">
        <v>0</v>
      </c>
      <c r="Q1456" s="311">
        <v>0</v>
      </c>
      <c r="R1456" s="312">
        <v>569.90852649664271</v>
      </c>
      <c r="S1456" s="311">
        <v>0.53039105479950743</v>
      </c>
      <c r="T1456" s="307"/>
    </row>
    <row r="1457" spans="1:20" ht="28.5">
      <c r="A1457" s="313" t="s">
        <v>303</v>
      </c>
      <c r="B1457" s="312">
        <v>40.996062992125985</v>
      </c>
      <c r="C1457" s="311">
        <v>0.19328881780478624</v>
      </c>
      <c r="D1457" s="312">
        <v>58.266542816702056</v>
      </c>
      <c r="E1457" s="311">
        <v>0.27471592042327136</v>
      </c>
      <c r="F1457" s="312">
        <v>40.996062992125985</v>
      </c>
      <c r="G1457" s="311">
        <v>0.19328881780478624</v>
      </c>
      <c r="H1457" s="312">
        <v>0</v>
      </c>
      <c r="I1457" s="311">
        <v>0</v>
      </c>
      <c r="J1457" s="312">
        <v>30.842705905205904</v>
      </c>
      <c r="K1457" s="311">
        <v>0.14541762616237003</v>
      </c>
      <c r="L1457" s="312">
        <v>0</v>
      </c>
      <c r="M1457" s="311">
        <v>0</v>
      </c>
      <c r="N1457" s="312">
        <v>0</v>
      </c>
      <c r="O1457" s="311">
        <v>0</v>
      </c>
      <c r="P1457" s="312">
        <v>40.996062992125985</v>
      </c>
      <c r="Q1457" s="311">
        <v>0.19328881780478624</v>
      </c>
      <c r="R1457" s="312">
        <v>212.09743769828589</v>
      </c>
      <c r="S1457" s="311">
        <v>0.19739059598317726</v>
      </c>
      <c r="T1457" s="307"/>
    </row>
    <row r="1458" spans="1:20" ht="15.75" thickBot="1">
      <c r="A1458" s="313" t="s">
        <v>302</v>
      </c>
      <c r="B1458" s="312">
        <v>0</v>
      </c>
      <c r="C1458" s="311">
        <v>0</v>
      </c>
      <c r="D1458" s="312">
        <v>0</v>
      </c>
      <c r="E1458" s="311">
        <v>0</v>
      </c>
      <c r="F1458" s="312">
        <v>0</v>
      </c>
      <c r="G1458" s="311">
        <v>0</v>
      </c>
      <c r="H1458" s="312">
        <v>0</v>
      </c>
      <c r="I1458" s="311">
        <v>0</v>
      </c>
      <c r="J1458" s="312">
        <v>0</v>
      </c>
      <c r="K1458" s="311">
        <v>0</v>
      </c>
      <c r="L1458" s="312">
        <v>0</v>
      </c>
      <c r="M1458" s="311">
        <v>0</v>
      </c>
      <c r="N1458" s="312">
        <v>0</v>
      </c>
      <c r="O1458" s="311">
        <v>0</v>
      </c>
      <c r="P1458" s="312">
        <v>0</v>
      </c>
      <c r="Q1458" s="311">
        <v>0</v>
      </c>
      <c r="R1458" s="312">
        <v>0</v>
      </c>
      <c r="S1458" s="311">
        <v>0</v>
      </c>
      <c r="T1458" s="307"/>
    </row>
    <row r="1459" spans="1:20" ht="15.75" customHeight="1">
      <c r="A1459" s="316" t="s">
        <v>3</v>
      </c>
      <c r="B1459" s="315">
        <v>157.70013818185859</v>
      </c>
      <c r="C1459" s="314">
        <v>0.14629494507235433</v>
      </c>
      <c r="D1459" s="315">
        <v>259.61912597935503</v>
      </c>
      <c r="E1459" s="314">
        <v>0.24084294543282531</v>
      </c>
      <c r="F1459" s="315">
        <v>260.84950796729481</v>
      </c>
      <c r="G1459" s="314">
        <v>0.24198434370564162</v>
      </c>
      <c r="H1459" s="315">
        <v>0</v>
      </c>
      <c r="I1459" s="314">
        <v>0</v>
      </c>
      <c r="J1459" s="315">
        <v>226.4929655733431</v>
      </c>
      <c r="K1459" s="314">
        <v>0.21011253598025448</v>
      </c>
      <c r="L1459" s="315">
        <v>129.2613554718169</v>
      </c>
      <c r="M1459" s="314">
        <v>0.11991291267557626</v>
      </c>
      <c r="N1459" s="315">
        <v>0</v>
      </c>
      <c r="O1459" s="314">
        <v>0</v>
      </c>
      <c r="P1459" s="315">
        <v>44.037174721189594</v>
      </c>
      <c r="Q1459" s="314">
        <v>4.0852317133348082E-2</v>
      </c>
      <c r="R1459" s="315">
        <v>1077.9602678948579</v>
      </c>
      <c r="S1459" s="314">
        <v>1</v>
      </c>
      <c r="T1459" s="307"/>
    </row>
    <row r="1460" spans="1:20">
      <c r="A1460" s="313" t="s">
        <v>309</v>
      </c>
      <c r="B1460" s="312">
        <v>0</v>
      </c>
      <c r="C1460" s="311">
        <v>0</v>
      </c>
      <c r="D1460" s="312">
        <v>0</v>
      </c>
      <c r="E1460" s="311">
        <v>0</v>
      </c>
      <c r="F1460" s="312">
        <v>0</v>
      </c>
      <c r="G1460" s="311">
        <v>0</v>
      </c>
      <c r="H1460" s="312">
        <v>0</v>
      </c>
      <c r="I1460" s="311">
        <v>0</v>
      </c>
      <c r="J1460" s="312">
        <v>0</v>
      </c>
      <c r="K1460" s="311">
        <v>0</v>
      </c>
      <c r="L1460" s="312">
        <v>0</v>
      </c>
      <c r="M1460" s="311">
        <v>0</v>
      </c>
      <c r="N1460" s="312">
        <v>0</v>
      </c>
      <c r="O1460" s="311">
        <v>0</v>
      </c>
      <c r="P1460" s="312">
        <v>0</v>
      </c>
      <c r="Q1460" s="311">
        <v>0</v>
      </c>
      <c r="R1460" s="312">
        <v>0</v>
      </c>
      <c r="S1460" s="311">
        <v>0</v>
      </c>
      <c r="T1460" s="307"/>
    </row>
    <row r="1461" spans="1:20">
      <c r="A1461" s="313" t="s">
        <v>308</v>
      </c>
      <c r="B1461" s="312">
        <v>0</v>
      </c>
      <c r="C1461" s="311">
        <v>0</v>
      </c>
      <c r="D1461" s="312">
        <v>0</v>
      </c>
      <c r="E1461" s="311">
        <v>0</v>
      </c>
      <c r="F1461" s="312">
        <v>5</v>
      </c>
      <c r="G1461" s="311">
        <v>0.21427171303026837</v>
      </c>
      <c r="H1461" s="312">
        <v>0</v>
      </c>
      <c r="I1461" s="311">
        <v>0</v>
      </c>
      <c r="J1461" s="312">
        <v>18.334858014103297</v>
      </c>
      <c r="K1461" s="311">
        <v>0.78572828696973163</v>
      </c>
      <c r="L1461" s="312">
        <v>0</v>
      </c>
      <c r="M1461" s="311">
        <v>0</v>
      </c>
      <c r="N1461" s="312">
        <v>0</v>
      </c>
      <c r="O1461" s="311">
        <v>0</v>
      </c>
      <c r="P1461" s="312">
        <v>0</v>
      </c>
      <c r="Q1461" s="311">
        <v>0</v>
      </c>
      <c r="R1461" s="312">
        <v>23.334858014103297</v>
      </c>
      <c r="S1461" s="311">
        <v>2.1647233862963983E-2</v>
      </c>
      <c r="T1461" s="307"/>
    </row>
    <row r="1462" spans="1:20">
      <c r="A1462" s="313" t="s">
        <v>307</v>
      </c>
      <c r="B1462" s="312">
        <v>0</v>
      </c>
      <c r="C1462" s="311">
        <v>0</v>
      </c>
      <c r="D1462" s="312">
        <v>144.92592592592592</v>
      </c>
      <c r="E1462" s="311">
        <v>1</v>
      </c>
      <c r="F1462" s="312">
        <v>0</v>
      </c>
      <c r="G1462" s="311">
        <v>0</v>
      </c>
      <c r="H1462" s="312">
        <v>0</v>
      </c>
      <c r="I1462" s="311">
        <v>0</v>
      </c>
      <c r="J1462" s="312">
        <v>0</v>
      </c>
      <c r="K1462" s="311">
        <v>0</v>
      </c>
      <c r="L1462" s="312">
        <v>0</v>
      </c>
      <c r="M1462" s="311">
        <v>0</v>
      </c>
      <c r="N1462" s="312">
        <v>0</v>
      </c>
      <c r="O1462" s="311">
        <v>0</v>
      </c>
      <c r="P1462" s="312">
        <v>0</v>
      </c>
      <c r="Q1462" s="311">
        <v>0</v>
      </c>
      <c r="R1462" s="312">
        <v>144.92592592592592</v>
      </c>
      <c r="S1462" s="311">
        <v>0.13444458969619622</v>
      </c>
      <c r="T1462" s="307"/>
    </row>
    <row r="1463" spans="1:20">
      <c r="A1463" s="313" t="s">
        <v>306</v>
      </c>
      <c r="B1463" s="312">
        <v>0</v>
      </c>
      <c r="C1463" s="311">
        <v>0</v>
      </c>
      <c r="D1463" s="312">
        <v>0</v>
      </c>
      <c r="E1463" s="311">
        <v>0</v>
      </c>
      <c r="F1463" s="312">
        <v>0</v>
      </c>
      <c r="G1463" s="311">
        <v>0</v>
      </c>
      <c r="H1463" s="312">
        <v>0</v>
      </c>
      <c r="I1463" s="311">
        <v>0</v>
      </c>
      <c r="J1463" s="312">
        <v>0</v>
      </c>
      <c r="K1463" s="311">
        <v>0</v>
      </c>
      <c r="L1463" s="312">
        <v>0</v>
      </c>
      <c r="M1463" s="311">
        <v>0</v>
      </c>
      <c r="N1463" s="312">
        <v>0</v>
      </c>
      <c r="O1463" s="311">
        <v>0</v>
      </c>
      <c r="P1463" s="312">
        <v>0</v>
      </c>
      <c r="Q1463" s="311">
        <v>0</v>
      </c>
      <c r="R1463" s="312">
        <v>0</v>
      </c>
      <c r="S1463" s="311">
        <v>0</v>
      </c>
      <c r="T1463" s="307"/>
    </row>
    <row r="1464" spans="1:20">
      <c r="A1464" s="313" t="s">
        <v>305</v>
      </c>
      <c r="B1464" s="312">
        <v>0</v>
      </c>
      <c r="C1464" s="311">
        <v>0</v>
      </c>
      <c r="D1464" s="312">
        <v>0</v>
      </c>
      <c r="E1464" s="311">
        <v>0</v>
      </c>
      <c r="F1464" s="312">
        <v>45.954268292682926</v>
      </c>
      <c r="G1464" s="311">
        <v>0.5</v>
      </c>
      <c r="H1464" s="312">
        <v>0</v>
      </c>
      <c r="I1464" s="311">
        <v>0</v>
      </c>
      <c r="J1464" s="312">
        <v>0</v>
      </c>
      <c r="K1464" s="311">
        <v>0</v>
      </c>
      <c r="L1464" s="312">
        <v>45.954268292682926</v>
      </c>
      <c r="M1464" s="311">
        <v>0.5</v>
      </c>
      <c r="N1464" s="312">
        <v>0</v>
      </c>
      <c r="O1464" s="311">
        <v>0</v>
      </c>
      <c r="P1464" s="312">
        <v>0</v>
      </c>
      <c r="Q1464" s="311">
        <v>0</v>
      </c>
      <c r="R1464" s="312">
        <v>91.908536585365852</v>
      </c>
      <c r="S1464" s="311">
        <v>8.526152523678214E-2</v>
      </c>
      <c r="T1464" s="307"/>
    </row>
    <row r="1465" spans="1:20" ht="28.5">
      <c r="A1465" s="313" t="s">
        <v>304</v>
      </c>
      <c r="B1465" s="312">
        <v>73.654082864242596</v>
      </c>
      <c r="C1465" s="311">
        <v>0.15605169889606491</v>
      </c>
      <c r="D1465" s="312">
        <v>56.151561046525217</v>
      </c>
      <c r="E1465" s="311">
        <v>0.11896891735285432</v>
      </c>
      <c r="F1465" s="312">
        <v>154.81286506564777</v>
      </c>
      <c r="G1465" s="311">
        <v>0.32800368513162431</v>
      </c>
      <c r="H1465" s="312">
        <v>0</v>
      </c>
      <c r="I1465" s="311">
        <v>0</v>
      </c>
      <c r="J1465" s="312">
        <v>142.2729536545846</v>
      </c>
      <c r="K1465" s="311">
        <v>0.30143523972297775</v>
      </c>
      <c r="L1465" s="312">
        <v>45.093676814988292</v>
      </c>
      <c r="M1465" s="311">
        <v>9.5540458896478844E-2</v>
      </c>
      <c r="N1465" s="312">
        <v>0</v>
      </c>
      <c r="O1465" s="311">
        <v>0</v>
      </c>
      <c r="P1465" s="312">
        <v>0</v>
      </c>
      <c r="Q1465" s="311">
        <v>0</v>
      </c>
      <c r="R1465" s="312">
        <v>471.98513944598841</v>
      </c>
      <c r="S1465" s="311">
        <v>0.43785021906950738</v>
      </c>
      <c r="T1465" s="307"/>
    </row>
    <row r="1466" spans="1:20" ht="28.5">
      <c r="A1466" s="313" t="s">
        <v>303</v>
      </c>
      <c r="B1466" s="312">
        <v>84.046055317615981</v>
      </c>
      <c r="C1466" s="311">
        <v>0.25302978032448853</v>
      </c>
      <c r="D1466" s="312">
        <v>58.541639006903878</v>
      </c>
      <c r="E1466" s="311">
        <v>0.1762459642130004</v>
      </c>
      <c r="F1466" s="312">
        <v>41.435315785434732</v>
      </c>
      <c r="G1466" s="311">
        <v>0.12474551971824488</v>
      </c>
      <c r="H1466" s="312">
        <v>0</v>
      </c>
      <c r="I1466" s="311">
        <v>0</v>
      </c>
      <c r="J1466" s="312">
        <v>65.885153904655169</v>
      </c>
      <c r="K1466" s="311">
        <v>0.19835441361452941</v>
      </c>
      <c r="L1466" s="312">
        <v>38.213410364145659</v>
      </c>
      <c r="M1466" s="311">
        <v>0.11504562341860046</v>
      </c>
      <c r="N1466" s="312">
        <v>0</v>
      </c>
      <c r="O1466" s="311">
        <v>0</v>
      </c>
      <c r="P1466" s="312">
        <v>44.037174721189594</v>
      </c>
      <c r="Q1466" s="311">
        <v>0.13257869871113653</v>
      </c>
      <c r="R1466" s="312">
        <v>332.15874909994494</v>
      </c>
      <c r="S1466" s="311">
        <v>0.30813635622082414</v>
      </c>
      <c r="T1466" s="307"/>
    </row>
    <row r="1467" spans="1:20" ht="15.75" thickBot="1">
      <c r="A1467" s="310" t="s">
        <v>302</v>
      </c>
      <c r="B1467" s="309">
        <v>0</v>
      </c>
      <c r="C1467" s="308">
        <v>0</v>
      </c>
      <c r="D1467" s="309">
        <v>0</v>
      </c>
      <c r="E1467" s="308">
        <v>0</v>
      </c>
      <c r="F1467" s="309">
        <v>13.647058823529411</v>
      </c>
      <c r="G1467" s="308">
        <v>1</v>
      </c>
      <c r="H1467" s="309">
        <v>0</v>
      </c>
      <c r="I1467" s="308">
        <v>0</v>
      </c>
      <c r="J1467" s="309">
        <v>0</v>
      </c>
      <c r="K1467" s="308">
        <v>0</v>
      </c>
      <c r="L1467" s="309">
        <v>0</v>
      </c>
      <c r="M1467" s="308">
        <v>0</v>
      </c>
      <c r="N1467" s="309">
        <v>0</v>
      </c>
      <c r="O1467" s="308">
        <v>0</v>
      </c>
      <c r="P1467" s="309">
        <v>0</v>
      </c>
      <c r="Q1467" s="308">
        <v>0</v>
      </c>
      <c r="R1467" s="309">
        <v>13.647058823529411</v>
      </c>
      <c r="S1467" s="308">
        <v>1.2660075913726088E-2</v>
      </c>
      <c r="T1467" s="307"/>
    </row>
    <row r="1471" spans="1:20" ht="15.75" thickBot="1"/>
    <row r="1472" spans="1:20" ht="37.5" customHeight="1">
      <c r="A1472" s="775" t="s">
        <v>310</v>
      </c>
      <c r="B1472" s="755" t="s">
        <v>352</v>
      </c>
      <c r="C1472" s="756"/>
      <c r="D1472" s="756"/>
      <c r="E1472" s="756"/>
      <c r="F1472" s="756"/>
      <c r="G1472" s="757"/>
      <c r="H1472" s="307"/>
    </row>
    <row r="1473" spans="1:8" ht="15" customHeight="1">
      <c r="A1473" s="776"/>
      <c r="B1473" s="767" t="s">
        <v>27</v>
      </c>
      <c r="C1473" s="759"/>
      <c r="D1473" s="768" t="s">
        <v>26</v>
      </c>
      <c r="E1473" s="759"/>
      <c r="F1473" s="769" t="s">
        <v>9</v>
      </c>
      <c r="G1473" s="762"/>
      <c r="H1473" s="307"/>
    </row>
    <row r="1474" spans="1:8" ht="15.75" customHeight="1" thickBot="1">
      <c r="A1474" s="754"/>
      <c r="B1474" s="318" t="s">
        <v>7</v>
      </c>
      <c r="C1474" s="318" t="s">
        <v>8</v>
      </c>
      <c r="D1474" s="318" t="s">
        <v>7</v>
      </c>
      <c r="E1474" s="318" t="s">
        <v>8</v>
      </c>
      <c r="F1474" s="318" t="s">
        <v>7</v>
      </c>
      <c r="G1474" s="317" t="s">
        <v>6</v>
      </c>
      <c r="H1474" s="307"/>
    </row>
    <row r="1475" spans="1:8" ht="15.75" customHeight="1">
      <c r="A1475" s="316" t="s">
        <v>5</v>
      </c>
      <c r="B1475" s="339">
        <v>3068.0985020000007</v>
      </c>
      <c r="C1475" s="355">
        <v>0.43985952033121267</v>
      </c>
      <c r="D1475" s="339">
        <v>3907.0796178000001</v>
      </c>
      <c r="E1475" s="355">
        <v>0.56014047966878644</v>
      </c>
      <c r="F1475" s="339">
        <v>6975.1781198000072</v>
      </c>
      <c r="G1475" s="354">
        <v>1</v>
      </c>
      <c r="H1475" s="307"/>
    </row>
    <row r="1476" spans="1:8">
      <c r="A1476" s="313" t="s">
        <v>309</v>
      </c>
      <c r="B1476" s="342">
        <v>58.297807000000006</v>
      </c>
      <c r="C1476" s="353">
        <v>0.36520381026669485</v>
      </c>
      <c r="D1476" s="342">
        <v>101.3330768</v>
      </c>
      <c r="E1476" s="353">
        <v>0.63479618973330521</v>
      </c>
      <c r="F1476" s="342">
        <v>159.63088379999999</v>
      </c>
      <c r="G1476" s="311">
        <v>2.2885563788954101E-2</v>
      </c>
      <c r="H1476" s="307"/>
    </row>
    <row r="1477" spans="1:8">
      <c r="A1477" s="313" t="s">
        <v>308</v>
      </c>
      <c r="B1477" s="342">
        <v>137.569592</v>
      </c>
      <c r="C1477" s="353">
        <v>0.34342201806584916</v>
      </c>
      <c r="D1477" s="342">
        <v>263.01506699999999</v>
      </c>
      <c r="E1477" s="353">
        <v>0.65657798193415107</v>
      </c>
      <c r="F1477" s="342">
        <v>400.58465899999993</v>
      </c>
      <c r="G1477" s="311">
        <v>5.7430025745562684E-2</v>
      </c>
      <c r="H1477" s="307"/>
    </row>
    <row r="1478" spans="1:8">
      <c r="A1478" s="313" t="s">
        <v>307</v>
      </c>
      <c r="B1478" s="342">
        <v>0</v>
      </c>
      <c r="C1478" s="353">
        <v>0</v>
      </c>
      <c r="D1478" s="342">
        <v>64.032352000000003</v>
      </c>
      <c r="E1478" s="353">
        <v>1</v>
      </c>
      <c r="F1478" s="342">
        <v>64.032352000000003</v>
      </c>
      <c r="G1478" s="311">
        <v>9.1800310902793031E-3</v>
      </c>
      <c r="H1478" s="307"/>
    </row>
    <row r="1479" spans="1:8">
      <c r="A1479" s="313" t="s">
        <v>306</v>
      </c>
      <c r="B1479" s="342">
        <v>30</v>
      </c>
      <c r="C1479" s="353">
        <v>9.6664957780580832E-2</v>
      </c>
      <c r="D1479" s="342">
        <v>280.35031399999997</v>
      </c>
      <c r="E1479" s="353">
        <v>0.90333504221941918</v>
      </c>
      <c r="F1479" s="342">
        <v>310.35031399999997</v>
      </c>
      <c r="G1479" s="311">
        <v>4.4493532447440691E-2</v>
      </c>
      <c r="H1479" s="307"/>
    </row>
    <row r="1480" spans="1:8">
      <c r="A1480" s="313" t="s">
        <v>305</v>
      </c>
      <c r="B1480" s="342">
        <v>379.84209899999996</v>
      </c>
      <c r="C1480" s="353">
        <v>0.52767021599469965</v>
      </c>
      <c r="D1480" s="342">
        <v>340.00542599999994</v>
      </c>
      <c r="E1480" s="353">
        <v>0.47232978400530029</v>
      </c>
      <c r="F1480" s="342">
        <v>719.84752499999991</v>
      </c>
      <c r="G1480" s="311">
        <v>0.10320131079615204</v>
      </c>
      <c r="H1480" s="307"/>
    </row>
    <row r="1481" spans="1:8" ht="28.5">
      <c r="A1481" s="313" t="s">
        <v>304</v>
      </c>
      <c r="B1481" s="342">
        <v>1845.7163880000003</v>
      </c>
      <c r="C1481" s="353">
        <v>0.51043598171925775</v>
      </c>
      <c r="D1481" s="342">
        <v>1770.2441909999998</v>
      </c>
      <c r="E1481" s="353">
        <v>0.48956401828074247</v>
      </c>
      <c r="F1481" s="342">
        <v>3615.9605789999991</v>
      </c>
      <c r="G1481" s="311">
        <v>0.51840404888523139</v>
      </c>
      <c r="H1481" s="307"/>
    </row>
    <row r="1482" spans="1:8" ht="28.5">
      <c r="A1482" s="313" t="s">
        <v>303</v>
      </c>
      <c r="B1482" s="342">
        <v>616.67261600000006</v>
      </c>
      <c r="C1482" s="353">
        <v>0.4072852016220323</v>
      </c>
      <c r="D1482" s="342">
        <v>897.43252099999972</v>
      </c>
      <c r="E1482" s="353">
        <v>0.59271479837796726</v>
      </c>
      <c r="F1482" s="342">
        <v>1514.1051370000005</v>
      </c>
      <c r="G1482" s="311">
        <v>0.21707046200039015</v>
      </c>
      <c r="H1482" s="307"/>
    </row>
    <row r="1483" spans="1:8" ht="15.75" thickBot="1">
      <c r="A1483" s="313" t="s">
        <v>302</v>
      </c>
      <c r="B1483" s="342">
        <v>0</v>
      </c>
      <c r="C1483" s="353">
        <v>0</v>
      </c>
      <c r="D1483" s="342">
        <v>190.66667000000001</v>
      </c>
      <c r="E1483" s="353">
        <v>1</v>
      </c>
      <c r="F1483" s="342">
        <v>190.66667000000001</v>
      </c>
      <c r="G1483" s="311">
        <v>2.7335025245988531E-2</v>
      </c>
      <c r="H1483" s="307"/>
    </row>
    <row r="1484" spans="1:8" ht="15" customHeight="1">
      <c r="A1484" s="316" t="s">
        <v>4</v>
      </c>
      <c r="B1484" s="339">
        <v>2273.2889632903466</v>
      </c>
      <c r="C1484" s="355">
        <v>0.32197271246707465</v>
      </c>
      <c r="D1484" s="339">
        <v>4787.2129838205246</v>
      </c>
      <c r="E1484" s="355">
        <v>0.6780272875329264</v>
      </c>
      <c r="F1484" s="339">
        <v>7060.5019471108635</v>
      </c>
      <c r="G1484" s="354">
        <v>1</v>
      </c>
      <c r="H1484" s="307"/>
    </row>
    <row r="1485" spans="1:8">
      <c r="A1485" s="313" t="s">
        <v>309</v>
      </c>
      <c r="B1485" s="342">
        <v>200.50730190861771</v>
      </c>
      <c r="C1485" s="353">
        <v>0.51921314623003656</v>
      </c>
      <c r="D1485" s="342">
        <v>185.66801619433198</v>
      </c>
      <c r="E1485" s="353">
        <v>0.48078685376996333</v>
      </c>
      <c r="F1485" s="342">
        <v>386.17531810294975</v>
      </c>
      <c r="G1485" s="311">
        <v>5.4695164875773673E-2</v>
      </c>
      <c r="H1485" s="307"/>
    </row>
    <row r="1486" spans="1:8">
      <c r="A1486" s="313" t="s">
        <v>308</v>
      </c>
      <c r="B1486" s="342">
        <v>190.62978159451978</v>
      </c>
      <c r="C1486" s="353">
        <v>0.25052333390926051</v>
      </c>
      <c r="D1486" s="342">
        <v>570.29647074238176</v>
      </c>
      <c r="E1486" s="353">
        <v>0.7494766660907396</v>
      </c>
      <c r="F1486" s="342">
        <v>760.92625233690148</v>
      </c>
      <c r="G1486" s="311">
        <v>0.10777226010797579</v>
      </c>
      <c r="H1486" s="307"/>
    </row>
    <row r="1487" spans="1:8">
      <c r="A1487" s="313" t="s">
        <v>307</v>
      </c>
      <c r="B1487" s="342">
        <v>116.81818181818181</v>
      </c>
      <c r="C1487" s="353">
        <v>0.39347661949014978</v>
      </c>
      <c r="D1487" s="342">
        <v>180.06904357668364</v>
      </c>
      <c r="E1487" s="353">
        <v>0.60652338050985011</v>
      </c>
      <c r="F1487" s="342">
        <v>296.88722539486548</v>
      </c>
      <c r="G1487" s="311">
        <v>4.2049025355251242E-2</v>
      </c>
      <c r="H1487" s="307"/>
    </row>
    <row r="1488" spans="1:8">
      <c r="A1488" s="313" t="s">
        <v>306</v>
      </c>
      <c r="B1488" s="342">
        <v>63.357142857142854</v>
      </c>
      <c r="C1488" s="353">
        <v>0.14612866229510238</v>
      </c>
      <c r="D1488" s="342">
        <v>370.21380662020908</v>
      </c>
      <c r="E1488" s="353">
        <v>0.85387133770489765</v>
      </c>
      <c r="F1488" s="342">
        <v>433.57094947735192</v>
      </c>
      <c r="G1488" s="311">
        <v>6.1407949849056821E-2</v>
      </c>
      <c r="H1488" s="307"/>
    </row>
    <row r="1489" spans="1:8">
      <c r="A1489" s="313" t="s">
        <v>305</v>
      </c>
      <c r="B1489" s="342">
        <v>255.47891522676622</v>
      </c>
      <c r="C1489" s="353">
        <v>0.3004425502565235</v>
      </c>
      <c r="D1489" s="342">
        <v>594.86307198055044</v>
      </c>
      <c r="E1489" s="353">
        <v>0.69955744974347678</v>
      </c>
      <c r="F1489" s="342">
        <v>850.34198720731638</v>
      </c>
      <c r="G1489" s="311">
        <v>0.12043647796956897</v>
      </c>
      <c r="H1489" s="307"/>
    </row>
    <row r="1490" spans="1:8" ht="28.5">
      <c r="A1490" s="313" t="s">
        <v>304</v>
      </c>
      <c r="B1490" s="342">
        <v>949.66136279820398</v>
      </c>
      <c r="C1490" s="353">
        <v>0.37718667889413093</v>
      </c>
      <c r="D1490" s="342">
        <v>1568.0875820545257</v>
      </c>
      <c r="E1490" s="353">
        <v>0.6228133211058684</v>
      </c>
      <c r="F1490" s="342">
        <v>2517.7489448527313</v>
      </c>
      <c r="G1490" s="311">
        <v>0.35659631053327401</v>
      </c>
      <c r="H1490" s="307"/>
    </row>
    <row r="1491" spans="1:8" ht="28.5">
      <c r="A1491" s="313" t="s">
        <v>303</v>
      </c>
      <c r="B1491" s="342">
        <v>360.74738819802513</v>
      </c>
      <c r="C1491" s="353">
        <v>0.22422358874116749</v>
      </c>
      <c r="D1491" s="342">
        <v>1248.1261037629556</v>
      </c>
      <c r="E1491" s="353">
        <v>0.77577641125883223</v>
      </c>
      <c r="F1491" s="342">
        <v>1608.8734919609813</v>
      </c>
      <c r="G1491" s="311">
        <v>0.22786956281760215</v>
      </c>
      <c r="H1491" s="307"/>
    </row>
    <row r="1492" spans="1:8" ht="15.75" thickBot="1">
      <c r="A1492" s="313" t="s">
        <v>302</v>
      </c>
      <c r="B1492" s="342">
        <v>136.0888888888889</v>
      </c>
      <c r="C1492" s="353">
        <v>0.6606969468119539</v>
      </c>
      <c r="D1492" s="342">
        <v>69.888888888888886</v>
      </c>
      <c r="E1492" s="353">
        <v>0.33930305318804616</v>
      </c>
      <c r="F1492" s="342">
        <v>205.97777777777779</v>
      </c>
      <c r="G1492" s="311">
        <v>2.9173248491499004E-2</v>
      </c>
      <c r="H1492" s="307"/>
    </row>
    <row r="1493" spans="1:8" ht="15.75" customHeight="1">
      <c r="A1493" s="316" t="s">
        <v>3</v>
      </c>
      <c r="B1493" s="339">
        <v>1654.7438382797552</v>
      </c>
      <c r="C1493" s="355">
        <v>0.27231585022793559</v>
      </c>
      <c r="D1493" s="339">
        <v>4421.8170262262656</v>
      </c>
      <c r="E1493" s="355">
        <v>0.72768414977206519</v>
      </c>
      <c r="F1493" s="339">
        <v>6076.5608645060165</v>
      </c>
      <c r="G1493" s="354">
        <v>1</v>
      </c>
      <c r="H1493" s="307"/>
    </row>
    <row r="1494" spans="1:8">
      <c r="A1494" s="313" t="s">
        <v>309</v>
      </c>
      <c r="B1494" s="342">
        <v>0</v>
      </c>
      <c r="C1494" s="353">
        <v>0</v>
      </c>
      <c r="D1494" s="342">
        <v>89.673202614379079</v>
      </c>
      <c r="E1494" s="353">
        <v>1</v>
      </c>
      <c r="F1494" s="342">
        <v>89.673202614379079</v>
      </c>
      <c r="G1494" s="311">
        <v>1.4757229395688593E-2</v>
      </c>
      <c r="H1494" s="307"/>
    </row>
    <row r="1495" spans="1:8">
      <c r="A1495" s="313" t="s">
        <v>308</v>
      </c>
      <c r="B1495" s="342">
        <v>282.57833047455688</v>
      </c>
      <c r="C1495" s="353">
        <v>0.51807891758508462</v>
      </c>
      <c r="D1495" s="342">
        <v>262.85658471507526</v>
      </c>
      <c r="E1495" s="353">
        <v>0.48192108241491594</v>
      </c>
      <c r="F1495" s="342">
        <v>545.43491518963185</v>
      </c>
      <c r="G1495" s="311">
        <v>8.976046276037293E-2</v>
      </c>
      <c r="H1495" s="307"/>
    </row>
    <row r="1496" spans="1:8">
      <c r="A1496" s="313" t="s">
        <v>307</v>
      </c>
      <c r="B1496" s="342">
        <v>0</v>
      </c>
      <c r="C1496" s="353">
        <v>0</v>
      </c>
      <c r="D1496" s="342">
        <v>313.05295138888891</v>
      </c>
      <c r="E1496" s="353">
        <v>1</v>
      </c>
      <c r="F1496" s="342">
        <v>313.05295138888891</v>
      </c>
      <c r="G1496" s="311">
        <v>5.1518113348863491E-2</v>
      </c>
      <c r="H1496" s="307"/>
    </row>
    <row r="1497" spans="1:8">
      <c r="A1497" s="313" t="s">
        <v>306</v>
      </c>
      <c r="B1497" s="342">
        <v>43.354259259259258</v>
      </c>
      <c r="C1497" s="353">
        <v>0.17869929303859122</v>
      </c>
      <c r="D1497" s="342">
        <v>199.25587378640776</v>
      </c>
      <c r="E1497" s="353">
        <v>0.82130070696140878</v>
      </c>
      <c r="F1497" s="342">
        <v>242.61013304566703</v>
      </c>
      <c r="G1497" s="311">
        <v>3.9925566196955982E-2</v>
      </c>
      <c r="H1497" s="307"/>
    </row>
    <row r="1498" spans="1:8">
      <c r="A1498" s="313" t="s">
        <v>305</v>
      </c>
      <c r="B1498" s="342">
        <v>91.908536585365852</v>
      </c>
      <c r="C1498" s="353">
        <v>0.12086041306293951</v>
      </c>
      <c r="D1498" s="342">
        <v>668.54341170893099</v>
      </c>
      <c r="E1498" s="353">
        <v>0.8791395869370604</v>
      </c>
      <c r="F1498" s="342">
        <v>760.45194829429693</v>
      </c>
      <c r="G1498" s="311">
        <v>0.1251451215993237</v>
      </c>
      <c r="H1498" s="307"/>
    </row>
    <row r="1499" spans="1:8" ht="28.5">
      <c r="A1499" s="313" t="s">
        <v>304</v>
      </c>
      <c r="B1499" s="342">
        <v>738.94892680261012</v>
      </c>
      <c r="C1499" s="353">
        <v>0.33087178779130677</v>
      </c>
      <c r="D1499" s="342">
        <v>1494.3902519027461</v>
      </c>
      <c r="E1499" s="353">
        <v>0.6691282122086929</v>
      </c>
      <c r="F1499" s="342">
        <v>2233.339178705357</v>
      </c>
      <c r="G1499" s="311">
        <v>0.36753341709297804</v>
      </c>
      <c r="H1499" s="307"/>
    </row>
    <row r="1500" spans="1:8" ht="28.5">
      <c r="A1500" s="313" t="s">
        <v>303</v>
      </c>
      <c r="B1500" s="342">
        <v>400.33700884217228</v>
      </c>
      <c r="C1500" s="353">
        <v>0.23257444493657772</v>
      </c>
      <c r="D1500" s="342">
        <v>1320.9914412863136</v>
      </c>
      <c r="E1500" s="353">
        <v>0.76742555506342214</v>
      </c>
      <c r="F1500" s="342">
        <v>1721.3284501284861</v>
      </c>
      <c r="G1500" s="311">
        <v>0.28327346479535648</v>
      </c>
      <c r="H1500" s="307"/>
    </row>
    <row r="1501" spans="1:8" ht="15.75" thickBot="1">
      <c r="A1501" s="310" t="s">
        <v>302</v>
      </c>
      <c r="B1501" s="351">
        <v>97.61677631578948</v>
      </c>
      <c r="C1501" s="352">
        <v>0.57196184226488422</v>
      </c>
      <c r="D1501" s="351">
        <v>73.053308823529406</v>
      </c>
      <c r="E1501" s="352">
        <v>0.42803815773511567</v>
      </c>
      <c r="F1501" s="351">
        <v>170.6700851393189</v>
      </c>
      <c r="G1501" s="308">
        <v>2.8086624810462296E-2</v>
      </c>
      <c r="H1501" s="307"/>
    </row>
    <row r="1505" spans="1:24" ht="15.75" thickBot="1"/>
    <row r="1506" spans="1:24" ht="15" customHeight="1">
      <c r="A1506" s="775" t="s">
        <v>310</v>
      </c>
      <c r="B1506" s="763" t="s">
        <v>353</v>
      </c>
      <c r="C1506" s="764"/>
      <c r="D1506" s="764"/>
      <c r="E1506" s="764"/>
      <c r="F1506" s="764"/>
      <c r="G1506" s="764"/>
      <c r="H1506" s="764"/>
      <c r="I1506" s="764"/>
      <c r="J1506" s="764"/>
      <c r="K1506" s="764"/>
      <c r="L1506" s="764"/>
      <c r="M1506" s="764"/>
      <c r="N1506" s="764"/>
      <c r="O1506" s="764"/>
      <c r="P1506" s="764"/>
      <c r="Q1506" s="764"/>
      <c r="R1506" s="764"/>
      <c r="S1506" s="764"/>
      <c r="T1506" s="764"/>
      <c r="U1506" s="764"/>
      <c r="V1506" s="764"/>
      <c r="W1506" s="765"/>
      <c r="X1506" s="307"/>
    </row>
    <row r="1507" spans="1:24" ht="15" customHeight="1">
      <c r="A1507" s="776"/>
      <c r="B1507" s="767" t="s">
        <v>69</v>
      </c>
      <c r="C1507" s="759"/>
      <c r="D1507" s="768" t="s">
        <v>68</v>
      </c>
      <c r="E1507" s="759"/>
      <c r="F1507" s="768" t="s">
        <v>67</v>
      </c>
      <c r="G1507" s="759"/>
      <c r="H1507" s="768" t="s">
        <v>66</v>
      </c>
      <c r="I1507" s="759"/>
      <c r="J1507" s="768" t="s">
        <v>65</v>
      </c>
      <c r="K1507" s="759"/>
      <c r="L1507" s="768" t="s">
        <v>64</v>
      </c>
      <c r="M1507" s="759"/>
      <c r="N1507" s="768" t="s">
        <v>63</v>
      </c>
      <c r="O1507" s="759"/>
      <c r="P1507" s="768" t="s">
        <v>62</v>
      </c>
      <c r="Q1507" s="759"/>
      <c r="R1507" s="768" t="s">
        <v>61</v>
      </c>
      <c r="S1507" s="759"/>
      <c r="T1507" s="768" t="s">
        <v>60</v>
      </c>
      <c r="U1507" s="759"/>
      <c r="V1507" s="769" t="s">
        <v>9</v>
      </c>
      <c r="W1507" s="766"/>
      <c r="X1507" s="307"/>
    </row>
    <row r="1508" spans="1:24" ht="15.75" customHeight="1" thickBot="1">
      <c r="A1508" s="754"/>
      <c r="B1508" s="318" t="s">
        <v>7</v>
      </c>
      <c r="C1508" s="318" t="s">
        <v>8</v>
      </c>
      <c r="D1508" s="318" t="s">
        <v>7</v>
      </c>
      <c r="E1508" s="318" t="s">
        <v>8</v>
      </c>
      <c r="F1508" s="318" t="s">
        <v>7</v>
      </c>
      <c r="G1508" s="318" t="s">
        <v>8</v>
      </c>
      <c r="H1508" s="318" t="s">
        <v>7</v>
      </c>
      <c r="I1508" s="318" t="s">
        <v>8</v>
      </c>
      <c r="J1508" s="318" t="s">
        <v>7</v>
      </c>
      <c r="K1508" s="318" t="s">
        <v>8</v>
      </c>
      <c r="L1508" s="318" t="s">
        <v>7</v>
      </c>
      <c r="M1508" s="318" t="s">
        <v>8</v>
      </c>
      <c r="N1508" s="318" t="s">
        <v>7</v>
      </c>
      <c r="O1508" s="318" t="s">
        <v>8</v>
      </c>
      <c r="P1508" s="318" t="s">
        <v>7</v>
      </c>
      <c r="Q1508" s="318" t="s">
        <v>8</v>
      </c>
      <c r="R1508" s="318" t="s">
        <v>7</v>
      </c>
      <c r="S1508" s="318" t="s">
        <v>8</v>
      </c>
      <c r="T1508" s="318" t="s">
        <v>7</v>
      </c>
      <c r="U1508" s="318" t="s">
        <v>8</v>
      </c>
      <c r="V1508" s="318" t="s">
        <v>7</v>
      </c>
      <c r="W1508" s="318" t="s">
        <v>6</v>
      </c>
      <c r="X1508" s="307"/>
    </row>
    <row r="1509" spans="1:24" ht="15.75" customHeight="1">
      <c r="A1509" s="316" t="s">
        <v>5</v>
      </c>
      <c r="B1509" s="315">
        <v>0</v>
      </c>
      <c r="C1509" s="314">
        <v>0</v>
      </c>
      <c r="D1509" s="315">
        <v>1128.5674147999998</v>
      </c>
      <c r="E1509" s="314">
        <v>0.1617976480910796</v>
      </c>
      <c r="F1509" s="315">
        <v>693.37040400000001</v>
      </c>
      <c r="G1509" s="314">
        <v>9.9405404721031043E-2</v>
      </c>
      <c r="H1509" s="315">
        <v>1173.0050000000001</v>
      </c>
      <c r="I1509" s="314">
        <v>0.16816846535721625</v>
      </c>
      <c r="J1509" s="315">
        <v>567.66482599999995</v>
      </c>
      <c r="K1509" s="314">
        <v>8.1383559853275264E-2</v>
      </c>
      <c r="L1509" s="315">
        <v>0</v>
      </c>
      <c r="M1509" s="314">
        <v>0</v>
      </c>
      <c r="N1509" s="315">
        <v>0</v>
      </c>
      <c r="O1509" s="314">
        <v>0</v>
      </c>
      <c r="P1509" s="315">
        <v>0</v>
      </c>
      <c r="Q1509" s="314">
        <v>0</v>
      </c>
      <c r="R1509" s="315">
        <v>0</v>
      </c>
      <c r="S1509" s="314">
        <v>0</v>
      </c>
      <c r="T1509" s="315">
        <v>3412.570475</v>
      </c>
      <c r="U1509" s="314">
        <v>0.48924492197739683</v>
      </c>
      <c r="V1509" s="315">
        <v>6975.1781198000072</v>
      </c>
      <c r="W1509" s="314">
        <v>1</v>
      </c>
      <c r="X1509" s="307"/>
    </row>
    <row r="1510" spans="1:24">
      <c r="A1510" s="313" t="s">
        <v>309</v>
      </c>
      <c r="B1510" s="312">
        <v>0</v>
      </c>
      <c r="C1510" s="311">
        <v>0</v>
      </c>
      <c r="D1510" s="312">
        <v>1.8888887999999999</v>
      </c>
      <c r="E1510" s="311">
        <v>1.1832853111097039E-2</v>
      </c>
      <c r="F1510" s="312">
        <v>47.206898000000002</v>
      </c>
      <c r="G1510" s="311">
        <v>0.295725343844773</v>
      </c>
      <c r="H1510" s="312">
        <v>47.206898000000002</v>
      </c>
      <c r="I1510" s="311">
        <v>0.295725343844773</v>
      </c>
      <c r="J1510" s="312">
        <v>0</v>
      </c>
      <c r="K1510" s="311">
        <v>0</v>
      </c>
      <c r="L1510" s="312">
        <v>0</v>
      </c>
      <c r="M1510" s="311">
        <v>0</v>
      </c>
      <c r="N1510" s="312">
        <v>0</v>
      </c>
      <c r="O1510" s="311">
        <v>0</v>
      </c>
      <c r="P1510" s="312">
        <v>0</v>
      </c>
      <c r="Q1510" s="311">
        <v>0</v>
      </c>
      <c r="R1510" s="312">
        <v>0</v>
      </c>
      <c r="S1510" s="311">
        <v>0</v>
      </c>
      <c r="T1510" s="312">
        <v>63.328198999999998</v>
      </c>
      <c r="U1510" s="311">
        <v>0.396716459199357</v>
      </c>
      <c r="V1510" s="312">
        <v>159.63088379999999</v>
      </c>
      <c r="W1510" s="311">
        <v>2.2885563788954101E-2</v>
      </c>
      <c r="X1510" s="307"/>
    </row>
    <row r="1511" spans="1:24">
      <c r="A1511" s="313" t="s">
        <v>308</v>
      </c>
      <c r="B1511" s="312">
        <v>0</v>
      </c>
      <c r="C1511" s="311">
        <v>0</v>
      </c>
      <c r="D1511" s="312">
        <v>13.810525999999999</v>
      </c>
      <c r="E1511" s="311">
        <v>3.447592335282116E-2</v>
      </c>
      <c r="F1511" s="312">
        <v>18.258823</v>
      </c>
      <c r="G1511" s="311">
        <v>4.5580434971175476E-2</v>
      </c>
      <c r="H1511" s="312">
        <v>205.781632</v>
      </c>
      <c r="I1511" s="311">
        <v>0.51370322696256832</v>
      </c>
      <c r="J1511" s="312">
        <v>18.258823</v>
      </c>
      <c r="K1511" s="311">
        <v>4.5580434971175476E-2</v>
      </c>
      <c r="L1511" s="312">
        <v>0</v>
      </c>
      <c r="M1511" s="311">
        <v>0</v>
      </c>
      <c r="N1511" s="312">
        <v>0</v>
      </c>
      <c r="O1511" s="311">
        <v>0</v>
      </c>
      <c r="P1511" s="312">
        <v>0</v>
      </c>
      <c r="Q1511" s="311">
        <v>0</v>
      </c>
      <c r="R1511" s="312">
        <v>0</v>
      </c>
      <c r="S1511" s="311">
        <v>0</v>
      </c>
      <c r="T1511" s="312">
        <v>144.47485499999999</v>
      </c>
      <c r="U1511" s="311">
        <v>0.36065997974225972</v>
      </c>
      <c r="V1511" s="312">
        <v>400.58465899999993</v>
      </c>
      <c r="W1511" s="311">
        <v>5.7430025745562684E-2</v>
      </c>
      <c r="X1511" s="307"/>
    </row>
    <row r="1512" spans="1:24">
      <c r="A1512" s="313" t="s">
        <v>307</v>
      </c>
      <c r="B1512" s="312">
        <v>0</v>
      </c>
      <c r="C1512" s="311">
        <v>0</v>
      </c>
      <c r="D1512" s="312">
        <v>0</v>
      </c>
      <c r="E1512" s="311">
        <v>0</v>
      </c>
      <c r="F1512" s="312">
        <v>0</v>
      </c>
      <c r="G1512" s="311">
        <v>0</v>
      </c>
      <c r="H1512" s="312">
        <v>0</v>
      </c>
      <c r="I1512" s="311">
        <v>0</v>
      </c>
      <c r="J1512" s="312">
        <v>0</v>
      </c>
      <c r="K1512" s="311">
        <v>0</v>
      </c>
      <c r="L1512" s="312">
        <v>0</v>
      </c>
      <c r="M1512" s="311">
        <v>0</v>
      </c>
      <c r="N1512" s="312">
        <v>0</v>
      </c>
      <c r="O1512" s="311">
        <v>0</v>
      </c>
      <c r="P1512" s="312">
        <v>0</v>
      </c>
      <c r="Q1512" s="311">
        <v>0</v>
      </c>
      <c r="R1512" s="312">
        <v>0</v>
      </c>
      <c r="S1512" s="311">
        <v>0</v>
      </c>
      <c r="T1512" s="312">
        <v>64.032352000000003</v>
      </c>
      <c r="U1512" s="311">
        <v>1</v>
      </c>
      <c r="V1512" s="312">
        <v>64.032352000000003</v>
      </c>
      <c r="W1512" s="311">
        <v>9.1800310902793031E-3</v>
      </c>
      <c r="X1512" s="307"/>
    </row>
    <row r="1513" spans="1:24">
      <c r="A1513" s="313" t="s">
        <v>306</v>
      </c>
      <c r="B1513" s="312">
        <v>0</v>
      </c>
      <c r="C1513" s="311">
        <v>0</v>
      </c>
      <c r="D1513" s="312">
        <v>72.371899999999997</v>
      </c>
      <c r="E1513" s="311">
        <v>0.23319422193334724</v>
      </c>
      <c r="F1513" s="312">
        <v>0</v>
      </c>
      <c r="G1513" s="311">
        <v>0</v>
      </c>
      <c r="H1513" s="312">
        <v>165.606514</v>
      </c>
      <c r="I1513" s="311">
        <v>0.53361155613330558</v>
      </c>
      <c r="J1513" s="312">
        <v>72.371899999999997</v>
      </c>
      <c r="K1513" s="311">
        <v>0.23319422193334724</v>
      </c>
      <c r="L1513" s="312">
        <v>0</v>
      </c>
      <c r="M1513" s="311">
        <v>0</v>
      </c>
      <c r="N1513" s="312">
        <v>0</v>
      </c>
      <c r="O1513" s="311">
        <v>0</v>
      </c>
      <c r="P1513" s="312">
        <v>0</v>
      </c>
      <c r="Q1513" s="311">
        <v>0</v>
      </c>
      <c r="R1513" s="312">
        <v>0</v>
      </c>
      <c r="S1513" s="311">
        <v>0</v>
      </c>
      <c r="T1513" s="312">
        <v>0</v>
      </c>
      <c r="U1513" s="311">
        <v>0</v>
      </c>
      <c r="V1513" s="312">
        <v>310.35031399999997</v>
      </c>
      <c r="W1513" s="311">
        <v>4.4493532447440691E-2</v>
      </c>
      <c r="X1513" s="307"/>
    </row>
    <row r="1514" spans="1:24">
      <c r="A1514" s="313" t="s">
        <v>305</v>
      </c>
      <c r="B1514" s="312">
        <v>0</v>
      </c>
      <c r="C1514" s="311">
        <v>0</v>
      </c>
      <c r="D1514" s="312">
        <v>108.526314</v>
      </c>
      <c r="E1514" s="311">
        <v>0.15076291885562851</v>
      </c>
      <c r="F1514" s="312">
        <v>60.051774999999999</v>
      </c>
      <c r="G1514" s="311">
        <v>8.3422909594639522E-2</v>
      </c>
      <c r="H1514" s="312">
        <v>0</v>
      </c>
      <c r="I1514" s="311">
        <v>0</v>
      </c>
      <c r="J1514" s="312">
        <v>54.263157</v>
      </c>
      <c r="K1514" s="311">
        <v>7.5381459427814254E-2</v>
      </c>
      <c r="L1514" s="312">
        <v>0</v>
      </c>
      <c r="M1514" s="311">
        <v>0</v>
      </c>
      <c r="N1514" s="312">
        <v>0</v>
      </c>
      <c r="O1514" s="311">
        <v>0</v>
      </c>
      <c r="P1514" s="312">
        <v>0</v>
      </c>
      <c r="Q1514" s="311">
        <v>0</v>
      </c>
      <c r="R1514" s="312">
        <v>0</v>
      </c>
      <c r="S1514" s="311">
        <v>0</v>
      </c>
      <c r="T1514" s="312">
        <v>497.00627899999989</v>
      </c>
      <c r="U1514" s="311">
        <v>0.6904327121219177</v>
      </c>
      <c r="V1514" s="312">
        <v>719.84752499999991</v>
      </c>
      <c r="W1514" s="311">
        <v>0.10320131079615204</v>
      </c>
      <c r="X1514" s="307"/>
    </row>
    <row r="1515" spans="1:24" ht="28.5">
      <c r="A1515" s="313" t="s">
        <v>304</v>
      </c>
      <c r="B1515" s="312">
        <v>0</v>
      </c>
      <c r="C1515" s="311">
        <v>0</v>
      </c>
      <c r="D1515" s="312">
        <v>797.8473459999999</v>
      </c>
      <c r="E1515" s="311">
        <v>0.22064602989135632</v>
      </c>
      <c r="F1515" s="312">
        <v>436.08674799999994</v>
      </c>
      <c r="G1515" s="311">
        <v>0.12060052604904242</v>
      </c>
      <c r="H1515" s="312">
        <v>603.15645499999994</v>
      </c>
      <c r="I1515" s="311">
        <v>0.16680393544743896</v>
      </c>
      <c r="J1515" s="312">
        <v>344.39282300000002</v>
      </c>
      <c r="K1515" s="311">
        <v>9.524241635821222E-2</v>
      </c>
      <c r="L1515" s="312">
        <v>0</v>
      </c>
      <c r="M1515" s="311">
        <v>0</v>
      </c>
      <c r="N1515" s="312">
        <v>0</v>
      </c>
      <c r="O1515" s="311">
        <v>0</v>
      </c>
      <c r="P1515" s="312">
        <v>0</v>
      </c>
      <c r="Q1515" s="311">
        <v>0</v>
      </c>
      <c r="R1515" s="312">
        <v>0</v>
      </c>
      <c r="S1515" s="311">
        <v>0</v>
      </c>
      <c r="T1515" s="312">
        <v>1434.4772069999995</v>
      </c>
      <c r="U1515" s="311">
        <v>0.39670709225395007</v>
      </c>
      <c r="V1515" s="312">
        <v>3615.9605789999991</v>
      </c>
      <c r="W1515" s="311">
        <v>0.51840404888523139</v>
      </c>
      <c r="X1515" s="307"/>
    </row>
    <row r="1516" spans="1:24" ht="28.5">
      <c r="A1516" s="313" t="s">
        <v>303</v>
      </c>
      <c r="B1516" s="312">
        <v>0</v>
      </c>
      <c r="C1516" s="311">
        <v>0</v>
      </c>
      <c r="D1516" s="312">
        <v>65.855770000000007</v>
      </c>
      <c r="E1516" s="311">
        <v>4.3494846157436949E-2</v>
      </c>
      <c r="F1516" s="312">
        <v>131.76616000000001</v>
      </c>
      <c r="G1516" s="311">
        <v>8.7025766428001999E-2</v>
      </c>
      <c r="H1516" s="312">
        <v>151.25350100000003</v>
      </c>
      <c r="I1516" s="311">
        <v>9.9896300001787786E-2</v>
      </c>
      <c r="J1516" s="312">
        <v>78.378123000000002</v>
      </c>
      <c r="K1516" s="311">
        <v>5.1765310799549831E-2</v>
      </c>
      <c r="L1516" s="312">
        <v>0</v>
      </c>
      <c r="M1516" s="311">
        <v>0</v>
      </c>
      <c r="N1516" s="312">
        <v>0</v>
      </c>
      <c r="O1516" s="311">
        <v>0</v>
      </c>
      <c r="P1516" s="312">
        <v>0</v>
      </c>
      <c r="Q1516" s="311">
        <v>0</v>
      </c>
      <c r="R1516" s="312">
        <v>0</v>
      </c>
      <c r="S1516" s="311">
        <v>0</v>
      </c>
      <c r="T1516" s="312">
        <v>1086.8515830000001</v>
      </c>
      <c r="U1516" s="311">
        <v>0.71781777661322321</v>
      </c>
      <c r="V1516" s="312">
        <v>1514.1051370000005</v>
      </c>
      <c r="W1516" s="311">
        <v>0.21707046200039015</v>
      </c>
      <c r="X1516" s="307"/>
    </row>
    <row r="1517" spans="1:24" ht="15.75" thickBot="1">
      <c r="A1517" s="313" t="s">
        <v>302</v>
      </c>
      <c r="B1517" s="312">
        <v>0</v>
      </c>
      <c r="C1517" s="311">
        <v>0</v>
      </c>
      <c r="D1517" s="312">
        <v>68.266670000000005</v>
      </c>
      <c r="E1517" s="311">
        <v>0.35804196926500054</v>
      </c>
      <c r="F1517" s="312">
        <v>0</v>
      </c>
      <c r="G1517" s="311">
        <v>0</v>
      </c>
      <c r="H1517" s="312">
        <v>0</v>
      </c>
      <c r="I1517" s="311">
        <v>0</v>
      </c>
      <c r="J1517" s="312">
        <v>0</v>
      </c>
      <c r="K1517" s="311">
        <v>0</v>
      </c>
      <c r="L1517" s="312">
        <v>0</v>
      </c>
      <c r="M1517" s="311">
        <v>0</v>
      </c>
      <c r="N1517" s="312">
        <v>0</v>
      </c>
      <c r="O1517" s="311">
        <v>0</v>
      </c>
      <c r="P1517" s="312">
        <v>0</v>
      </c>
      <c r="Q1517" s="311">
        <v>0</v>
      </c>
      <c r="R1517" s="312">
        <v>0</v>
      </c>
      <c r="S1517" s="311">
        <v>0</v>
      </c>
      <c r="T1517" s="312">
        <v>122.4</v>
      </c>
      <c r="U1517" s="311">
        <v>0.64195803073499946</v>
      </c>
      <c r="V1517" s="312">
        <v>190.66667000000001</v>
      </c>
      <c r="W1517" s="311">
        <v>2.7335025245988531E-2</v>
      </c>
      <c r="X1517" s="307"/>
    </row>
    <row r="1518" spans="1:24" ht="15" customHeight="1">
      <c r="A1518" s="316" t="s">
        <v>4</v>
      </c>
      <c r="B1518" s="315">
        <v>55.455154813445795</v>
      </c>
      <c r="C1518" s="314">
        <v>7.8542793740235244E-3</v>
      </c>
      <c r="D1518" s="315">
        <v>653.60418851795202</v>
      </c>
      <c r="E1518" s="314">
        <v>9.2571915341713759E-2</v>
      </c>
      <c r="F1518" s="315">
        <v>273.81645997610428</v>
      </c>
      <c r="G1518" s="314">
        <v>3.8781443872860789E-2</v>
      </c>
      <c r="H1518" s="315">
        <v>685.59353745753594</v>
      </c>
      <c r="I1518" s="314">
        <v>9.7102662472613413E-2</v>
      </c>
      <c r="J1518" s="315">
        <v>942.63482948311162</v>
      </c>
      <c r="K1518" s="314">
        <v>0.13350818915485674</v>
      </c>
      <c r="L1518" s="315">
        <v>314.2105674241493</v>
      </c>
      <c r="M1518" s="314">
        <v>4.4502582079553613E-2</v>
      </c>
      <c r="N1518" s="315">
        <v>327.95574289257536</v>
      </c>
      <c r="O1518" s="314">
        <v>4.6449352375970081E-2</v>
      </c>
      <c r="P1518" s="315">
        <v>0</v>
      </c>
      <c r="Q1518" s="314">
        <v>0</v>
      </c>
      <c r="R1518" s="315">
        <v>0</v>
      </c>
      <c r="S1518" s="314">
        <v>0</v>
      </c>
      <c r="T1518" s="315">
        <v>3807.2314665459994</v>
      </c>
      <c r="U1518" s="314">
        <v>0.53922957532840954</v>
      </c>
      <c r="V1518" s="315">
        <v>7060.5019471108635</v>
      </c>
      <c r="W1518" s="314">
        <v>1</v>
      </c>
      <c r="X1518" s="307"/>
    </row>
    <row r="1519" spans="1:24">
      <c r="A1519" s="313" t="s">
        <v>309</v>
      </c>
      <c r="B1519" s="312">
        <v>0</v>
      </c>
      <c r="C1519" s="311">
        <v>0</v>
      </c>
      <c r="D1519" s="312">
        <v>0</v>
      </c>
      <c r="E1519" s="311">
        <v>0</v>
      </c>
      <c r="F1519" s="312">
        <v>81.05263157894737</v>
      </c>
      <c r="G1519" s="311">
        <v>0.20988558247873235</v>
      </c>
      <c r="H1519" s="312">
        <v>0</v>
      </c>
      <c r="I1519" s="311">
        <v>0</v>
      </c>
      <c r="J1519" s="312">
        <v>0</v>
      </c>
      <c r="K1519" s="311">
        <v>0</v>
      </c>
      <c r="L1519" s="312">
        <v>0</v>
      </c>
      <c r="M1519" s="311">
        <v>0</v>
      </c>
      <c r="N1519" s="312">
        <v>0</v>
      </c>
      <c r="O1519" s="311">
        <v>0</v>
      </c>
      <c r="P1519" s="312">
        <v>0</v>
      </c>
      <c r="Q1519" s="311">
        <v>0</v>
      </c>
      <c r="R1519" s="312">
        <v>0</v>
      </c>
      <c r="S1519" s="311">
        <v>0</v>
      </c>
      <c r="T1519" s="312">
        <v>305.12268652400235</v>
      </c>
      <c r="U1519" s="311">
        <v>0.79011441752126754</v>
      </c>
      <c r="V1519" s="312">
        <v>386.17531810294975</v>
      </c>
      <c r="W1519" s="311">
        <v>5.4695164875773673E-2</v>
      </c>
      <c r="X1519" s="307"/>
    </row>
    <row r="1520" spans="1:24">
      <c r="A1520" s="313" t="s">
        <v>308</v>
      </c>
      <c r="B1520" s="312">
        <v>5.3796992481203008</v>
      </c>
      <c r="C1520" s="311">
        <v>7.0699351370761077E-3</v>
      </c>
      <c r="D1520" s="312">
        <v>46.470568907630167</v>
      </c>
      <c r="E1520" s="311">
        <v>6.1071054868869518E-2</v>
      </c>
      <c r="F1520" s="312">
        <v>21.518796992481203</v>
      </c>
      <c r="G1520" s="311">
        <v>2.8279740548304431E-2</v>
      </c>
      <c r="H1520" s="312">
        <v>72.171022872731598</v>
      </c>
      <c r="I1520" s="311">
        <v>9.484627800800037E-2</v>
      </c>
      <c r="J1520" s="312">
        <v>46.470568907630167</v>
      </c>
      <c r="K1520" s="311">
        <v>6.1071054868869518E-2</v>
      </c>
      <c r="L1520" s="312">
        <v>5.3796992481203008</v>
      </c>
      <c r="M1520" s="311">
        <v>7.0699351370761077E-3</v>
      </c>
      <c r="N1520" s="312">
        <v>143.21311475409837</v>
      </c>
      <c r="O1520" s="311">
        <v>0.18820892867642908</v>
      </c>
      <c r="P1520" s="312">
        <v>0</v>
      </c>
      <c r="Q1520" s="311">
        <v>0</v>
      </c>
      <c r="R1520" s="312">
        <v>0</v>
      </c>
      <c r="S1520" s="311">
        <v>0</v>
      </c>
      <c r="T1520" s="312">
        <v>420.32278140608946</v>
      </c>
      <c r="U1520" s="311">
        <v>0.5523830727553749</v>
      </c>
      <c r="V1520" s="312">
        <v>760.92625233690148</v>
      </c>
      <c r="W1520" s="311">
        <v>0.10777226010797579</v>
      </c>
      <c r="X1520" s="307"/>
    </row>
    <row r="1521" spans="1:24">
      <c r="A1521" s="313" t="s">
        <v>307</v>
      </c>
      <c r="B1521" s="312">
        <v>0</v>
      </c>
      <c r="C1521" s="311">
        <v>0</v>
      </c>
      <c r="D1521" s="312">
        <v>0</v>
      </c>
      <c r="E1521" s="311">
        <v>0</v>
      </c>
      <c r="F1521" s="312">
        <v>0</v>
      </c>
      <c r="G1521" s="311">
        <v>0</v>
      </c>
      <c r="H1521" s="312">
        <v>0</v>
      </c>
      <c r="I1521" s="311">
        <v>0</v>
      </c>
      <c r="J1521" s="312">
        <v>0</v>
      </c>
      <c r="K1521" s="311">
        <v>0</v>
      </c>
      <c r="L1521" s="312">
        <v>0</v>
      </c>
      <c r="M1521" s="311">
        <v>0</v>
      </c>
      <c r="N1521" s="312">
        <v>0</v>
      </c>
      <c r="O1521" s="311">
        <v>0</v>
      </c>
      <c r="P1521" s="312">
        <v>0</v>
      </c>
      <c r="Q1521" s="311">
        <v>0</v>
      </c>
      <c r="R1521" s="312">
        <v>0</v>
      </c>
      <c r="S1521" s="311">
        <v>0</v>
      </c>
      <c r="T1521" s="312">
        <v>296.88722539486548</v>
      </c>
      <c r="U1521" s="311">
        <v>1</v>
      </c>
      <c r="V1521" s="312">
        <v>296.88722539486548</v>
      </c>
      <c r="W1521" s="311">
        <v>4.2049025355251242E-2</v>
      </c>
      <c r="X1521" s="307"/>
    </row>
    <row r="1522" spans="1:24">
      <c r="A1522" s="313" t="s">
        <v>306</v>
      </c>
      <c r="B1522" s="312">
        <v>0</v>
      </c>
      <c r="C1522" s="311">
        <v>0</v>
      </c>
      <c r="D1522" s="312">
        <v>0</v>
      </c>
      <c r="E1522" s="311">
        <v>0</v>
      </c>
      <c r="F1522" s="312">
        <v>0</v>
      </c>
      <c r="G1522" s="311">
        <v>0</v>
      </c>
      <c r="H1522" s="312">
        <v>0</v>
      </c>
      <c r="I1522" s="311">
        <v>0</v>
      </c>
      <c r="J1522" s="312">
        <v>120.46964285714284</v>
      </c>
      <c r="K1522" s="311">
        <v>0.27785450801619199</v>
      </c>
      <c r="L1522" s="312">
        <v>0</v>
      </c>
      <c r="M1522" s="311">
        <v>0</v>
      </c>
      <c r="N1522" s="312">
        <v>0</v>
      </c>
      <c r="O1522" s="311">
        <v>0</v>
      </c>
      <c r="P1522" s="312">
        <v>0</v>
      </c>
      <c r="Q1522" s="311">
        <v>0</v>
      </c>
      <c r="R1522" s="312">
        <v>0</v>
      </c>
      <c r="S1522" s="311">
        <v>0</v>
      </c>
      <c r="T1522" s="312">
        <v>313.10130662020907</v>
      </c>
      <c r="U1522" s="311">
        <v>0.72214549198380806</v>
      </c>
      <c r="V1522" s="312">
        <v>433.57094947735192</v>
      </c>
      <c r="W1522" s="311">
        <v>6.1407949849056821E-2</v>
      </c>
      <c r="X1522" s="307"/>
    </row>
    <row r="1523" spans="1:24">
      <c r="A1523" s="313" t="s">
        <v>305</v>
      </c>
      <c r="B1523" s="312">
        <v>0</v>
      </c>
      <c r="C1523" s="311">
        <v>0</v>
      </c>
      <c r="D1523" s="312">
        <v>52.911174785100286</v>
      </c>
      <c r="E1523" s="311">
        <v>6.2223406089672896E-2</v>
      </c>
      <c r="F1523" s="312">
        <v>52.911174785100286</v>
      </c>
      <c r="G1523" s="311">
        <v>6.2223406089672896E-2</v>
      </c>
      <c r="H1523" s="312">
        <v>180.6506323984834</v>
      </c>
      <c r="I1523" s="311">
        <v>0.21244468121793464</v>
      </c>
      <c r="J1523" s="312">
        <v>180.6506323984834</v>
      </c>
      <c r="K1523" s="311">
        <v>0.21244468121793464</v>
      </c>
      <c r="L1523" s="312">
        <v>52.911174785100286</v>
      </c>
      <c r="M1523" s="311">
        <v>6.2223406089672896E-2</v>
      </c>
      <c r="N1523" s="312">
        <v>0</v>
      </c>
      <c r="O1523" s="311">
        <v>0</v>
      </c>
      <c r="P1523" s="312">
        <v>0</v>
      </c>
      <c r="Q1523" s="311">
        <v>0</v>
      </c>
      <c r="R1523" s="312">
        <v>0</v>
      </c>
      <c r="S1523" s="311">
        <v>0</v>
      </c>
      <c r="T1523" s="312">
        <v>330.30719805504907</v>
      </c>
      <c r="U1523" s="311">
        <v>0.38844041929511242</v>
      </c>
      <c r="V1523" s="312">
        <v>850.34198720731638</v>
      </c>
      <c r="W1523" s="311">
        <v>0.12043647796956897</v>
      </c>
      <c r="X1523" s="307"/>
    </row>
    <row r="1524" spans="1:24" ht="28.5">
      <c r="A1524" s="313" t="s">
        <v>304</v>
      </c>
      <c r="B1524" s="312">
        <v>50.075455565325491</v>
      </c>
      <c r="C1524" s="311">
        <v>1.9888978870470548E-2</v>
      </c>
      <c r="D1524" s="312">
        <v>243.61414849554384</v>
      </c>
      <c r="E1524" s="311">
        <v>9.6758713371159169E-2</v>
      </c>
      <c r="F1524" s="312">
        <v>65.247869358428943</v>
      </c>
      <c r="G1524" s="311">
        <v>2.5915161037728264E-2</v>
      </c>
      <c r="H1524" s="312">
        <v>332.90801225995108</v>
      </c>
      <c r="I1524" s="311">
        <v>0.13222446699483123</v>
      </c>
      <c r="J1524" s="312">
        <v>260.05780926197929</v>
      </c>
      <c r="K1524" s="311">
        <v>0.10328980965065628</v>
      </c>
      <c r="L1524" s="312">
        <v>84.221449971303855</v>
      </c>
      <c r="M1524" s="311">
        <v>3.3451091358209332E-2</v>
      </c>
      <c r="N1524" s="312">
        <v>62.635476856166505</v>
      </c>
      <c r="O1524" s="311">
        <v>2.4877570491775223E-2</v>
      </c>
      <c r="P1524" s="312">
        <v>0</v>
      </c>
      <c r="Q1524" s="311">
        <v>0</v>
      </c>
      <c r="R1524" s="312">
        <v>0</v>
      </c>
      <c r="S1524" s="311">
        <v>0</v>
      </c>
      <c r="T1524" s="312">
        <v>1418.9887230840309</v>
      </c>
      <c r="U1524" s="311">
        <v>0.56359420822516948</v>
      </c>
      <c r="V1524" s="312">
        <v>2517.7489448527313</v>
      </c>
      <c r="W1524" s="311">
        <v>0.35659631053327401</v>
      </c>
      <c r="X1524" s="307"/>
    </row>
    <row r="1525" spans="1:24" ht="28.5">
      <c r="A1525" s="313" t="s">
        <v>303</v>
      </c>
      <c r="B1525" s="312">
        <v>0</v>
      </c>
      <c r="C1525" s="311">
        <v>0</v>
      </c>
      <c r="D1525" s="312">
        <v>240.7194074407889</v>
      </c>
      <c r="E1525" s="311">
        <v>0.14961984807605178</v>
      </c>
      <c r="F1525" s="312">
        <v>53.085987261146499</v>
      </c>
      <c r="G1525" s="311">
        <v>3.2995749837634814E-2</v>
      </c>
      <c r="H1525" s="312">
        <v>99.863869926369929</v>
      </c>
      <c r="I1525" s="311">
        <v>6.2070678910030701E-2</v>
      </c>
      <c r="J1525" s="312">
        <v>334.98617605787598</v>
      </c>
      <c r="K1525" s="311">
        <v>0.2082116323823428</v>
      </c>
      <c r="L1525" s="312">
        <v>171.69824341962487</v>
      </c>
      <c r="M1525" s="311">
        <v>0.10671954275929417</v>
      </c>
      <c r="N1525" s="312">
        <v>122.10715128231053</v>
      </c>
      <c r="O1525" s="311">
        <v>7.5896055154392392E-2</v>
      </c>
      <c r="P1525" s="312">
        <v>0</v>
      </c>
      <c r="Q1525" s="311">
        <v>0</v>
      </c>
      <c r="R1525" s="312">
        <v>0</v>
      </c>
      <c r="S1525" s="311">
        <v>0</v>
      </c>
      <c r="T1525" s="312">
        <v>586.41265657286408</v>
      </c>
      <c r="U1525" s="311">
        <v>0.36448649288025309</v>
      </c>
      <c r="V1525" s="312">
        <v>1608.8734919609813</v>
      </c>
      <c r="W1525" s="311">
        <v>0.22786956281760215</v>
      </c>
      <c r="X1525" s="307"/>
    </row>
    <row r="1526" spans="1:24" ht="15.75" thickBot="1">
      <c r="A1526" s="313" t="s">
        <v>302</v>
      </c>
      <c r="B1526" s="312">
        <v>0</v>
      </c>
      <c r="C1526" s="311">
        <v>0</v>
      </c>
      <c r="D1526" s="312">
        <v>69.888888888888886</v>
      </c>
      <c r="E1526" s="311">
        <v>0.33930305318804616</v>
      </c>
      <c r="F1526" s="312">
        <v>0</v>
      </c>
      <c r="G1526" s="311">
        <v>0</v>
      </c>
      <c r="H1526" s="312">
        <v>0</v>
      </c>
      <c r="I1526" s="311">
        <v>0</v>
      </c>
      <c r="J1526" s="312">
        <v>0</v>
      </c>
      <c r="K1526" s="311">
        <v>0</v>
      </c>
      <c r="L1526" s="312">
        <v>0</v>
      </c>
      <c r="M1526" s="311">
        <v>0</v>
      </c>
      <c r="N1526" s="312">
        <v>0</v>
      </c>
      <c r="O1526" s="311">
        <v>0</v>
      </c>
      <c r="P1526" s="312">
        <v>0</v>
      </c>
      <c r="Q1526" s="311">
        <v>0</v>
      </c>
      <c r="R1526" s="312">
        <v>0</v>
      </c>
      <c r="S1526" s="311">
        <v>0</v>
      </c>
      <c r="T1526" s="312">
        <v>136.0888888888889</v>
      </c>
      <c r="U1526" s="311">
        <v>0.6606969468119539</v>
      </c>
      <c r="V1526" s="312">
        <v>205.97777777777779</v>
      </c>
      <c r="W1526" s="311">
        <v>2.9173248491499004E-2</v>
      </c>
      <c r="X1526" s="307"/>
    </row>
    <row r="1527" spans="1:24" ht="15.75" customHeight="1">
      <c r="A1527" s="316" t="s">
        <v>3</v>
      </c>
      <c r="B1527" s="315">
        <v>20.480952734760596</v>
      </c>
      <c r="C1527" s="314">
        <v>3.3704842576978877E-3</v>
      </c>
      <c r="D1527" s="315">
        <v>570.63805027170326</v>
      </c>
      <c r="E1527" s="314">
        <v>9.3908061318841454E-2</v>
      </c>
      <c r="F1527" s="315">
        <v>464.91319963763266</v>
      </c>
      <c r="G1527" s="314">
        <v>7.6509264040001843E-2</v>
      </c>
      <c r="H1527" s="315">
        <v>970.04186770901231</v>
      </c>
      <c r="I1527" s="314">
        <v>0.15963665786269882</v>
      </c>
      <c r="J1527" s="315">
        <v>714.98407925695847</v>
      </c>
      <c r="K1527" s="314">
        <v>0.11766262120951895</v>
      </c>
      <c r="L1527" s="315">
        <v>524.05289474457584</v>
      </c>
      <c r="M1527" s="314">
        <v>8.6241692699177433E-2</v>
      </c>
      <c r="N1527" s="315">
        <v>363.13629390795563</v>
      </c>
      <c r="O1527" s="314">
        <v>5.9760167305997383E-2</v>
      </c>
      <c r="P1527" s="315">
        <v>315.86820574829153</v>
      </c>
      <c r="Q1527" s="314">
        <v>5.1981410668215114E-2</v>
      </c>
      <c r="R1527" s="315">
        <v>165.39426723683408</v>
      </c>
      <c r="S1527" s="314">
        <v>2.721840049408927E-2</v>
      </c>
      <c r="T1527" s="315">
        <v>1967.0510532583</v>
      </c>
      <c r="U1527" s="314">
        <v>0.32371124014376312</v>
      </c>
      <c r="V1527" s="315">
        <v>6076.5608645060165</v>
      </c>
      <c r="W1527" s="314">
        <v>1</v>
      </c>
      <c r="X1527" s="307"/>
    </row>
    <row r="1528" spans="1:24">
      <c r="A1528" s="313" t="s">
        <v>309</v>
      </c>
      <c r="B1528" s="312">
        <v>0</v>
      </c>
      <c r="C1528" s="311">
        <v>0</v>
      </c>
      <c r="D1528" s="312">
        <v>23.411764705882351</v>
      </c>
      <c r="E1528" s="311">
        <v>0.26107871720116621</v>
      </c>
      <c r="F1528" s="312">
        <v>0</v>
      </c>
      <c r="G1528" s="311">
        <v>0</v>
      </c>
      <c r="H1528" s="312">
        <v>0</v>
      </c>
      <c r="I1528" s="311">
        <v>0</v>
      </c>
      <c r="J1528" s="312">
        <v>11.705882352941176</v>
      </c>
      <c r="K1528" s="311">
        <v>0.13053935860058311</v>
      </c>
      <c r="L1528" s="312">
        <v>0</v>
      </c>
      <c r="M1528" s="311">
        <v>0</v>
      </c>
      <c r="N1528" s="312">
        <v>0</v>
      </c>
      <c r="O1528" s="311">
        <v>0</v>
      </c>
      <c r="P1528" s="312">
        <v>0</v>
      </c>
      <c r="Q1528" s="311">
        <v>0</v>
      </c>
      <c r="R1528" s="312">
        <v>0</v>
      </c>
      <c r="S1528" s="311">
        <v>0</v>
      </c>
      <c r="T1528" s="312">
        <v>54.555555555555557</v>
      </c>
      <c r="U1528" s="311">
        <v>0.60838192419825077</v>
      </c>
      <c r="V1528" s="312">
        <v>89.673202614379079</v>
      </c>
      <c r="W1528" s="311">
        <v>1.4757229395688593E-2</v>
      </c>
      <c r="X1528" s="307"/>
    </row>
    <row r="1529" spans="1:24">
      <c r="A1529" s="313" t="s">
        <v>308</v>
      </c>
      <c r="B1529" s="312">
        <v>0</v>
      </c>
      <c r="C1529" s="311">
        <v>0</v>
      </c>
      <c r="D1529" s="312">
        <v>36.666666666666664</v>
      </c>
      <c r="E1529" s="311">
        <v>6.7224641557680126E-2</v>
      </c>
      <c r="F1529" s="312">
        <v>10.764150943396226</v>
      </c>
      <c r="G1529" s="311">
        <v>1.9734986968433885E-2</v>
      </c>
      <c r="H1529" s="312">
        <v>130.14141414141415</v>
      </c>
      <c r="I1529" s="311">
        <v>0.23860117956725924</v>
      </c>
      <c r="J1529" s="312">
        <v>113.19649323422908</v>
      </c>
      <c r="K1529" s="311">
        <v>0.20753437317974768</v>
      </c>
      <c r="L1529" s="312">
        <v>44.237373737373737</v>
      </c>
      <c r="M1529" s="311">
        <v>8.1104770716765875E-2</v>
      </c>
      <c r="N1529" s="312">
        <v>44.237373737373737</v>
      </c>
      <c r="O1529" s="311">
        <v>8.1104770716765875E-2</v>
      </c>
      <c r="P1529" s="312">
        <v>0</v>
      </c>
      <c r="Q1529" s="311">
        <v>0</v>
      </c>
      <c r="R1529" s="312">
        <v>15.141414141414142</v>
      </c>
      <c r="S1529" s="311">
        <v>2.7760258318171496E-2</v>
      </c>
      <c r="T1529" s="312">
        <v>151.05002858776444</v>
      </c>
      <c r="U1529" s="311">
        <v>0.27693501897517642</v>
      </c>
      <c r="V1529" s="312">
        <v>545.43491518963185</v>
      </c>
      <c r="W1529" s="311">
        <v>8.976046276037293E-2</v>
      </c>
      <c r="X1529" s="307"/>
    </row>
    <row r="1530" spans="1:24">
      <c r="A1530" s="313" t="s">
        <v>307</v>
      </c>
      <c r="B1530" s="312">
        <v>0</v>
      </c>
      <c r="C1530" s="311">
        <v>0</v>
      </c>
      <c r="D1530" s="312">
        <v>72.462962962962962</v>
      </c>
      <c r="E1530" s="311">
        <v>0.23147190480547841</v>
      </c>
      <c r="F1530" s="312">
        <v>0</v>
      </c>
      <c r="G1530" s="311">
        <v>0</v>
      </c>
      <c r="H1530" s="312">
        <v>95.6640625</v>
      </c>
      <c r="I1530" s="311">
        <v>0.3055842855835646</v>
      </c>
      <c r="J1530" s="312">
        <v>0</v>
      </c>
      <c r="K1530" s="311">
        <v>0</v>
      </c>
      <c r="L1530" s="312">
        <v>0</v>
      </c>
      <c r="M1530" s="311">
        <v>0</v>
      </c>
      <c r="N1530" s="312">
        <v>0</v>
      </c>
      <c r="O1530" s="311">
        <v>0</v>
      </c>
      <c r="P1530" s="312">
        <v>0</v>
      </c>
      <c r="Q1530" s="311">
        <v>0</v>
      </c>
      <c r="R1530" s="312">
        <v>0</v>
      </c>
      <c r="S1530" s="311">
        <v>0</v>
      </c>
      <c r="T1530" s="312">
        <v>144.92592592592592</v>
      </c>
      <c r="U1530" s="311">
        <v>0.46294380961095682</v>
      </c>
      <c r="V1530" s="312">
        <v>313.05295138888891</v>
      </c>
      <c r="W1530" s="311">
        <v>5.1518113348863491E-2</v>
      </c>
      <c r="X1530" s="307"/>
    </row>
    <row r="1531" spans="1:24">
      <c r="A1531" s="313" t="s">
        <v>306</v>
      </c>
      <c r="B1531" s="312">
        <v>0</v>
      </c>
      <c r="C1531" s="311">
        <v>0</v>
      </c>
      <c r="D1531" s="312">
        <v>108.285</v>
      </c>
      <c r="E1531" s="311">
        <v>0.4463333770960724</v>
      </c>
      <c r="F1531" s="312">
        <v>0</v>
      </c>
      <c r="G1531" s="311">
        <v>0</v>
      </c>
      <c r="H1531" s="312">
        <v>81.580436893203881</v>
      </c>
      <c r="I1531" s="311">
        <v>0.33626145729802565</v>
      </c>
      <c r="J1531" s="312">
        <v>7.2592592592592595</v>
      </c>
      <c r="K1531" s="311">
        <v>2.9921500673233768E-2</v>
      </c>
      <c r="L1531" s="312">
        <v>0</v>
      </c>
      <c r="M1531" s="311">
        <v>0</v>
      </c>
      <c r="N1531" s="312">
        <v>0</v>
      </c>
      <c r="O1531" s="311">
        <v>0</v>
      </c>
      <c r="P1531" s="312">
        <v>0</v>
      </c>
      <c r="Q1531" s="311">
        <v>0</v>
      </c>
      <c r="R1531" s="312">
        <v>45.485436893203882</v>
      </c>
      <c r="S1531" s="311">
        <v>0.18748366493266819</v>
      </c>
      <c r="T1531" s="312">
        <v>0</v>
      </c>
      <c r="U1531" s="311">
        <v>0</v>
      </c>
      <c r="V1531" s="312">
        <v>242.61013304566703</v>
      </c>
      <c r="W1531" s="311">
        <v>3.9925566196955982E-2</v>
      </c>
      <c r="X1531" s="307"/>
    </row>
    <row r="1532" spans="1:24">
      <c r="A1532" s="313" t="s">
        <v>305</v>
      </c>
      <c r="B1532" s="312">
        <v>0</v>
      </c>
      <c r="C1532" s="311">
        <v>0</v>
      </c>
      <c r="D1532" s="312">
        <v>91.908536585365852</v>
      </c>
      <c r="E1532" s="311">
        <v>0.12086041306293951</v>
      </c>
      <c r="F1532" s="312">
        <v>45.954268292682926</v>
      </c>
      <c r="G1532" s="311">
        <v>6.0430206531469757E-2</v>
      </c>
      <c r="H1532" s="312">
        <v>7.4358974358974361</v>
      </c>
      <c r="I1532" s="311">
        <v>9.7782607468838052E-3</v>
      </c>
      <c r="J1532" s="312">
        <v>102.22039732494099</v>
      </c>
      <c r="K1532" s="311">
        <v>0.13442058706565563</v>
      </c>
      <c r="L1532" s="312">
        <v>183.8170731707317</v>
      </c>
      <c r="M1532" s="311">
        <v>0.24172082612587903</v>
      </c>
      <c r="N1532" s="312">
        <v>91.908536585365852</v>
      </c>
      <c r="O1532" s="311">
        <v>0.12086041306293951</v>
      </c>
      <c r="P1532" s="312">
        <v>91.908536585365852</v>
      </c>
      <c r="Q1532" s="311">
        <v>0.12086041306293951</v>
      </c>
      <c r="R1532" s="312">
        <v>0</v>
      </c>
      <c r="S1532" s="311">
        <v>0</v>
      </c>
      <c r="T1532" s="312">
        <v>145.29870231394622</v>
      </c>
      <c r="U1532" s="311">
        <v>0.1910688803412931</v>
      </c>
      <c r="V1532" s="312">
        <v>760.45194829429693</v>
      </c>
      <c r="W1532" s="311">
        <v>0.1251451215993237</v>
      </c>
      <c r="X1532" s="307"/>
    </row>
    <row r="1533" spans="1:24" ht="28.5">
      <c r="A1533" s="313" t="s">
        <v>304</v>
      </c>
      <c r="B1533" s="312">
        <v>10.936102236421725</v>
      </c>
      <c r="C1533" s="311">
        <v>4.8967493789999544E-3</v>
      </c>
      <c r="D1533" s="312">
        <v>196.46780356539068</v>
      </c>
      <c r="E1533" s="311">
        <v>8.7970428065154427E-2</v>
      </c>
      <c r="F1533" s="312">
        <v>216.98709826980934</v>
      </c>
      <c r="G1533" s="311">
        <v>9.7158147915353557E-2</v>
      </c>
      <c r="H1533" s="312">
        <v>410.73753071164003</v>
      </c>
      <c r="I1533" s="311">
        <v>0.1839118458261858</v>
      </c>
      <c r="J1533" s="312">
        <v>211.94455077992257</v>
      </c>
      <c r="K1533" s="311">
        <v>9.4900296739872977E-2</v>
      </c>
      <c r="L1533" s="312">
        <v>197.44792823314026</v>
      </c>
      <c r="M1533" s="311">
        <v>8.8409288708040629E-2</v>
      </c>
      <c r="N1533" s="312">
        <v>28.993245093564582</v>
      </c>
      <c r="O1533" s="311">
        <v>1.2982016063664659E-2</v>
      </c>
      <c r="P1533" s="312">
        <v>73.654082864242611</v>
      </c>
      <c r="Q1533" s="311">
        <v>3.2979353770589873E-2</v>
      </c>
      <c r="R1533" s="312">
        <v>95.22256570387718</v>
      </c>
      <c r="S1533" s="311">
        <v>4.2636858123393823E-2</v>
      </c>
      <c r="T1533" s="312">
        <v>790.94827124734604</v>
      </c>
      <c r="U1533" s="311">
        <v>0.35415501540874339</v>
      </c>
      <c r="V1533" s="312">
        <v>2233.339178705357</v>
      </c>
      <c r="W1533" s="311">
        <v>0.36753341709297804</v>
      </c>
      <c r="X1533" s="307"/>
    </row>
    <row r="1534" spans="1:24" ht="28.5">
      <c r="A1534" s="313" t="s">
        <v>303</v>
      </c>
      <c r="B1534" s="312">
        <v>9.5448504983388709</v>
      </c>
      <c r="C1534" s="311">
        <v>5.5450489403265305E-3</v>
      </c>
      <c r="D1534" s="312">
        <v>41.435315785434732</v>
      </c>
      <c r="E1534" s="311">
        <v>2.4071707977836452E-2</v>
      </c>
      <c r="F1534" s="312">
        <v>93.590905815954855</v>
      </c>
      <c r="G1534" s="311">
        <v>5.4371323386288591E-2</v>
      </c>
      <c r="H1534" s="312">
        <v>230.83546720332711</v>
      </c>
      <c r="I1534" s="311">
        <v>0.1341030918219569</v>
      </c>
      <c r="J1534" s="312">
        <v>268.65749630566569</v>
      </c>
      <c r="K1534" s="311">
        <v>0.15607567299873079</v>
      </c>
      <c r="L1534" s="312">
        <v>98.550519603330258</v>
      </c>
      <c r="M1534" s="311">
        <v>5.7252594411005109E-2</v>
      </c>
      <c r="N1534" s="312">
        <v>138.59088849165153</v>
      </c>
      <c r="O1534" s="311">
        <v>8.0513912659322284E-2</v>
      </c>
      <c r="P1534" s="312">
        <v>150.30558629868312</v>
      </c>
      <c r="Q1534" s="311">
        <v>8.7319527128865954E-2</v>
      </c>
      <c r="R1534" s="312">
        <v>9.5448504983388709</v>
      </c>
      <c r="S1534" s="311">
        <v>5.5450489403265305E-3</v>
      </c>
      <c r="T1534" s="312">
        <v>680.27256962776005</v>
      </c>
      <c r="U1534" s="311">
        <v>0.39520207173534028</v>
      </c>
      <c r="V1534" s="312">
        <v>1721.3284501284861</v>
      </c>
      <c r="W1534" s="311">
        <v>0.28327346479535648</v>
      </c>
      <c r="X1534" s="307"/>
    </row>
    <row r="1535" spans="1:24" ht="15.75" thickBot="1">
      <c r="A1535" s="310" t="s">
        <v>302</v>
      </c>
      <c r="B1535" s="309">
        <v>0</v>
      </c>
      <c r="C1535" s="308">
        <v>0</v>
      </c>
      <c r="D1535" s="309">
        <v>0</v>
      </c>
      <c r="E1535" s="308">
        <v>0</v>
      </c>
      <c r="F1535" s="309">
        <v>97.61677631578948</v>
      </c>
      <c r="G1535" s="308">
        <v>0.57196184226488422</v>
      </c>
      <c r="H1535" s="309">
        <v>13.647058823529411</v>
      </c>
      <c r="I1535" s="308">
        <v>7.9961633653544167E-2</v>
      </c>
      <c r="J1535" s="309">
        <v>0</v>
      </c>
      <c r="K1535" s="308">
        <v>0</v>
      </c>
      <c r="L1535" s="309">
        <v>0</v>
      </c>
      <c r="M1535" s="308">
        <v>0</v>
      </c>
      <c r="N1535" s="309">
        <v>59.40625</v>
      </c>
      <c r="O1535" s="308">
        <v>0.34807652408157153</v>
      </c>
      <c r="P1535" s="309">
        <v>0</v>
      </c>
      <c r="Q1535" s="308">
        <v>0</v>
      </c>
      <c r="R1535" s="309">
        <v>0</v>
      </c>
      <c r="S1535" s="308">
        <v>0</v>
      </c>
      <c r="T1535" s="309">
        <v>0</v>
      </c>
      <c r="U1535" s="308">
        <v>0</v>
      </c>
      <c r="V1535" s="309">
        <v>170.6700851393189</v>
      </c>
      <c r="W1535" s="308">
        <v>2.8086624810462296E-2</v>
      </c>
      <c r="X1535" s="307"/>
    </row>
    <row r="1539" spans="1:10" ht="15.75" thickBot="1"/>
    <row r="1540" spans="1:10" ht="30" customHeight="1">
      <c r="A1540" s="775" t="s">
        <v>310</v>
      </c>
      <c r="B1540" s="763" t="s">
        <v>354</v>
      </c>
      <c r="C1540" s="764"/>
      <c r="D1540" s="764"/>
      <c r="E1540" s="764"/>
      <c r="F1540" s="764"/>
      <c r="G1540" s="764"/>
      <c r="H1540" s="764"/>
      <c r="I1540" s="765"/>
      <c r="J1540" s="307"/>
    </row>
    <row r="1541" spans="1:10" ht="15" customHeight="1">
      <c r="A1541" s="776"/>
      <c r="B1541" s="767" t="s">
        <v>120</v>
      </c>
      <c r="C1541" s="759"/>
      <c r="D1541" s="768" t="s">
        <v>119</v>
      </c>
      <c r="E1541" s="759"/>
      <c r="F1541" s="768" t="s">
        <v>118</v>
      </c>
      <c r="G1541" s="759"/>
      <c r="H1541" s="769" t="s">
        <v>9</v>
      </c>
      <c r="I1541" s="766"/>
      <c r="J1541" s="307"/>
    </row>
    <row r="1542" spans="1:10" ht="15.75" customHeight="1" thickBot="1">
      <c r="A1542" s="754"/>
      <c r="B1542" s="318" t="s">
        <v>7</v>
      </c>
      <c r="C1542" s="318" t="s">
        <v>8</v>
      </c>
      <c r="D1542" s="318" t="s">
        <v>7</v>
      </c>
      <c r="E1542" s="318" t="s">
        <v>8</v>
      </c>
      <c r="F1542" s="318" t="s">
        <v>7</v>
      </c>
      <c r="G1542" s="318" t="s">
        <v>8</v>
      </c>
      <c r="H1542" s="318" t="s">
        <v>7</v>
      </c>
      <c r="I1542" s="318" t="s">
        <v>6</v>
      </c>
      <c r="J1542" s="307"/>
    </row>
    <row r="1543" spans="1:10" ht="15.75" customHeight="1">
      <c r="A1543" s="316" t="s">
        <v>5</v>
      </c>
      <c r="B1543" s="315">
        <v>5463.4331840000059</v>
      </c>
      <c r="C1543" s="314">
        <v>0.78326790945901381</v>
      </c>
      <c r="D1543" s="315">
        <v>1091.3388069999996</v>
      </c>
      <c r="E1543" s="314">
        <v>0.15646034957904281</v>
      </c>
      <c r="F1543" s="315">
        <v>420.40612880000009</v>
      </c>
      <c r="G1543" s="314">
        <v>6.0271740961943203E-2</v>
      </c>
      <c r="H1543" s="315">
        <v>6975.1781198000072</v>
      </c>
      <c r="I1543" s="314">
        <v>1</v>
      </c>
      <c r="J1543" s="307"/>
    </row>
    <row r="1544" spans="1:10">
      <c r="A1544" s="313" t="s">
        <v>309</v>
      </c>
      <c r="B1544" s="312">
        <v>105.504705</v>
      </c>
      <c r="C1544" s="311">
        <v>0.6609291541114678</v>
      </c>
      <c r="D1544" s="312">
        <v>0</v>
      </c>
      <c r="E1544" s="311">
        <v>0</v>
      </c>
      <c r="F1544" s="312">
        <v>54.126178799999998</v>
      </c>
      <c r="G1544" s="311">
        <v>0.33907084588853226</v>
      </c>
      <c r="H1544" s="312">
        <v>159.63088379999999</v>
      </c>
      <c r="I1544" s="311">
        <v>2.2885563788954101E-2</v>
      </c>
      <c r="J1544" s="307"/>
    </row>
    <row r="1545" spans="1:10">
      <c r="A1545" s="313" t="s">
        <v>308</v>
      </c>
      <c r="B1545" s="312">
        <v>248.594154</v>
      </c>
      <c r="C1545" s="311">
        <v>0.62057831825257204</v>
      </c>
      <c r="D1545" s="312">
        <v>101.66233299999999</v>
      </c>
      <c r="E1545" s="311">
        <v>0.253784888452256</v>
      </c>
      <c r="F1545" s="312">
        <v>50.328171999999995</v>
      </c>
      <c r="G1545" s="311">
        <v>0.12563679329517211</v>
      </c>
      <c r="H1545" s="312">
        <v>400.58465899999993</v>
      </c>
      <c r="I1545" s="311">
        <v>5.7430025745562684E-2</v>
      </c>
      <c r="J1545" s="307"/>
    </row>
    <row r="1546" spans="1:10">
      <c r="A1546" s="313" t="s">
        <v>307</v>
      </c>
      <c r="B1546" s="312">
        <v>62.282352000000003</v>
      </c>
      <c r="C1546" s="311">
        <v>0.97267006528199995</v>
      </c>
      <c r="D1546" s="312">
        <v>0</v>
      </c>
      <c r="E1546" s="311">
        <v>0</v>
      </c>
      <c r="F1546" s="312">
        <v>1.75</v>
      </c>
      <c r="G1546" s="311">
        <v>2.7329934718000048E-2</v>
      </c>
      <c r="H1546" s="312">
        <v>64.032352000000003</v>
      </c>
      <c r="I1546" s="311">
        <v>9.1800310902793031E-3</v>
      </c>
      <c r="J1546" s="307"/>
    </row>
    <row r="1547" spans="1:10">
      <c r="A1547" s="313" t="s">
        <v>306</v>
      </c>
      <c r="B1547" s="312">
        <v>191.74032</v>
      </c>
      <c r="C1547" s="311">
        <v>0.61781899792116857</v>
      </c>
      <c r="D1547" s="312">
        <v>88.609994</v>
      </c>
      <c r="E1547" s="311">
        <v>0.28551604429825067</v>
      </c>
      <c r="F1547" s="312">
        <v>30</v>
      </c>
      <c r="G1547" s="311">
        <v>9.6664957780580832E-2</v>
      </c>
      <c r="H1547" s="312">
        <v>310.35031399999997</v>
      </c>
      <c r="I1547" s="311">
        <v>4.4493532447440691E-2</v>
      </c>
      <c r="J1547" s="307"/>
    </row>
    <row r="1548" spans="1:10">
      <c r="A1548" s="313" t="s">
        <v>305</v>
      </c>
      <c r="B1548" s="312">
        <v>557.05805399999997</v>
      </c>
      <c r="C1548" s="311">
        <v>0.77385562171655731</v>
      </c>
      <c r="D1548" s="312">
        <v>108.526314</v>
      </c>
      <c r="E1548" s="311">
        <v>0.15076291885562851</v>
      </c>
      <c r="F1548" s="312">
        <v>54.263157</v>
      </c>
      <c r="G1548" s="311">
        <v>7.5381459427814254E-2</v>
      </c>
      <c r="H1548" s="312">
        <v>719.84752499999991</v>
      </c>
      <c r="I1548" s="311">
        <v>0.10320131079615204</v>
      </c>
      <c r="J1548" s="307"/>
    </row>
    <row r="1549" spans="1:10" ht="28.5">
      <c r="A1549" s="313" t="s">
        <v>304</v>
      </c>
      <c r="B1549" s="312">
        <v>2969.0243999999993</v>
      </c>
      <c r="C1549" s="311">
        <v>0.82108870800275402</v>
      </c>
      <c r="D1549" s="312">
        <v>529.95098299999995</v>
      </c>
      <c r="E1549" s="311">
        <v>0.14655883863273722</v>
      </c>
      <c r="F1549" s="312">
        <v>116.985196</v>
      </c>
      <c r="G1549" s="311">
        <v>3.2352453364508878E-2</v>
      </c>
      <c r="H1549" s="312">
        <v>3615.9605789999991</v>
      </c>
      <c r="I1549" s="311">
        <v>0.51840404888523139</v>
      </c>
      <c r="J1549" s="307"/>
    </row>
    <row r="1550" spans="1:10" ht="28.5">
      <c r="A1550" s="313" t="s">
        <v>303</v>
      </c>
      <c r="B1550" s="312">
        <v>1260.9625289999999</v>
      </c>
      <c r="C1550" s="311">
        <v>0.83281041599160732</v>
      </c>
      <c r="D1550" s="312">
        <v>140.18918300000001</v>
      </c>
      <c r="E1550" s="311">
        <v>9.2588803494694144E-2</v>
      </c>
      <c r="F1550" s="312">
        <v>112.95342500000001</v>
      </c>
      <c r="G1550" s="311">
        <v>7.4600780513698228E-2</v>
      </c>
      <c r="H1550" s="312">
        <v>1514.1051370000005</v>
      </c>
      <c r="I1550" s="311">
        <v>0.21707046200039015</v>
      </c>
      <c r="J1550" s="307"/>
    </row>
    <row r="1551" spans="1:10" ht="15.75" thickBot="1">
      <c r="A1551" s="313" t="s">
        <v>302</v>
      </c>
      <c r="B1551" s="312">
        <v>68.266670000000005</v>
      </c>
      <c r="C1551" s="311">
        <v>0.35804196926500054</v>
      </c>
      <c r="D1551" s="312">
        <v>122.4</v>
      </c>
      <c r="E1551" s="311">
        <v>0.64195803073499946</v>
      </c>
      <c r="F1551" s="312">
        <v>0</v>
      </c>
      <c r="G1551" s="311">
        <v>0</v>
      </c>
      <c r="H1551" s="312">
        <v>190.66667000000001</v>
      </c>
      <c r="I1551" s="311">
        <v>2.7335025245988531E-2</v>
      </c>
      <c r="J1551" s="307"/>
    </row>
    <row r="1552" spans="1:10" ht="15" customHeight="1">
      <c r="A1552" s="316" t="s">
        <v>4</v>
      </c>
      <c r="B1552" s="315">
        <v>5272.6589032193342</v>
      </c>
      <c r="C1552" s="314">
        <v>0.74678244446584852</v>
      </c>
      <c r="D1552" s="315">
        <v>1028.3318056209341</v>
      </c>
      <c r="E1552" s="314">
        <v>0.14564570809894392</v>
      </c>
      <c r="F1552" s="315">
        <v>759.51123827060292</v>
      </c>
      <c r="G1552" s="314">
        <v>0.10757184743520858</v>
      </c>
      <c r="H1552" s="315">
        <v>7060.5019471108635</v>
      </c>
      <c r="I1552" s="314">
        <v>1</v>
      </c>
      <c r="J1552" s="307"/>
    </row>
    <row r="1553" spans="1:10">
      <c r="A1553" s="313" t="s">
        <v>309</v>
      </c>
      <c r="B1553" s="312">
        <v>306.5599334875651</v>
      </c>
      <c r="C1553" s="311">
        <v>0.79383616486292341</v>
      </c>
      <c r="D1553" s="312">
        <v>0</v>
      </c>
      <c r="E1553" s="311">
        <v>0</v>
      </c>
      <c r="F1553" s="312">
        <v>79.615384615384613</v>
      </c>
      <c r="G1553" s="311">
        <v>0.20616383513707653</v>
      </c>
      <c r="H1553" s="312">
        <v>386.17531810294975</v>
      </c>
      <c r="I1553" s="311">
        <v>5.4695164875773673E-2</v>
      </c>
      <c r="J1553" s="307"/>
    </row>
    <row r="1554" spans="1:10">
      <c r="A1554" s="313" t="s">
        <v>308</v>
      </c>
      <c r="B1554" s="312">
        <v>621.33032905974108</v>
      </c>
      <c r="C1554" s="311">
        <v>0.81654474024461166</v>
      </c>
      <c r="D1554" s="312">
        <v>42.288911935009935</v>
      </c>
      <c r="E1554" s="311">
        <v>5.5575572278043106E-2</v>
      </c>
      <c r="F1554" s="312">
        <v>97.307011342150616</v>
      </c>
      <c r="G1554" s="311">
        <v>0.12787968747734538</v>
      </c>
      <c r="H1554" s="312">
        <v>760.92625233690148</v>
      </c>
      <c r="I1554" s="311">
        <v>0.10777226010797579</v>
      </c>
      <c r="J1554" s="307"/>
    </row>
    <row r="1555" spans="1:10">
      <c r="A1555" s="313" t="s">
        <v>307</v>
      </c>
      <c r="B1555" s="312">
        <v>176.43108504398828</v>
      </c>
      <c r="C1555" s="311">
        <v>0.59426970900931042</v>
      </c>
      <c r="D1555" s="312">
        <v>0</v>
      </c>
      <c r="E1555" s="311">
        <v>0</v>
      </c>
      <c r="F1555" s="312">
        <v>120.45614035087719</v>
      </c>
      <c r="G1555" s="311">
        <v>0.40573029099068947</v>
      </c>
      <c r="H1555" s="312">
        <v>296.88722539486548</v>
      </c>
      <c r="I1555" s="311">
        <v>4.2049025355251242E-2</v>
      </c>
      <c r="J1555" s="307"/>
    </row>
    <row r="1556" spans="1:10">
      <c r="A1556" s="313" t="s">
        <v>306</v>
      </c>
      <c r="B1556" s="312">
        <v>313.10130662020907</v>
      </c>
      <c r="C1556" s="311">
        <v>0.72214549198380806</v>
      </c>
      <c r="D1556" s="312">
        <v>57.112499999999997</v>
      </c>
      <c r="E1556" s="311">
        <v>0.13172584572108961</v>
      </c>
      <c r="F1556" s="312">
        <v>63.357142857142854</v>
      </c>
      <c r="G1556" s="311">
        <v>0.14612866229510238</v>
      </c>
      <c r="H1556" s="312">
        <v>433.57094947735192</v>
      </c>
      <c r="I1556" s="311">
        <v>6.1407949849056821E-2</v>
      </c>
      <c r="J1556" s="307"/>
    </row>
    <row r="1557" spans="1:10">
      <c r="A1557" s="313" t="s">
        <v>305</v>
      </c>
      <c r="B1557" s="312">
        <v>616.7801800237329</v>
      </c>
      <c r="C1557" s="311">
        <v>0.72533191269239272</v>
      </c>
      <c r="D1557" s="312">
        <v>158.73352435530086</v>
      </c>
      <c r="E1557" s="311">
        <v>0.1866702182690187</v>
      </c>
      <c r="F1557" s="312">
        <v>74.828282828282823</v>
      </c>
      <c r="G1557" s="311">
        <v>8.7997869038588861E-2</v>
      </c>
      <c r="H1557" s="312">
        <v>850.34198720731638</v>
      </c>
      <c r="I1557" s="311">
        <v>0.12043647796956897</v>
      </c>
      <c r="J1557" s="307"/>
    </row>
    <row r="1558" spans="1:10" ht="28.5">
      <c r="A1558" s="313" t="s">
        <v>304</v>
      </c>
      <c r="B1558" s="312">
        <v>1898.2394625643649</v>
      </c>
      <c r="C1558" s="311">
        <v>0.75394310717322033</v>
      </c>
      <c r="D1558" s="312">
        <v>406.9147360894496</v>
      </c>
      <c r="E1558" s="311">
        <v>0.16161847150064079</v>
      </c>
      <c r="F1558" s="312">
        <v>212.5947461989162</v>
      </c>
      <c r="G1558" s="311">
        <v>8.4438421326138755E-2</v>
      </c>
      <c r="H1558" s="312">
        <v>2517.7489448527313</v>
      </c>
      <c r="I1558" s="311">
        <v>0.35659631053327401</v>
      </c>
      <c r="J1558" s="307"/>
    </row>
    <row r="1559" spans="1:10" ht="28.5">
      <c r="A1559" s="313" t="s">
        <v>303</v>
      </c>
      <c r="B1559" s="312">
        <v>1204.1277175308473</v>
      </c>
      <c r="C1559" s="311">
        <v>0.74842908628147753</v>
      </c>
      <c r="D1559" s="312">
        <v>293.39324435228508</v>
      </c>
      <c r="E1559" s="311">
        <v>0.1823594246646961</v>
      </c>
      <c r="F1559" s="312">
        <v>111.35253007784856</v>
      </c>
      <c r="G1559" s="311">
        <v>6.9211489053826181E-2</v>
      </c>
      <c r="H1559" s="312">
        <v>1608.8734919609813</v>
      </c>
      <c r="I1559" s="311">
        <v>0.22786956281760215</v>
      </c>
      <c r="J1559" s="307"/>
    </row>
    <row r="1560" spans="1:10" ht="15.75" thickBot="1">
      <c r="A1560" s="313" t="s">
        <v>302</v>
      </c>
      <c r="B1560" s="312">
        <v>136.0888888888889</v>
      </c>
      <c r="C1560" s="311">
        <v>0.6606969468119539</v>
      </c>
      <c r="D1560" s="312">
        <v>69.888888888888886</v>
      </c>
      <c r="E1560" s="311">
        <v>0.33930305318804616</v>
      </c>
      <c r="F1560" s="312">
        <v>0</v>
      </c>
      <c r="G1560" s="311">
        <v>0</v>
      </c>
      <c r="H1560" s="312">
        <v>205.97777777777779</v>
      </c>
      <c r="I1560" s="311">
        <v>2.9173248491499004E-2</v>
      </c>
      <c r="J1560" s="307"/>
    </row>
    <row r="1561" spans="1:10" ht="15.75" customHeight="1">
      <c r="A1561" s="316" t="s">
        <v>3</v>
      </c>
      <c r="B1561" s="315">
        <v>4325.2514437913633</v>
      </c>
      <c r="C1561" s="314">
        <v>0.71179266368509853</v>
      </c>
      <c r="D1561" s="315">
        <v>1180.8308703798677</v>
      </c>
      <c r="E1561" s="314">
        <v>0.1943255233856464</v>
      </c>
      <c r="F1561" s="315">
        <v>570.47855033479004</v>
      </c>
      <c r="G1561" s="314">
        <v>9.3881812929255681E-2</v>
      </c>
      <c r="H1561" s="315">
        <v>6076.5608645060165</v>
      </c>
      <c r="I1561" s="314">
        <v>1</v>
      </c>
      <c r="J1561" s="307"/>
    </row>
    <row r="1562" spans="1:10">
      <c r="A1562" s="313" t="s">
        <v>309</v>
      </c>
      <c r="B1562" s="312">
        <v>66.261437908496731</v>
      </c>
      <c r="C1562" s="311">
        <v>0.73892128279883385</v>
      </c>
      <c r="D1562" s="312">
        <v>11.705882352941176</v>
      </c>
      <c r="E1562" s="311">
        <v>0.13053935860058311</v>
      </c>
      <c r="F1562" s="312">
        <v>11.705882352941176</v>
      </c>
      <c r="G1562" s="311">
        <v>0.13053935860058311</v>
      </c>
      <c r="H1562" s="312">
        <v>89.673202614379079</v>
      </c>
      <c r="I1562" s="311">
        <v>1.4757229395688593E-2</v>
      </c>
      <c r="J1562" s="307"/>
    </row>
    <row r="1563" spans="1:10">
      <c r="A1563" s="313" t="s">
        <v>308</v>
      </c>
      <c r="B1563" s="312">
        <v>436.81875357347036</v>
      </c>
      <c r="C1563" s="311">
        <v>0.80086320367224972</v>
      </c>
      <c r="D1563" s="312">
        <v>101.04545454545455</v>
      </c>
      <c r="E1563" s="311">
        <v>0.18525666716866482</v>
      </c>
      <c r="F1563" s="312">
        <v>7.5707070707070709</v>
      </c>
      <c r="G1563" s="311">
        <v>1.3880129159085748E-2</v>
      </c>
      <c r="H1563" s="312">
        <v>545.43491518963185</v>
      </c>
      <c r="I1563" s="311">
        <v>8.976046276037293E-2</v>
      </c>
      <c r="J1563" s="307"/>
    </row>
    <row r="1564" spans="1:10">
      <c r="A1564" s="313" t="s">
        <v>307</v>
      </c>
      <c r="B1564" s="312">
        <v>144.92592592592592</v>
      </c>
      <c r="C1564" s="311">
        <v>0.46294380961095682</v>
      </c>
      <c r="D1564" s="312">
        <v>0</v>
      </c>
      <c r="E1564" s="311">
        <v>0</v>
      </c>
      <c r="F1564" s="312">
        <v>168.12702546296296</v>
      </c>
      <c r="G1564" s="311">
        <v>0.53705619038904306</v>
      </c>
      <c r="H1564" s="312">
        <v>313.05295138888891</v>
      </c>
      <c r="I1564" s="311">
        <v>5.1518113348863491E-2</v>
      </c>
      <c r="J1564" s="307"/>
    </row>
    <row r="1565" spans="1:10">
      <c r="A1565" s="313" t="s">
        <v>306</v>
      </c>
      <c r="B1565" s="312">
        <v>45.485436893203882</v>
      </c>
      <c r="C1565" s="311">
        <v>0.18748366493266819</v>
      </c>
      <c r="D1565" s="312">
        <v>117.67543689320388</v>
      </c>
      <c r="E1565" s="311">
        <v>0.48503924966338308</v>
      </c>
      <c r="F1565" s="312">
        <v>79.449259259259264</v>
      </c>
      <c r="G1565" s="311">
        <v>0.32747708540394876</v>
      </c>
      <c r="H1565" s="312">
        <v>242.61013304566703</v>
      </c>
      <c r="I1565" s="311">
        <v>3.9925566196955982E-2</v>
      </c>
      <c r="J1565" s="307"/>
    </row>
    <row r="1566" spans="1:10">
      <c r="A1566" s="313" t="s">
        <v>305</v>
      </c>
      <c r="B1566" s="312">
        <v>474.41447779862403</v>
      </c>
      <c r="C1566" s="311">
        <v>0.62385858680846507</v>
      </c>
      <c r="D1566" s="312">
        <v>240.08320220298975</v>
      </c>
      <c r="E1566" s="311">
        <v>0.31571120666006491</v>
      </c>
      <c r="F1566" s="312">
        <v>45.954268292682926</v>
      </c>
      <c r="G1566" s="311">
        <v>6.0430206531469757E-2</v>
      </c>
      <c r="H1566" s="312">
        <v>760.45194829429693</v>
      </c>
      <c r="I1566" s="311">
        <v>0.1251451215993237</v>
      </c>
      <c r="J1566" s="307"/>
    </row>
    <row r="1567" spans="1:10" ht="28.5">
      <c r="A1567" s="313" t="s">
        <v>304</v>
      </c>
      <c r="B1567" s="312">
        <v>1695.5561125559489</v>
      </c>
      <c r="C1567" s="311">
        <v>0.75920224241928391</v>
      </c>
      <c r="D1567" s="312">
        <v>408.1948882919765</v>
      </c>
      <c r="E1567" s="311">
        <v>0.18277335220018071</v>
      </c>
      <c r="F1567" s="312">
        <v>129.58817785743113</v>
      </c>
      <c r="G1567" s="311">
        <v>5.8024405380535181E-2</v>
      </c>
      <c r="H1567" s="312">
        <v>2233.339178705357</v>
      </c>
      <c r="I1567" s="311">
        <v>0.36753341709297804</v>
      </c>
      <c r="J1567" s="307"/>
    </row>
    <row r="1568" spans="1:10" ht="28.5">
      <c r="A1568" s="313" t="s">
        <v>303</v>
      </c>
      <c r="B1568" s="312">
        <v>1304.7662728199077</v>
      </c>
      <c r="C1568" s="311">
        <v>0.75799959776561832</v>
      </c>
      <c r="D1568" s="312">
        <v>288.47894726977228</v>
      </c>
      <c r="E1568" s="311">
        <v>0.16759087857302257</v>
      </c>
      <c r="F1568" s="312">
        <v>128.08323003880557</v>
      </c>
      <c r="G1568" s="311">
        <v>7.4409523661358751E-2</v>
      </c>
      <c r="H1568" s="312">
        <v>1721.3284501284861</v>
      </c>
      <c r="I1568" s="311">
        <v>0.28327346479535648</v>
      </c>
      <c r="J1568" s="307"/>
    </row>
    <row r="1569" spans="1:46" ht="15.75" thickBot="1">
      <c r="A1569" s="310" t="s">
        <v>302</v>
      </c>
      <c r="B1569" s="309">
        <v>157.02302631578948</v>
      </c>
      <c r="C1569" s="308">
        <v>0.92003836634645575</v>
      </c>
      <c r="D1569" s="309">
        <v>13.647058823529411</v>
      </c>
      <c r="E1569" s="308">
        <v>7.9961633653544167E-2</v>
      </c>
      <c r="F1569" s="309">
        <v>0</v>
      </c>
      <c r="G1569" s="308">
        <v>0</v>
      </c>
      <c r="H1569" s="309">
        <v>170.6700851393189</v>
      </c>
      <c r="I1569" s="308">
        <v>2.8086624810462296E-2</v>
      </c>
      <c r="J1569" s="307"/>
    </row>
    <row r="1573" spans="1:46" ht="15.75" thickBot="1"/>
    <row r="1574" spans="1:46" ht="15" customHeight="1">
      <c r="A1574" s="752" t="s">
        <v>310</v>
      </c>
      <c r="B1574" s="888" t="s">
        <v>355</v>
      </c>
      <c r="C1574" s="756"/>
      <c r="D1574" s="756"/>
      <c r="E1574" s="756"/>
      <c r="F1574" s="756"/>
      <c r="G1574" s="756"/>
      <c r="H1574" s="756"/>
      <c r="I1574" s="756"/>
      <c r="J1574" s="756"/>
      <c r="K1574" s="756"/>
      <c r="L1574" s="756"/>
      <c r="M1574" s="756"/>
      <c r="N1574" s="756"/>
      <c r="O1574" s="756"/>
      <c r="P1574" s="756"/>
      <c r="Q1574" s="756"/>
      <c r="R1574" s="756"/>
      <c r="S1574" s="756"/>
      <c r="T1574" s="756"/>
      <c r="U1574" s="756"/>
      <c r="V1574" s="756"/>
      <c r="W1574" s="756"/>
      <c r="X1574" s="756"/>
      <c r="Y1574" s="756"/>
      <c r="Z1574" s="756"/>
      <c r="AA1574" s="756"/>
      <c r="AB1574" s="756"/>
      <c r="AC1574" s="756"/>
      <c r="AD1574" s="756"/>
      <c r="AE1574" s="756"/>
      <c r="AF1574" s="756"/>
      <c r="AG1574" s="756"/>
      <c r="AH1574" s="756"/>
      <c r="AI1574" s="756"/>
      <c r="AJ1574" s="756"/>
      <c r="AK1574" s="756"/>
      <c r="AL1574" s="756"/>
      <c r="AM1574" s="756"/>
      <c r="AN1574" s="756"/>
      <c r="AO1574" s="756"/>
      <c r="AP1574" s="756"/>
      <c r="AQ1574" s="756"/>
      <c r="AR1574" s="756"/>
      <c r="AS1574" s="757"/>
      <c r="AT1574" s="307"/>
    </row>
    <row r="1575" spans="1:46" s="349" customFormat="1" ht="93.75" customHeight="1">
      <c r="A1575" s="753"/>
      <c r="B1575" s="889" t="s">
        <v>117</v>
      </c>
      <c r="C1575" s="782"/>
      <c r="D1575" s="781" t="s">
        <v>116</v>
      </c>
      <c r="E1575" s="782"/>
      <c r="F1575" s="781" t="s">
        <v>115</v>
      </c>
      <c r="G1575" s="782"/>
      <c r="H1575" s="781" t="s">
        <v>114</v>
      </c>
      <c r="I1575" s="782"/>
      <c r="J1575" s="781" t="s">
        <v>113</v>
      </c>
      <c r="K1575" s="782"/>
      <c r="L1575" s="781" t="s">
        <v>112</v>
      </c>
      <c r="M1575" s="782"/>
      <c r="N1575" s="781" t="s">
        <v>111</v>
      </c>
      <c r="O1575" s="782"/>
      <c r="P1575" s="781" t="s">
        <v>110</v>
      </c>
      <c r="Q1575" s="782"/>
      <c r="R1575" s="781" t="s">
        <v>109</v>
      </c>
      <c r="S1575" s="782"/>
      <c r="T1575" s="781" t="s">
        <v>108</v>
      </c>
      <c r="U1575" s="782"/>
      <c r="V1575" s="781" t="s">
        <v>107</v>
      </c>
      <c r="W1575" s="782"/>
      <c r="X1575" s="781" t="s">
        <v>106</v>
      </c>
      <c r="Y1575" s="782"/>
      <c r="Z1575" s="781" t="s">
        <v>105</v>
      </c>
      <c r="AA1575" s="782"/>
      <c r="AB1575" s="781" t="s">
        <v>104</v>
      </c>
      <c r="AC1575" s="782"/>
      <c r="AD1575" s="781" t="s">
        <v>103</v>
      </c>
      <c r="AE1575" s="782"/>
      <c r="AF1575" s="781" t="s">
        <v>102</v>
      </c>
      <c r="AG1575" s="782"/>
      <c r="AH1575" s="781" t="s">
        <v>101</v>
      </c>
      <c r="AI1575" s="782"/>
      <c r="AJ1575" s="781" t="s">
        <v>100</v>
      </c>
      <c r="AK1575" s="782"/>
      <c r="AL1575" s="781" t="s">
        <v>99</v>
      </c>
      <c r="AM1575" s="782"/>
      <c r="AN1575" s="781" t="s">
        <v>98</v>
      </c>
      <c r="AO1575" s="782"/>
      <c r="AP1575" s="781" t="s">
        <v>97</v>
      </c>
      <c r="AQ1575" s="782"/>
      <c r="AR1575" s="836" t="s">
        <v>9</v>
      </c>
      <c r="AS1575" s="887"/>
      <c r="AT1575" s="350"/>
    </row>
    <row r="1576" spans="1:46" ht="15.75" customHeight="1" thickBot="1">
      <c r="A1576" s="754"/>
      <c r="B1576" s="324" t="s">
        <v>7</v>
      </c>
      <c r="C1576" s="318" t="s">
        <v>8</v>
      </c>
      <c r="D1576" s="318" t="s">
        <v>7</v>
      </c>
      <c r="E1576" s="318" t="s">
        <v>8</v>
      </c>
      <c r="F1576" s="318" t="s">
        <v>7</v>
      </c>
      <c r="G1576" s="318" t="s">
        <v>8</v>
      </c>
      <c r="H1576" s="318" t="s">
        <v>7</v>
      </c>
      <c r="I1576" s="318" t="s">
        <v>8</v>
      </c>
      <c r="J1576" s="318" t="s">
        <v>7</v>
      </c>
      <c r="K1576" s="318" t="s">
        <v>8</v>
      </c>
      <c r="L1576" s="318" t="s">
        <v>7</v>
      </c>
      <c r="M1576" s="318" t="s">
        <v>8</v>
      </c>
      <c r="N1576" s="318" t="s">
        <v>7</v>
      </c>
      <c r="O1576" s="318" t="s">
        <v>8</v>
      </c>
      <c r="P1576" s="318" t="s">
        <v>7</v>
      </c>
      <c r="Q1576" s="318" t="s">
        <v>8</v>
      </c>
      <c r="R1576" s="318" t="s">
        <v>7</v>
      </c>
      <c r="S1576" s="318" t="s">
        <v>8</v>
      </c>
      <c r="T1576" s="318" t="s">
        <v>7</v>
      </c>
      <c r="U1576" s="318" t="s">
        <v>8</v>
      </c>
      <c r="V1576" s="318" t="s">
        <v>7</v>
      </c>
      <c r="W1576" s="318" t="s">
        <v>8</v>
      </c>
      <c r="X1576" s="318" t="s">
        <v>7</v>
      </c>
      <c r="Y1576" s="318" t="s">
        <v>8</v>
      </c>
      <c r="Z1576" s="318" t="s">
        <v>7</v>
      </c>
      <c r="AA1576" s="318" t="s">
        <v>8</v>
      </c>
      <c r="AB1576" s="318" t="s">
        <v>7</v>
      </c>
      <c r="AC1576" s="318" t="s">
        <v>8</v>
      </c>
      <c r="AD1576" s="318" t="s">
        <v>7</v>
      </c>
      <c r="AE1576" s="318" t="s">
        <v>8</v>
      </c>
      <c r="AF1576" s="318" t="s">
        <v>7</v>
      </c>
      <c r="AG1576" s="318" t="s">
        <v>8</v>
      </c>
      <c r="AH1576" s="318" t="s">
        <v>7</v>
      </c>
      <c r="AI1576" s="318" t="s">
        <v>8</v>
      </c>
      <c r="AJ1576" s="318" t="s">
        <v>7</v>
      </c>
      <c r="AK1576" s="318" t="s">
        <v>8</v>
      </c>
      <c r="AL1576" s="318" t="s">
        <v>7</v>
      </c>
      <c r="AM1576" s="318" t="s">
        <v>8</v>
      </c>
      <c r="AN1576" s="318" t="s">
        <v>7</v>
      </c>
      <c r="AO1576" s="318" t="s">
        <v>8</v>
      </c>
      <c r="AP1576" s="318" t="s">
        <v>7</v>
      </c>
      <c r="AQ1576" s="318" t="s">
        <v>8</v>
      </c>
      <c r="AR1576" s="318" t="s">
        <v>7</v>
      </c>
      <c r="AS1576" s="317" t="s">
        <v>6</v>
      </c>
      <c r="AT1576" s="307"/>
    </row>
    <row r="1577" spans="1:46" ht="15.75" customHeight="1">
      <c r="A1577" s="316" t="s">
        <v>5</v>
      </c>
      <c r="B1577" s="315">
        <v>58.297807000000006</v>
      </c>
      <c r="C1577" s="314">
        <v>8.357895095827534E-3</v>
      </c>
      <c r="D1577" s="315">
        <v>68.266670000000005</v>
      </c>
      <c r="E1577" s="314">
        <v>9.7870862689822397E-3</v>
      </c>
      <c r="F1577" s="315">
        <v>842.90896499999963</v>
      </c>
      <c r="G1577" s="314">
        <v>0.12084407745908109</v>
      </c>
      <c r="H1577" s="315">
        <v>45.639620000000001</v>
      </c>
      <c r="I1577" s="314">
        <v>6.5431476037071555E-3</v>
      </c>
      <c r="J1577" s="315">
        <v>80.793729999999996</v>
      </c>
      <c r="K1577" s="314">
        <v>1.1583034671280412E-2</v>
      </c>
      <c r="L1577" s="315">
        <v>456.656251</v>
      </c>
      <c r="M1577" s="314">
        <v>6.5468758382487488E-2</v>
      </c>
      <c r="N1577" s="315">
        <v>1905.0065778000001</v>
      </c>
      <c r="O1577" s="314">
        <v>0.27311224818651952</v>
      </c>
      <c r="P1577" s="315">
        <v>275.26350699999995</v>
      </c>
      <c r="Q1577" s="314">
        <v>3.946329430909104E-2</v>
      </c>
      <c r="R1577" s="315">
        <v>394.49743699999999</v>
      </c>
      <c r="S1577" s="314">
        <v>5.6557328031547255E-2</v>
      </c>
      <c r="T1577" s="315">
        <v>530.51135799999997</v>
      </c>
      <c r="U1577" s="314">
        <v>7.6057033797326284E-2</v>
      </c>
      <c r="V1577" s="315">
        <v>191.51866599999997</v>
      </c>
      <c r="W1577" s="314">
        <v>2.7457172090895824E-2</v>
      </c>
      <c r="X1577" s="315">
        <v>0</v>
      </c>
      <c r="Y1577" s="314">
        <v>0</v>
      </c>
      <c r="Z1577" s="315">
        <v>1060.9187189999998</v>
      </c>
      <c r="AA1577" s="314">
        <v>0.15209915801123922</v>
      </c>
      <c r="AB1577" s="315">
        <v>233.260595</v>
      </c>
      <c r="AC1577" s="314">
        <v>3.3441525218955707E-2</v>
      </c>
      <c r="AD1577" s="315">
        <v>108.526314</v>
      </c>
      <c r="AE1577" s="314">
        <v>1.5558930845354766E-2</v>
      </c>
      <c r="AF1577" s="315">
        <v>302.35724099999999</v>
      </c>
      <c r="AG1577" s="314">
        <v>4.3347601424215558E-2</v>
      </c>
      <c r="AH1577" s="315">
        <v>141.52446699999999</v>
      </c>
      <c r="AI1577" s="314">
        <v>2.0289728028344282E-2</v>
      </c>
      <c r="AJ1577" s="315">
        <v>204.42549</v>
      </c>
      <c r="AK1577" s="314">
        <v>2.9307565554449425E-2</v>
      </c>
      <c r="AL1577" s="315">
        <v>74.804704999999998</v>
      </c>
      <c r="AM1577" s="314">
        <v>1.0724415020694095E-2</v>
      </c>
      <c r="AN1577" s="315">
        <v>0</v>
      </c>
      <c r="AO1577" s="314">
        <v>0</v>
      </c>
      <c r="AP1577" s="315">
        <v>0</v>
      </c>
      <c r="AQ1577" s="314">
        <v>0</v>
      </c>
      <c r="AR1577" s="315">
        <v>6975.1781198000072</v>
      </c>
      <c r="AS1577" s="314">
        <v>1</v>
      </c>
      <c r="AT1577" s="307"/>
    </row>
    <row r="1578" spans="1:46">
      <c r="A1578" s="313" t="s">
        <v>309</v>
      </c>
      <c r="B1578" s="312">
        <v>58.297807000000006</v>
      </c>
      <c r="C1578" s="311">
        <v>0.36520381026669485</v>
      </c>
      <c r="D1578" s="312">
        <v>0</v>
      </c>
      <c r="E1578" s="311">
        <v>0</v>
      </c>
      <c r="F1578" s="312">
        <v>0</v>
      </c>
      <c r="G1578" s="311">
        <v>0</v>
      </c>
      <c r="H1578" s="312">
        <v>0</v>
      </c>
      <c r="I1578" s="311">
        <v>0</v>
      </c>
      <c r="J1578" s="312">
        <v>0</v>
      </c>
      <c r="K1578" s="311">
        <v>0</v>
      </c>
      <c r="L1578" s="312">
        <v>0</v>
      </c>
      <c r="M1578" s="311">
        <v>0</v>
      </c>
      <c r="N1578" s="312">
        <v>54.126178799999998</v>
      </c>
      <c r="O1578" s="311">
        <v>0.33907084588853226</v>
      </c>
      <c r="P1578" s="312">
        <v>0</v>
      </c>
      <c r="Q1578" s="311">
        <v>0</v>
      </c>
      <c r="R1578" s="312">
        <v>0</v>
      </c>
      <c r="S1578" s="311">
        <v>0</v>
      </c>
      <c r="T1578" s="312">
        <v>47.206898000000002</v>
      </c>
      <c r="U1578" s="311">
        <v>0.295725343844773</v>
      </c>
      <c r="V1578" s="312">
        <v>0</v>
      </c>
      <c r="W1578" s="311">
        <v>0</v>
      </c>
      <c r="X1578" s="312">
        <v>0</v>
      </c>
      <c r="Y1578" s="311">
        <v>0</v>
      </c>
      <c r="Z1578" s="312">
        <v>0</v>
      </c>
      <c r="AA1578" s="311">
        <v>0</v>
      </c>
      <c r="AB1578" s="312">
        <v>0</v>
      </c>
      <c r="AC1578" s="311">
        <v>0</v>
      </c>
      <c r="AD1578" s="312">
        <v>0</v>
      </c>
      <c r="AE1578" s="311">
        <v>0</v>
      </c>
      <c r="AF1578" s="312">
        <v>0</v>
      </c>
      <c r="AG1578" s="311">
        <v>0</v>
      </c>
      <c r="AH1578" s="312">
        <v>0</v>
      </c>
      <c r="AI1578" s="311">
        <v>0</v>
      </c>
      <c r="AJ1578" s="312">
        <v>0</v>
      </c>
      <c r="AK1578" s="311">
        <v>0</v>
      </c>
      <c r="AL1578" s="312">
        <v>0</v>
      </c>
      <c r="AM1578" s="311">
        <v>0</v>
      </c>
      <c r="AN1578" s="312">
        <v>0</v>
      </c>
      <c r="AO1578" s="311">
        <v>0</v>
      </c>
      <c r="AP1578" s="312">
        <v>0</v>
      </c>
      <c r="AQ1578" s="311">
        <v>0</v>
      </c>
      <c r="AR1578" s="312">
        <v>159.63088379999999</v>
      </c>
      <c r="AS1578" s="311">
        <v>2.2885563788954101E-2</v>
      </c>
      <c r="AT1578" s="307"/>
    </row>
    <row r="1579" spans="1:46">
      <c r="A1579" s="313" t="s">
        <v>308</v>
      </c>
      <c r="B1579" s="312">
        <v>0</v>
      </c>
      <c r="C1579" s="311">
        <v>0</v>
      </c>
      <c r="D1579" s="312">
        <v>0</v>
      </c>
      <c r="E1579" s="311">
        <v>0</v>
      </c>
      <c r="F1579" s="312">
        <v>0</v>
      </c>
      <c r="G1579" s="311">
        <v>0</v>
      </c>
      <c r="H1579" s="312">
        <v>0</v>
      </c>
      <c r="I1579" s="311">
        <v>0</v>
      </c>
      <c r="J1579" s="312">
        <v>0</v>
      </c>
      <c r="K1579" s="311">
        <v>0</v>
      </c>
      <c r="L1579" s="312">
        <v>6.9052629999999997</v>
      </c>
      <c r="M1579" s="311">
        <v>1.723796167641058E-2</v>
      </c>
      <c r="N1579" s="312">
        <v>50.328171999999995</v>
      </c>
      <c r="O1579" s="311">
        <v>0.12563679329517211</v>
      </c>
      <c r="P1579" s="312">
        <v>0</v>
      </c>
      <c r="Q1579" s="311">
        <v>0</v>
      </c>
      <c r="R1579" s="312">
        <v>83.403509999999997</v>
      </c>
      <c r="S1579" s="311">
        <v>0.20820445348108055</v>
      </c>
      <c r="T1579" s="312">
        <v>90.308773000000002</v>
      </c>
      <c r="U1579" s="311">
        <v>0.22544241515749114</v>
      </c>
      <c r="V1579" s="312">
        <v>18.258823</v>
      </c>
      <c r="W1579" s="311">
        <v>4.5580434971175476E-2</v>
      </c>
      <c r="X1579" s="312">
        <v>0</v>
      </c>
      <c r="Y1579" s="311">
        <v>0</v>
      </c>
      <c r="Z1579" s="312">
        <v>104.119299</v>
      </c>
      <c r="AA1579" s="311">
        <v>0.25991833851031226</v>
      </c>
      <c r="AB1579" s="312">
        <v>40.355556</v>
      </c>
      <c r="AC1579" s="311">
        <v>0.10074164123194745</v>
      </c>
      <c r="AD1579" s="312">
        <v>0</v>
      </c>
      <c r="AE1579" s="311">
        <v>0</v>
      </c>
      <c r="AF1579" s="312">
        <v>6.9052629999999997</v>
      </c>
      <c r="AG1579" s="311">
        <v>1.723796167641058E-2</v>
      </c>
      <c r="AH1579" s="312">
        <v>0</v>
      </c>
      <c r="AI1579" s="311">
        <v>0</v>
      </c>
      <c r="AJ1579" s="312">
        <v>0</v>
      </c>
      <c r="AK1579" s="311">
        <v>0</v>
      </c>
      <c r="AL1579" s="312">
        <v>0</v>
      </c>
      <c r="AM1579" s="311">
        <v>0</v>
      </c>
      <c r="AN1579" s="312">
        <v>0</v>
      </c>
      <c r="AO1579" s="311">
        <v>0</v>
      </c>
      <c r="AP1579" s="312">
        <v>0</v>
      </c>
      <c r="AQ1579" s="311">
        <v>0</v>
      </c>
      <c r="AR1579" s="312">
        <v>400.58465899999993</v>
      </c>
      <c r="AS1579" s="311">
        <v>5.7430025745562684E-2</v>
      </c>
      <c r="AT1579" s="307"/>
    </row>
    <row r="1580" spans="1:46">
      <c r="A1580" s="313" t="s">
        <v>307</v>
      </c>
      <c r="B1580" s="312">
        <v>0</v>
      </c>
      <c r="C1580" s="311">
        <v>0</v>
      </c>
      <c r="D1580" s="312">
        <v>0</v>
      </c>
      <c r="E1580" s="311">
        <v>0</v>
      </c>
      <c r="F1580" s="312">
        <v>0</v>
      </c>
      <c r="G1580" s="311">
        <v>0</v>
      </c>
      <c r="H1580" s="312">
        <v>0</v>
      </c>
      <c r="I1580" s="311">
        <v>0</v>
      </c>
      <c r="J1580" s="312">
        <v>0</v>
      </c>
      <c r="K1580" s="311">
        <v>0</v>
      </c>
      <c r="L1580" s="312">
        <v>1.75</v>
      </c>
      <c r="M1580" s="311">
        <v>2.7329934718000048E-2</v>
      </c>
      <c r="N1580" s="312">
        <v>0</v>
      </c>
      <c r="O1580" s="311">
        <v>0</v>
      </c>
      <c r="P1580" s="312">
        <v>0</v>
      </c>
      <c r="Q1580" s="311">
        <v>0</v>
      </c>
      <c r="R1580" s="312">
        <v>0</v>
      </c>
      <c r="S1580" s="311">
        <v>0</v>
      </c>
      <c r="T1580" s="312">
        <v>0</v>
      </c>
      <c r="U1580" s="311">
        <v>0</v>
      </c>
      <c r="V1580" s="312">
        <v>0</v>
      </c>
      <c r="W1580" s="311">
        <v>0</v>
      </c>
      <c r="X1580" s="312">
        <v>0</v>
      </c>
      <c r="Y1580" s="311">
        <v>0</v>
      </c>
      <c r="Z1580" s="312">
        <v>0</v>
      </c>
      <c r="AA1580" s="311">
        <v>0</v>
      </c>
      <c r="AB1580" s="312">
        <v>0</v>
      </c>
      <c r="AC1580" s="311">
        <v>0</v>
      </c>
      <c r="AD1580" s="312">
        <v>0</v>
      </c>
      <c r="AE1580" s="311">
        <v>0</v>
      </c>
      <c r="AF1580" s="312">
        <v>0</v>
      </c>
      <c r="AG1580" s="311">
        <v>0</v>
      </c>
      <c r="AH1580" s="312">
        <v>0</v>
      </c>
      <c r="AI1580" s="311">
        <v>0</v>
      </c>
      <c r="AJ1580" s="312">
        <v>0</v>
      </c>
      <c r="AK1580" s="311">
        <v>0</v>
      </c>
      <c r="AL1580" s="312">
        <v>62.282352000000003</v>
      </c>
      <c r="AM1580" s="311">
        <v>0.97267006528199995</v>
      </c>
      <c r="AN1580" s="312">
        <v>0</v>
      </c>
      <c r="AO1580" s="311">
        <v>0</v>
      </c>
      <c r="AP1580" s="312">
        <v>0</v>
      </c>
      <c r="AQ1580" s="311">
        <v>0</v>
      </c>
      <c r="AR1580" s="312">
        <v>64.032352000000003</v>
      </c>
      <c r="AS1580" s="311">
        <v>9.1800310902793031E-3</v>
      </c>
      <c r="AT1580" s="307"/>
    </row>
    <row r="1581" spans="1:46">
      <c r="A1581" s="313" t="s">
        <v>306</v>
      </c>
      <c r="B1581" s="312">
        <v>0</v>
      </c>
      <c r="C1581" s="311">
        <v>0</v>
      </c>
      <c r="D1581" s="312">
        <v>0</v>
      </c>
      <c r="E1581" s="311">
        <v>0</v>
      </c>
      <c r="F1581" s="312">
        <v>72.371899999999997</v>
      </c>
      <c r="G1581" s="311">
        <v>0.23319422193334724</v>
      </c>
      <c r="H1581" s="312">
        <v>0</v>
      </c>
      <c r="I1581" s="311">
        <v>0</v>
      </c>
      <c r="J1581" s="312">
        <v>0</v>
      </c>
      <c r="K1581" s="311">
        <v>0</v>
      </c>
      <c r="L1581" s="312">
        <v>0</v>
      </c>
      <c r="M1581" s="311">
        <v>0</v>
      </c>
      <c r="N1581" s="312">
        <v>135.606514</v>
      </c>
      <c r="O1581" s="311">
        <v>0.43694659835272476</v>
      </c>
      <c r="P1581" s="312">
        <v>0</v>
      </c>
      <c r="Q1581" s="311">
        <v>0</v>
      </c>
      <c r="R1581" s="312">
        <v>0</v>
      </c>
      <c r="S1581" s="311">
        <v>0</v>
      </c>
      <c r="T1581" s="312">
        <v>0</v>
      </c>
      <c r="U1581" s="311">
        <v>0</v>
      </c>
      <c r="V1581" s="312">
        <v>72.371899999999997</v>
      </c>
      <c r="W1581" s="311">
        <v>0.23319422193334724</v>
      </c>
      <c r="X1581" s="312">
        <v>0</v>
      </c>
      <c r="Y1581" s="311">
        <v>0</v>
      </c>
      <c r="Z1581" s="312">
        <v>0</v>
      </c>
      <c r="AA1581" s="311">
        <v>0</v>
      </c>
      <c r="AB1581" s="312">
        <v>0</v>
      </c>
      <c r="AC1581" s="311">
        <v>0</v>
      </c>
      <c r="AD1581" s="312">
        <v>0</v>
      </c>
      <c r="AE1581" s="311">
        <v>0</v>
      </c>
      <c r="AF1581" s="312">
        <v>30</v>
      </c>
      <c r="AG1581" s="311">
        <v>9.6664957780580832E-2</v>
      </c>
      <c r="AH1581" s="312">
        <v>0</v>
      </c>
      <c r="AI1581" s="311">
        <v>0</v>
      </c>
      <c r="AJ1581" s="312">
        <v>0</v>
      </c>
      <c r="AK1581" s="311">
        <v>0</v>
      </c>
      <c r="AL1581" s="312">
        <v>0</v>
      </c>
      <c r="AM1581" s="311">
        <v>0</v>
      </c>
      <c r="AN1581" s="312">
        <v>0</v>
      </c>
      <c r="AO1581" s="311">
        <v>0</v>
      </c>
      <c r="AP1581" s="312">
        <v>0</v>
      </c>
      <c r="AQ1581" s="311">
        <v>0</v>
      </c>
      <c r="AR1581" s="312">
        <v>310.35031399999997</v>
      </c>
      <c r="AS1581" s="311">
        <v>4.4493532447440691E-2</v>
      </c>
      <c r="AT1581" s="307"/>
    </row>
    <row r="1582" spans="1:46">
      <c r="A1582" s="313" t="s">
        <v>305</v>
      </c>
      <c r="B1582" s="312">
        <v>0</v>
      </c>
      <c r="C1582" s="311">
        <v>0</v>
      </c>
      <c r="D1582" s="312">
        <v>0</v>
      </c>
      <c r="E1582" s="311">
        <v>0</v>
      </c>
      <c r="F1582" s="312">
        <v>0</v>
      </c>
      <c r="G1582" s="311">
        <v>0</v>
      </c>
      <c r="H1582" s="312">
        <v>0</v>
      </c>
      <c r="I1582" s="311">
        <v>0</v>
      </c>
      <c r="J1582" s="312">
        <v>0</v>
      </c>
      <c r="K1582" s="311">
        <v>0</v>
      </c>
      <c r="L1582" s="312">
        <v>0</v>
      </c>
      <c r="M1582" s="311">
        <v>0</v>
      </c>
      <c r="N1582" s="312">
        <v>54.263157</v>
      </c>
      <c r="O1582" s="311">
        <v>7.5381459427814254E-2</v>
      </c>
      <c r="P1582" s="312">
        <v>0</v>
      </c>
      <c r="Q1582" s="311">
        <v>0</v>
      </c>
      <c r="R1582" s="312">
        <v>5.7886179999999996</v>
      </c>
      <c r="S1582" s="311">
        <v>8.0414501668252605E-3</v>
      </c>
      <c r="T1582" s="312">
        <v>108.526314</v>
      </c>
      <c r="U1582" s="311">
        <v>0.15076291885562851</v>
      </c>
      <c r="V1582" s="312">
        <v>0</v>
      </c>
      <c r="W1582" s="311">
        <v>0</v>
      </c>
      <c r="X1582" s="312">
        <v>0</v>
      </c>
      <c r="Y1582" s="311">
        <v>0</v>
      </c>
      <c r="Z1582" s="312">
        <v>271.31578500000001</v>
      </c>
      <c r="AA1582" s="311">
        <v>0.37690729713907123</v>
      </c>
      <c r="AB1582" s="312">
        <v>0</v>
      </c>
      <c r="AC1582" s="311">
        <v>0</v>
      </c>
      <c r="AD1582" s="312">
        <v>108.526314</v>
      </c>
      <c r="AE1582" s="311">
        <v>0.15076291885562851</v>
      </c>
      <c r="AF1582" s="312">
        <v>0</v>
      </c>
      <c r="AG1582" s="311">
        <v>0</v>
      </c>
      <c r="AH1582" s="312">
        <v>54.263157</v>
      </c>
      <c r="AI1582" s="311">
        <v>7.5381459427814254E-2</v>
      </c>
      <c r="AJ1582" s="312">
        <v>117.16418</v>
      </c>
      <c r="AK1582" s="311">
        <v>0.1627624961272181</v>
      </c>
      <c r="AL1582" s="312">
        <v>0</v>
      </c>
      <c r="AM1582" s="311">
        <v>0</v>
      </c>
      <c r="AN1582" s="312">
        <v>0</v>
      </c>
      <c r="AO1582" s="311">
        <v>0</v>
      </c>
      <c r="AP1582" s="312">
        <v>0</v>
      </c>
      <c r="AQ1582" s="311">
        <v>0</v>
      </c>
      <c r="AR1582" s="312">
        <v>719.84752499999991</v>
      </c>
      <c r="AS1582" s="311">
        <v>0.10320131079615204</v>
      </c>
      <c r="AT1582" s="307"/>
    </row>
    <row r="1583" spans="1:46" ht="28.5">
      <c r="A1583" s="313" t="s">
        <v>304</v>
      </c>
      <c r="B1583" s="312">
        <v>0</v>
      </c>
      <c r="C1583" s="311">
        <v>0</v>
      </c>
      <c r="D1583" s="312">
        <v>0</v>
      </c>
      <c r="E1583" s="311">
        <v>0</v>
      </c>
      <c r="F1583" s="312">
        <v>430.93153900000004</v>
      </c>
      <c r="G1583" s="311">
        <v>0.11917484430075702</v>
      </c>
      <c r="H1583" s="312">
        <v>0</v>
      </c>
      <c r="I1583" s="311">
        <v>0</v>
      </c>
      <c r="J1583" s="312">
        <v>80.793729999999996</v>
      </c>
      <c r="K1583" s="311">
        <v>2.2343642369669764E-2</v>
      </c>
      <c r="L1583" s="312">
        <v>17.50722</v>
      </c>
      <c r="M1583" s="311">
        <v>4.8416512341629718E-3</v>
      </c>
      <c r="N1583" s="312">
        <v>1416.3761099999999</v>
      </c>
      <c r="O1583" s="311">
        <v>0.39170120333327901</v>
      </c>
      <c r="P1583" s="312">
        <v>262.74115399999999</v>
      </c>
      <c r="Q1583" s="311">
        <v>7.2661509510333649E-2</v>
      </c>
      <c r="R1583" s="312">
        <v>182.90530899999999</v>
      </c>
      <c r="S1583" s="311">
        <v>5.0582771853829998E-2</v>
      </c>
      <c r="T1583" s="312">
        <v>86.902062999999998</v>
      </c>
      <c r="U1583" s="311">
        <v>2.4032912168537229E-2</v>
      </c>
      <c r="V1583" s="312">
        <v>93.868335000000002</v>
      </c>
      <c r="W1583" s="311">
        <v>2.5959446445613484E-2</v>
      </c>
      <c r="X1583" s="312">
        <v>0</v>
      </c>
      <c r="Y1583" s="311">
        <v>0</v>
      </c>
      <c r="Z1583" s="312">
        <v>548.99857599999996</v>
      </c>
      <c r="AA1583" s="311">
        <v>0.15182648261940582</v>
      </c>
      <c r="AB1583" s="312">
        <v>122.27575</v>
      </c>
      <c r="AC1583" s="311">
        <v>3.381556500093693E-2</v>
      </c>
      <c r="AD1583" s="312">
        <v>0</v>
      </c>
      <c r="AE1583" s="311">
        <v>0</v>
      </c>
      <c r="AF1583" s="312">
        <v>198.13817299999997</v>
      </c>
      <c r="AG1583" s="311">
        <v>5.479544609825239E-2</v>
      </c>
      <c r="AH1583" s="312">
        <v>87.261309999999995</v>
      </c>
      <c r="AI1583" s="311">
        <v>2.4132262532610981E-2</v>
      </c>
      <c r="AJ1583" s="312">
        <v>87.261309999999995</v>
      </c>
      <c r="AK1583" s="311">
        <v>2.4132262532610981E-2</v>
      </c>
      <c r="AL1583" s="312">
        <v>0</v>
      </c>
      <c r="AM1583" s="311">
        <v>0</v>
      </c>
      <c r="AN1583" s="312">
        <v>0</v>
      </c>
      <c r="AO1583" s="311">
        <v>0</v>
      </c>
      <c r="AP1583" s="312">
        <v>0</v>
      </c>
      <c r="AQ1583" s="311">
        <v>0</v>
      </c>
      <c r="AR1583" s="312">
        <v>3615.9605789999991</v>
      </c>
      <c r="AS1583" s="311">
        <v>0.51840404888523139</v>
      </c>
      <c r="AT1583" s="307"/>
    </row>
    <row r="1584" spans="1:46" ht="28.5">
      <c r="A1584" s="313" t="s">
        <v>303</v>
      </c>
      <c r="B1584" s="312">
        <v>0</v>
      </c>
      <c r="C1584" s="311">
        <v>0</v>
      </c>
      <c r="D1584" s="312">
        <v>0</v>
      </c>
      <c r="E1584" s="311">
        <v>0</v>
      </c>
      <c r="F1584" s="312">
        <v>339.60552600000005</v>
      </c>
      <c r="G1584" s="311">
        <v>0.22429454712298486</v>
      </c>
      <c r="H1584" s="312">
        <v>45.639620000000001</v>
      </c>
      <c r="I1584" s="311">
        <v>3.0142966221241997E-2</v>
      </c>
      <c r="J1584" s="312">
        <v>0</v>
      </c>
      <c r="K1584" s="311">
        <v>0</v>
      </c>
      <c r="L1584" s="312">
        <v>430.49376799999999</v>
      </c>
      <c r="M1584" s="311">
        <v>0.28432224254450822</v>
      </c>
      <c r="N1584" s="312">
        <v>194.30644600000002</v>
      </c>
      <c r="O1584" s="311">
        <v>0.12833088089575642</v>
      </c>
      <c r="P1584" s="312">
        <v>12.522353000000001</v>
      </c>
      <c r="Q1584" s="311">
        <v>8.2704646421128923E-3</v>
      </c>
      <c r="R1584" s="312">
        <v>0</v>
      </c>
      <c r="S1584" s="311">
        <v>0</v>
      </c>
      <c r="T1584" s="312">
        <v>197.56731000000002</v>
      </c>
      <c r="U1584" s="311">
        <v>0.13048453847231084</v>
      </c>
      <c r="V1584" s="312">
        <v>7.0196079999999998</v>
      </c>
      <c r="W1584" s="311">
        <v>4.6361430448009881E-3</v>
      </c>
      <c r="X1584" s="312">
        <v>0</v>
      </c>
      <c r="Y1584" s="311">
        <v>0</v>
      </c>
      <c r="Z1584" s="312">
        <v>136.48505900000001</v>
      </c>
      <c r="AA1584" s="311">
        <v>9.0142392139575686E-2</v>
      </c>
      <c r="AB1584" s="312">
        <v>70.629289</v>
      </c>
      <c r="AC1584" s="311">
        <v>4.6647545982138744E-2</v>
      </c>
      <c r="AD1584" s="312">
        <v>0</v>
      </c>
      <c r="AE1584" s="311">
        <v>0</v>
      </c>
      <c r="AF1584" s="312">
        <v>67.313805000000002</v>
      </c>
      <c r="AG1584" s="311">
        <v>4.4457814292456217E-2</v>
      </c>
      <c r="AH1584" s="312">
        <v>0</v>
      </c>
      <c r="AI1584" s="311">
        <v>0</v>
      </c>
      <c r="AJ1584" s="312">
        <v>0</v>
      </c>
      <c r="AK1584" s="311">
        <v>0</v>
      </c>
      <c r="AL1584" s="312">
        <v>12.522353000000001</v>
      </c>
      <c r="AM1584" s="311">
        <v>8.2704646421128923E-3</v>
      </c>
      <c r="AN1584" s="312">
        <v>0</v>
      </c>
      <c r="AO1584" s="311">
        <v>0</v>
      </c>
      <c r="AP1584" s="312">
        <v>0</v>
      </c>
      <c r="AQ1584" s="311">
        <v>0</v>
      </c>
      <c r="AR1584" s="312">
        <v>1514.1051370000005</v>
      </c>
      <c r="AS1584" s="311">
        <v>0.21707046200039015</v>
      </c>
      <c r="AT1584" s="307"/>
    </row>
    <row r="1585" spans="1:46" ht="15.75" thickBot="1">
      <c r="A1585" s="313" t="s">
        <v>302</v>
      </c>
      <c r="B1585" s="312">
        <v>0</v>
      </c>
      <c r="C1585" s="311">
        <v>0</v>
      </c>
      <c r="D1585" s="312">
        <v>68.266670000000005</v>
      </c>
      <c r="E1585" s="311">
        <v>0.35804196926500054</v>
      </c>
      <c r="F1585" s="312">
        <v>0</v>
      </c>
      <c r="G1585" s="311">
        <v>0</v>
      </c>
      <c r="H1585" s="312">
        <v>0</v>
      </c>
      <c r="I1585" s="311">
        <v>0</v>
      </c>
      <c r="J1585" s="312">
        <v>0</v>
      </c>
      <c r="K1585" s="311">
        <v>0</v>
      </c>
      <c r="L1585" s="312">
        <v>0</v>
      </c>
      <c r="M1585" s="311">
        <v>0</v>
      </c>
      <c r="N1585" s="312">
        <v>0</v>
      </c>
      <c r="O1585" s="311">
        <v>0</v>
      </c>
      <c r="P1585" s="312">
        <v>0</v>
      </c>
      <c r="Q1585" s="311">
        <v>0</v>
      </c>
      <c r="R1585" s="312">
        <v>122.4</v>
      </c>
      <c r="S1585" s="311">
        <v>0.64195803073499946</v>
      </c>
      <c r="T1585" s="312">
        <v>0</v>
      </c>
      <c r="U1585" s="311">
        <v>0</v>
      </c>
      <c r="V1585" s="312">
        <v>0</v>
      </c>
      <c r="W1585" s="311">
        <v>0</v>
      </c>
      <c r="X1585" s="312">
        <v>0</v>
      </c>
      <c r="Y1585" s="311">
        <v>0</v>
      </c>
      <c r="Z1585" s="312">
        <v>0</v>
      </c>
      <c r="AA1585" s="311">
        <v>0</v>
      </c>
      <c r="AB1585" s="312">
        <v>0</v>
      </c>
      <c r="AC1585" s="311">
        <v>0</v>
      </c>
      <c r="AD1585" s="312">
        <v>0</v>
      </c>
      <c r="AE1585" s="311">
        <v>0</v>
      </c>
      <c r="AF1585" s="312">
        <v>0</v>
      </c>
      <c r="AG1585" s="311">
        <v>0</v>
      </c>
      <c r="AH1585" s="312">
        <v>0</v>
      </c>
      <c r="AI1585" s="311">
        <v>0</v>
      </c>
      <c r="AJ1585" s="312">
        <v>0</v>
      </c>
      <c r="AK1585" s="311">
        <v>0</v>
      </c>
      <c r="AL1585" s="312">
        <v>0</v>
      </c>
      <c r="AM1585" s="311">
        <v>0</v>
      </c>
      <c r="AN1585" s="312">
        <v>0</v>
      </c>
      <c r="AO1585" s="311">
        <v>0</v>
      </c>
      <c r="AP1585" s="312">
        <v>0</v>
      </c>
      <c r="AQ1585" s="311">
        <v>0</v>
      </c>
      <c r="AR1585" s="312">
        <v>190.66667000000001</v>
      </c>
      <c r="AS1585" s="311">
        <v>2.7335025245988531E-2</v>
      </c>
      <c r="AT1585" s="307"/>
    </row>
    <row r="1586" spans="1:46" ht="15" customHeight="1">
      <c r="A1586" s="316" t="s">
        <v>4</v>
      </c>
      <c r="B1586" s="315">
        <v>340.78862761831266</v>
      </c>
      <c r="C1586" s="314">
        <v>4.8266912206966016E-2</v>
      </c>
      <c r="D1586" s="315">
        <v>0</v>
      </c>
      <c r="E1586" s="314">
        <v>0</v>
      </c>
      <c r="F1586" s="315">
        <v>1347.5636929595225</v>
      </c>
      <c r="G1586" s="314">
        <v>0.19085947473053833</v>
      </c>
      <c r="H1586" s="315">
        <v>94.082050253272484</v>
      </c>
      <c r="I1586" s="314">
        <v>1.3325122060446505E-2</v>
      </c>
      <c r="J1586" s="315">
        <v>0</v>
      </c>
      <c r="K1586" s="314">
        <v>0</v>
      </c>
      <c r="L1586" s="315">
        <v>513.49832576420556</v>
      </c>
      <c r="M1586" s="314">
        <v>7.2728303116512502E-2</v>
      </c>
      <c r="N1586" s="315">
        <v>1360.1640530156301</v>
      </c>
      <c r="O1586" s="314">
        <v>0.19264410139738086</v>
      </c>
      <c r="P1586" s="315">
        <v>20.320754716981131</v>
      </c>
      <c r="Q1586" s="314">
        <v>2.8780892448158485E-3</v>
      </c>
      <c r="R1586" s="315">
        <v>187.44310579064199</v>
      </c>
      <c r="S1586" s="314">
        <v>2.6548127483676024E-2</v>
      </c>
      <c r="T1586" s="315">
        <v>693.90022707850142</v>
      </c>
      <c r="U1586" s="314">
        <v>9.8279163758667798E-2</v>
      </c>
      <c r="V1586" s="315">
        <v>168.80745137845952</v>
      </c>
      <c r="W1586" s="314">
        <v>2.3908704033080114E-2</v>
      </c>
      <c r="X1586" s="315">
        <v>122.29134589134588</v>
      </c>
      <c r="Y1586" s="314">
        <v>1.7320488940788005E-2</v>
      </c>
      <c r="Z1586" s="315">
        <v>1162.5954543877403</v>
      </c>
      <c r="AA1586" s="314">
        <v>0.164661870090337</v>
      </c>
      <c r="AB1586" s="315">
        <v>316.13830104381054</v>
      </c>
      <c r="AC1586" s="314">
        <v>4.4775612755573756E-2</v>
      </c>
      <c r="AD1586" s="315">
        <v>132.12102229848063</v>
      </c>
      <c r="AE1586" s="314">
        <v>1.8712695398737784E-2</v>
      </c>
      <c r="AF1586" s="315">
        <v>300.3969208216995</v>
      </c>
      <c r="AG1586" s="314">
        <v>4.254611401171287E-2</v>
      </c>
      <c r="AH1586" s="315">
        <v>0</v>
      </c>
      <c r="AI1586" s="314">
        <v>0</v>
      </c>
      <c r="AJ1586" s="315">
        <v>154.86394506161247</v>
      </c>
      <c r="AK1586" s="314">
        <v>2.1933843545639462E-2</v>
      </c>
      <c r="AL1586" s="315">
        <v>88.414169030656751</v>
      </c>
      <c r="AM1586" s="314">
        <v>1.25223630972633E-2</v>
      </c>
      <c r="AN1586" s="315">
        <v>0</v>
      </c>
      <c r="AO1586" s="314">
        <v>0</v>
      </c>
      <c r="AP1586" s="315">
        <v>57.112499999999997</v>
      </c>
      <c r="AQ1586" s="314">
        <v>8.0890141278652655E-3</v>
      </c>
      <c r="AR1586" s="315">
        <v>7060.5019471108635</v>
      </c>
      <c r="AS1586" s="314">
        <v>1</v>
      </c>
      <c r="AT1586" s="307"/>
    </row>
    <row r="1587" spans="1:46">
      <c r="A1587" s="313" t="s">
        <v>309</v>
      </c>
      <c r="B1587" s="312">
        <v>79.615384615384613</v>
      </c>
      <c r="C1587" s="311">
        <v>0.20616383513707653</v>
      </c>
      <c r="D1587" s="312">
        <v>0</v>
      </c>
      <c r="E1587" s="311">
        <v>0</v>
      </c>
      <c r="F1587" s="312">
        <v>144.45467032967034</v>
      </c>
      <c r="G1587" s="311">
        <v>0.37406499990545861</v>
      </c>
      <c r="H1587" s="312">
        <v>0</v>
      </c>
      <c r="I1587" s="311">
        <v>0</v>
      </c>
      <c r="J1587" s="312">
        <v>0</v>
      </c>
      <c r="K1587" s="311">
        <v>0</v>
      </c>
      <c r="L1587" s="312">
        <v>0</v>
      </c>
      <c r="M1587" s="311">
        <v>0</v>
      </c>
      <c r="N1587" s="312">
        <v>0</v>
      </c>
      <c r="O1587" s="311">
        <v>0</v>
      </c>
      <c r="P1587" s="312">
        <v>0</v>
      </c>
      <c r="Q1587" s="311">
        <v>0</v>
      </c>
      <c r="R1587" s="312">
        <v>0</v>
      </c>
      <c r="S1587" s="311">
        <v>0</v>
      </c>
      <c r="T1587" s="312">
        <v>0</v>
      </c>
      <c r="U1587" s="311">
        <v>0</v>
      </c>
      <c r="V1587" s="312">
        <v>0</v>
      </c>
      <c r="W1587" s="311">
        <v>0</v>
      </c>
      <c r="X1587" s="312">
        <v>0</v>
      </c>
      <c r="Y1587" s="311">
        <v>0</v>
      </c>
      <c r="Z1587" s="312">
        <v>162.10526315789474</v>
      </c>
      <c r="AA1587" s="311">
        <v>0.41977116495746469</v>
      </c>
      <c r="AB1587" s="312">
        <v>0</v>
      </c>
      <c r="AC1587" s="311">
        <v>0</v>
      </c>
      <c r="AD1587" s="312">
        <v>0</v>
      </c>
      <c r="AE1587" s="311">
        <v>0</v>
      </c>
      <c r="AF1587" s="312">
        <v>0</v>
      </c>
      <c r="AG1587" s="311">
        <v>0</v>
      </c>
      <c r="AH1587" s="312">
        <v>0</v>
      </c>
      <c r="AI1587" s="311">
        <v>0</v>
      </c>
      <c r="AJ1587" s="312">
        <v>0</v>
      </c>
      <c r="AK1587" s="311">
        <v>0</v>
      </c>
      <c r="AL1587" s="312">
        <v>0</v>
      </c>
      <c r="AM1587" s="311">
        <v>0</v>
      </c>
      <c r="AN1587" s="312">
        <v>0</v>
      </c>
      <c r="AO1587" s="311">
        <v>0</v>
      </c>
      <c r="AP1587" s="312">
        <v>0</v>
      </c>
      <c r="AQ1587" s="311">
        <v>0</v>
      </c>
      <c r="AR1587" s="312">
        <v>386.17531810294975</v>
      </c>
      <c r="AS1587" s="311">
        <v>5.4695164875773673E-2</v>
      </c>
      <c r="AT1587" s="307"/>
    </row>
    <row r="1588" spans="1:46">
      <c r="A1588" s="313" t="s">
        <v>308</v>
      </c>
      <c r="B1588" s="312">
        <v>0</v>
      </c>
      <c r="C1588" s="311">
        <v>0</v>
      </c>
      <c r="D1588" s="312">
        <v>0</v>
      </c>
      <c r="E1588" s="311">
        <v>0</v>
      </c>
      <c r="F1588" s="312">
        <v>332.69223155481416</v>
      </c>
      <c r="G1588" s="311">
        <v>0.437220072948034</v>
      </c>
      <c r="H1588" s="312">
        <v>0</v>
      </c>
      <c r="I1588" s="311">
        <v>0</v>
      </c>
      <c r="J1588" s="312">
        <v>0</v>
      </c>
      <c r="K1588" s="311">
        <v>0</v>
      </c>
      <c r="L1588" s="312">
        <v>5.3796992481203008</v>
      </c>
      <c r="M1588" s="311">
        <v>7.0699351370761077E-3</v>
      </c>
      <c r="N1588" s="312">
        <v>113.14678726210666</v>
      </c>
      <c r="O1588" s="311">
        <v>0.1486961277976919</v>
      </c>
      <c r="P1588" s="312">
        <v>20.320754716981131</v>
      </c>
      <c r="Q1588" s="311">
        <v>2.6705288002054739E-2</v>
      </c>
      <c r="R1588" s="312">
        <v>5.3796992481203008</v>
      </c>
      <c r="S1588" s="311">
        <v>7.0699351370761077E-3</v>
      </c>
      <c r="T1588" s="312">
        <v>31.529513438769335</v>
      </c>
      <c r="U1588" s="311">
        <v>4.1435702003890885E-2</v>
      </c>
      <c r="V1588" s="312">
        <v>0</v>
      </c>
      <c r="W1588" s="311">
        <v>0</v>
      </c>
      <c r="X1588" s="312">
        <v>0</v>
      </c>
      <c r="Y1588" s="311">
        <v>0</v>
      </c>
      <c r="Z1588" s="312">
        <v>170.11161099469984</v>
      </c>
      <c r="AA1588" s="311">
        <v>0.22355860436180958</v>
      </c>
      <c r="AB1588" s="312">
        <v>71.606557377049185</v>
      </c>
      <c r="AC1588" s="311">
        <v>9.4104464338214538E-2</v>
      </c>
      <c r="AD1588" s="312">
        <v>0</v>
      </c>
      <c r="AE1588" s="311">
        <v>0</v>
      </c>
      <c r="AF1588" s="312">
        <v>0</v>
      </c>
      <c r="AG1588" s="311">
        <v>0</v>
      </c>
      <c r="AH1588" s="312">
        <v>0</v>
      </c>
      <c r="AI1588" s="311">
        <v>0</v>
      </c>
      <c r="AJ1588" s="312">
        <v>5.3796992481203008</v>
      </c>
      <c r="AK1588" s="311">
        <v>7.0699351370761077E-3</v>
      </c>
      <c r="AL1588" s="312">
        <v>5.3796992481203008</v>
      </c>
      <c r="AM1588" s="311">
        <v>7.0699351370761077E-3</v>
      </c>
      <c r="AN1588" s="312">
        <v>0</v>
      </c>
      <c r="AO1588" s="311">
        <v>0</v>
      </c>
      <c r="AP1588" s="312">
        <v>0</v>
      </c>
      <c r="AQ1588" s="311">
        <v>0</v>
      </c>
      <c r="AR1588" s="312">
        <v>760.92625233690148</v>
      </c>
      <c r="AS1588" s="311">
        <v>0.10777226010797579</v>
      </c>
      <c r="AT1588" s="307"/>
    </row>
    <row r="1589" spans="1:46">
      <c r="A1589" s="313" t="s">
        <v>307</v>
      </c>
      <c r="B1589" s="312">
        <v>0</v>
      </c>
      <c r="C1589" s="311">
        <v>0</v>
      </c>
      <c r="D1589" s="312">
        <v>0</v>
      </c>
      <c r="E1589" s="311">
        <v>0</v>
      </c>
      <c r="F1589" s="312">
        <v>0</v>
      </c>
      <c r="G1589" s="311">
        <v>0</v>
      </c>
      <c r="H1589" s="312">
        <v>0</v>
      </c>
      <c r="I1589" s="311">
        <v>0</v>
      </c>
      <c r="J1589" s="312">
        <v>0</v>
      </c>
      <c r="K1589" s="311">
        <v>0</v>
      </c>
      <c r="L1589" s="312">
        <v>120.45614035087719</v>
      </c>
      <c r="M1589" s="311">
        <v>0.40573029099068947</v>
      </c>
      <c r="N1589" s="312">
        <v>116.81818181818181</v>
      </c>
      <c r="O1589" s="311">
        <v>0.39347661949014978</v>
      </c>
      <c r="P1589" s="312">
        <v>0</v>
      </c>
      <c r="Q1589" s="311">
        <v>0</v>
      </c>
      <c r="R1589" s="312">
        <v>0</v>
      </c>
      <c r="S1589" s="311">
        <v>0</v>
      </c>
      <c r="T1589" s="312">
        <v>0</v>
      </c>
      <c r="U1589" s="311">
        <v>0</v>
      </c>
      <c r="V1589" s="312">
        <v>0</v>
      </c>
      <c r="W1589" s="311">
        <v>0</v>
      </c>
      <c r="X1589" s="312">
        <v>0</v>
      </c>
      <c r="Y1589" s="311">
        <v>0</v>
      </c>
      <c r="Z1589" s="312">
        <v>0</v>
      </c>
      <c r="AA1589" s="311">
        <v>0</v>
      </c>
      <c r="AB1589" s="312">
        <v>0</v>
      </c>
      <c r="AC1589" s="311">
        <v>0</v>
      </c>
      <c r="AD1589" s="312">
        <v>0</v>
      </c>
      <c r="AE1589" s="311">
        <v>0</v>
      </c>
      <c r="AF1589" s="312">
        <v>59.612903225806448</v>
      </c>
      <c r="AG1589" s="311">
        <v>0.20079308951916064</v>
      </c>
      <c r="AH1589" s="312">
        <v>0</v>
      </c>
      <c r="AI1589" s="311">
        <v>0</v>
      </c>
      <c r="AJ1589" s="312">
        <v>0</v>
      </c>
      <c r="AK1589" s="311">
        <v>0</v>
      </c>
      <c r="AL1589" s="312">
        <v>0</v>
      </c>
      <c r="AM1589" s="311">
        <v>0</v>
      </c>
      <c r="AN1589" s="312">
        <v>0</v>
      </c>
      <c r="AO1589" s="311">
        <v>0</v>
      </c>
      <c r="AP1589" s="312">
        <v>0</v>
      </c>
      <c r="AQ1589" s="311">
        <v>0</v>
      </c>
      <c r="AR1589" s="312">
        <v>296.88722539486548</v>
      </c>
      <c r="AS1589" s="311">
        <v>4.2049025355251242E-2</v>
      </c>
      <c r="AT1589" s="307"/>
    </row>
    <row r="1590" spans="1:46">
      <c r="A1590" s="313" t="s">
        <v>306</v>
      </c>
      <c r="B1590" s="312">
        <v>0</v>
      </c>
      <c r="C1590" s="311">
        <v>0</v>
      </c>
      <c r="D1590" s="312">
        <v>0</v>
      </c>
      <c r="E1590" s="311">
        <v>0</v>
      </c>
      <c r="F1590" s="312">
        <v>120.46964285714284</v>
      </c>
      <c r="G1590" s="311">
        <v>0.27785450801619199</v>
      </c>
      <c r="H1590" s="312">
        <v>0</v>
      </c>
      <c r="I1590" s="311">
        <v>0</v>
      </c>
      <c r="J1590" s="312">
        <v>0</v>
      </c>
      <c r="K1590" s="311">
        <v>0</v>
      </c>
      <c r="L1590" s="312">
        <v>0</v>
      </c>
      <c r="M1590" s="311">
        <v>0</v>
      </c>
      <c r="N1590" s="312">
        <v>183.82678571428571</v>
      </c>
      <c r="O1590" s="311">
        <v>0.4239831703112944</v>
      </c>
      <c r="P1590" s="312">
        <v>0</v>
      </c>
      <c r="Q1590" s="311">
        <v>0</v>
      </c>
      <c r="R1590" s="312">
        <v>0</v>
      </c>
      <c r="S1590" s="311">
        <v>0</v>
      </c>
      <c r="T1590" s="312">
        <v>0</v>
      </c>
      <c r="U1590" s="311">
        <v>0</v>
      </c>
      <c r="V1590" s="312">
        <v>0</v>
      </c>
      <c r="W1590" s="311">
        <v>0</v>
      </c>
      <c r="X1590" s="312">
        <v>0</v>
      </c>
      <c r="Y1590" s="311">
        <v>0</v>
      </c>
      <c r="Z1590" s="312">
        <v>63.357142857142854</v>
      </c>
      <c r="AA1590" s="311">
        <v>0.14612866229510238</v>
      </c>
      <c r="AB1590" s="312">
        <v>0</v>
      </c>
      <c r="AC1590" s="311">
        <v>0</v>
      </c>
      <c r="AD1590" s="312">
        <v>0</v>
      </c>
      <c r="AE1590" s="311">
        <v>0</v>
      </c>
      <c r="AF1590" s="312">
        <v>0</v>
      </c>
      <c r="AG1590" s="311">
        <v>0</v>
      </c>
      <c r="AH1590" s="312">
        <v>0</v>
      </c>
      <c r="AI1590" s="311">
        <v>0</v>
      </c>
      <c r="AJ1590" s="312">
        <v>0</v>
      </c>
      <c r="AK1590" s="311">
        <v>0</v>
      </c>
      <c r="AL1590" s="312">
        <v>8.8048780487804876</v>
      </c>
      <c r="AM1590" s="311">
        <v>2.0307813656321595E-2</v>
      </c>
      <c r="AN1590" s="312">
        <v>0</v>
      </c>
      <c r="AO1590" s="311">
        <v>0</v>
      </c>
      <c r="AP1590" s="312">
        <v>57.112499999999997</v>
      </c>
      <c r="AQ1590" s="311">
        <v>0.13172584572108961</v>
      </c>
      <c r="AR1590" s="312">
        <v>433.57094947735192</v>
      </c>
      <c r="AS1590" s="311">
        <v>6.1407949849056821E-2</v>
      </c>
      <c r="AT1590" s="307"/>
    </row>
    <row r="1591" spans="1:46">
      <c r="A1591" s="313" t="s">
        <v>305</v>
      </c>
      <c r="B1591" s="312">
        <v>0</v>
      </c>
      <c r="C1591" s="311">
        <v>0</v>
      </c>
      <c r="D1591" s="312">
        <v>0</v>
      </c>
      <c r="E1591" s="311">
        <v>0</v>
      </c>
      <c r="F1591" s="312">
        <v>52.911174785100286</v>
      </c>
      <c r="G1591" s="311">
        <v>6.2223406089672896E-2</v>
      </c>
      <c r="H1591" s="312">
        <v>0</v>
      </c>
      <c r="I1591" s="311">
        <v>0</v>
      </c>
      <c r="J1591" s="312">
        <v>0</v>
      </c>
      <c r="K1591" s="311">
        <v>0</v>
      </c>
      <c r="L1591" s="312">
        <v>0</v>
      </c>
      <c r="M1591" s="311">
        <v>0</v>
      </c>
      <c r="N1591" s="312">
        <v>0</v>
      </c>
      <c r="O1591" s="311">
        <v>0</v>
      </c>
      <c r="P1591" s="312">
        <v>0</v>
      </c>
      <c r="Q1591" s="311">
        <v>0</v>
      </c>
      <c r="R1591" s="312">
        <v>0</v>
      </c>
      <c r="S1591" s="311">
        <v>0</v>
      </c>
      <c r="T1591" s="312">
        <v>255.47891522676622</v>
      </c>
      <c r="U1591" s="311">
        <v>0.3004425502565235</v>
      </c>
      <c r="V1591" s="312">
        <v>0</v>
      </c>
      <c r="W1591" s="311">
        <v>0</v>
      </c>
      <c r="X1591" s="312">
        <v>74.828282828282823</v>
      </c>
      <c r="Y1591" s="311">
        <v>8.7997869038588861E-2</v>
      </c>
      <c r="Z1591" s="312">
        <v>255.47891522676622</v>
      </c>
      <c r="AA1591" s="311">
        <v>0.3004425502565235</v>
      </c>
      <c r="AB1591" s="312">
        <v>52.911174785100286</v>
      </c>
      <c r="AC1591" s="311">
        <v>6.2223406089672896E-2</v>
      </c>
      <c r="AD1591" s="312">
        <v>0</v>
      </c>
      <c r="AE1591" s="311">
        <v>0</v>
      </c>
      <c r="AF1591" s="312">
        <v>52.911174785100286</v>
      </c>
      <c r="AG1591" s="311">
        <v>6.2223406089672896E-2</v>
      </c>
      <c r="AH1591" s="312">
        <v>0</v>
      </c>
      <c r="AI1591" s="311">
        <v>0</v>
      </c>
      <c r="AJ1591" s="312">
        <v>105.82234957020057</v>
      </c>
      <c r="AK1591" s="311">
        <v>0.12444681217934579</v>
      </c>
      <c r="AL1591" s="312">
        <v>0</v>
      </c>
      <c r="AM1591" s="311">
        <v>0</v>
      </c>
      <c r="AN1591" s="312">
        <v>0</v>
      </c>
      <c r="AO1591" s="311">
        <v>0</v>
      </c>
      <c r="AP1591" s="312">
        <v>0</v>
      </c>
      <c r="AQ1591" s="311">
        <v>0</v>
      </c>
      <c r="AR1591" s="312">
        <v>850.34198720731638</v>
      </c>
      <c r="AS1591" s="311">
        <v>0.12043647796956897</v>
      </c>
      <c r="AT1591" s="307"/>
    </row>
    <row r="1592" spans="1:46" ht="28.5">
      <c r="A1592" s="313" t="s">
        <v>304</v>
      </c>
      <c r="B1592" s="312">
        <v>117.08263453731954</v>
      </c>
      <c r="C1592" s="311">
        <v>4.6502902831786493E-2</v>
      </c>
      <c r="D1592" s="312">
        <v>0</v>
      </c>
      <c r="E1592" s="311">
        <v>0</v>
      </c>
      <c r="F1592" s="312">
        <v>404.56944094041393</v>
      </c>
      <c r="G1592" s="311">
        <v>0.16068696673173588</v>
      </c>
      <c r="H1592" s="312">
        <v>0</v>
      </c>
      <c r="I1592" s="311">
        <v>0</v>
      </c>
      <c r="J1592" s="312">
        <v>0</v>
      </c>
      <c r="K1592" s="311">
        <v>0</v>
      </c>
      <c r="L1592" s="312">
        <v>106.2973730994581</v>
      </c>
      <c r="M1592" s="311">
        <v>4.2219210663069377E-2</v>
      </c>
      <c r="N1592" s="312">
        <v>739.20450932794779</v>
      </c>
      <c r="O1592" s="311">
        <v>0.29359738620451908</v>
      </c>
      <c r="P1592" s="312">
        <v>0</v>
      </c>
      <c r="Q1592" s="311">
        <v>0</v>
      </c>
      <c r="R1592" s="312">
        <v>182.06340654252168</v>
      </c>
      <c r="S1592" s="311">
        <v>7.2311978092466631E-2</v>
      </c>
      <c r="T1592" s="312">
        <v>15.172413793103448</v>
      </c>
      <c r="U1592" s="311">
        <v>6.0261821672577117E-3</v>
      </c>
      <c r="V1592" s="312">
        <v>62.635476856166505</v>
      </c>
      <c r="W1592" s="311">
        <v>2.4877570491775223E-2</v>
      </c>
      <c r="X1592" s="312">
        <v>47.463063063063061</v>
      </c>
      <c r="Y1592" s="311">
        <v>1.885138832451751E-2</v>
      </c>
      <c r="Z1592" s="312">
        <v>407.09936078685342</v>
      </c>
      <c r="AA1592" s="311">
        <v>0.16169180077271986</v>
      </c>
      <c r="AB1592" s="312">
        <v>97.538518628388545</v>
      </c>
      <c r="AC1592" s="311">
        <v>3.8740367194988058E-2</v>
      </c>
      <c r="AD1592" s="312">
        <v>91.124959306354654</v>
      </c>
      <c r="AE1592" s="311">
        <v>3.6193028495811665E-2</v>
      </c>
      <c r="AF1592" s="312">
        <v>134.78685554964625</v>
      </c>
      <c r="AG1592" s="311">
        <v>5.3534668667105816E-2</v>
      </c>
      <c r="AH1592" s="312">
        <v>0</v>
      </c>
      <c r="AI1592" s="311">
        <v>0</v>
      </c>
      <c r="AJ1592" s="312">
        <v>43.661896243291594</v>
      </c>
      <c r="AK1592" s="311">
        <v>1.7341640171294154E-2</v>
      </c>
      <c r="AL1592" s="312">
        <v>69.04903617820041</v>
      </c>
      <c r="AM1592" s="311">
        <v>2.742490919095162E-2</v>
      </c>
      <c r="AN1592" s="312">
        <v>0</v>
      </c>
      <c r="AO1592" s="311">
        <v>0</v>
      </c>
      <c r="AP1592" s="312">
        <v>0</v>
      </c>
      <c r="AQ1592" s="311">
        <v>0</v>
      </c>
      <c r="AR1592" s="312">
        <v>2517.7489448527313</v>
      </c>
      <c r="AS1592" s="311">
        <v>0.35659631053327401</v>
      </c>
      <c r="AT1592" s="307"/>
    </row>
    <row r="1593" spans="1:46" ht="28.5">
      <c r="A1593" s="313" t="s">
        <v>303</v>
      </c>
      <c r="B1593" s="312">
        <v>74.201719576719583</v>
      </c>
      <c r="C1593" s="311">
        <v>4.6120294695314146E-2</v>
      </c>
      <c r="D1593" s="312">
        <v>0</v>
      </c>
      <c r="E1593" s="311">
        <v>0</v>
      </c>
      <c r="F1593" s="312">
        <v>226.26653249238069</v>
      </c>
      <c r="G1593" s="311">
        <v>0.14063662160074183</v>
      </c>
      <c r="H1593" s="312">
        <v>94.082050253272484</v>
      </c>
      <c r="I1593" s="311">
        <v>5.8476972069817765E-2</v>
      </c>
      <c r="J1593" s="312">
        <v>0</v>
      </c>
      <c r="K1593" s="311">
        <v>0</v>
      </c>
      <c r="L1593" s="312">
        <v>281.36511306575005</v>
      </c>
      <c r="M1593" s="311">
        <v>0.17488330466729685</v>
      </c>
      <c r="N1593" s="312">
        <v>207.16778889310737</v>
      </c>
      <c r="O1593" s="311">
        <v>0.12876574194817528</v>
      </c>
      <c r="P1593" s="312">
        <v>0</v>
      </c>
      <c r="Q1593" s="311">
        <v>0</v>
      </c>
      <c r="R1593" s="312">
        <v>0</v>
      </c>
      <c r="S1593" s="311">
        <v>0</v>
      </c>
      <c r="T1593" s="312">
        <v>321.83049573097344</v>
      </c>
      <c r="U1593" s="311">
        <v>0.20003468099826119</v>
      </c>
      <c r="V1593" s="312">
        <v>106.171974522293</v>
      </c>
      <c r="W1593" s="311">
        <v>6.5991499675269627E-2</v>
      </c>
      <c r="X1593" s="312">
        <v>0</v>
      </c>
      <c r="Y1593" s="311">
        <v>0</v>
      </c>
      <c r="Z1593" s="312">
        <v>104.4431613643836</v>
      </c>
      <c r="AA1593" s="311">
        <v>6.4916950826930886E-2</v>
      </c>
      <c r="AB1593" s="312">
        <v>94.082050253272484</v>
      </c>
      <c r="AC1593" s="311">
        <v>5.8476972069817765E-2</v>
      </c>
      <c r="AD1593" s="312">
        <v>40.996062992125985</v>
      </c>
      <c r="AE1593" s="311">
        <v>2.5481222232182955E-2</v>
      </c>
      <c r="AF1593" s="312">
        <v>53.085987261146499</v>
      </c>
      <c r="AG1593" s="311">
        <v>3.2995749837634814E-2</v>
      </c>
      <c r="AH1593" s="312">
        <v>0</v>
      </c>
      <c r="AI1593" s="311">
        <v>0</v>
      </c>
      <c r="AJ1593" s="312">
        <v>0</v>
      </c>
      <c r="AK1593" s="311">
        <v>0</v>
      </c>
      <c r="AL1593" s="312">
        <v>5.1805555555555554</v>
      </c>
      <c r="AM1593" s="311">
        <v>3.2199893785565554E-3</v>
      </c>
      <c r="AN1593" s="312">
        <v>0</v>
      </c>
      <c r="AO1593" s="311">
        <v>0</v>
      </c>
      <c r="AP1593" s="312">
        <v>0</v>
      </c>
      <c r="AQ1593" s="311">
        <v>0</v>
      </c>
      <c r="AR1593" s="312">
        <v>1608.8734919609813</v>
      </c>
      <c r="AS1593" s="311">
        <v>0.22786956281760215</v>
      </c>
      <c r="AT1593" s="307"/>
    </row>
    <row r="1594" spans="1:46" ht="15.75" thickBot="1">
      <c r="A1594" s="313" t="s">
        <v>302</v>
      </c>
      <c r="B1594" s="312">
        <v>69.888888888888886</v>
      </c>
      <c r="C1594" s="311">
        <v>0.33930305318804616</v>
      </c>
      <c r="D1594" s="312">
        <v>0</v>
      </c>
      <c r="E1594" s="311">
        <v>0</v>
      </c>
      <c r="F1594" s="312">
        <v>66.2</v>
      </c>
      <c r="G1594" s="311">
        <v>0.32139389362390763</v>
      </c>
      <c r="H1594" s="312">
        <v>0</v>
      </c>
      <c r="I1594" s="311">
        <v>0</v>
      </c>
      <c r="J1594" s="312">
        <v>0</v>
      </c>
      <c r="K1594" s="311">
        <v>0</v>
      </c>
      <c r="L1594" s="312">
        <v>0</v>
      </c>
      <c r="M1594" s="311">
        <v>0</v>
      </c>
      <c r="N1594" s="312">
        <v>0</v>
      </c>
      <c r="O1594" s="311">
        <v>0</v>
      </c>
      <c r="P1594" s="312">
        <v>0</v>
      </c>
      <c r="Q1594" s="311">
        <v>0</v>
      </c>
      <c r="R1594" s="312">
        <v>0</v>
      </c>
      <c r="S1594" s="311">
        <v>0</v>
      </c>
      <c r="T1594" s="312">
        <v>69.888888888888886</v>
      </c>
      <c r="U1594" s="311">
        <v>0.33930305318804616</v>
      </c>
      <c r="V1594" s="312">
        <v>0</v>
      </c>
      <c r="W1594" s="311">
        <v>0</v>
      </c>
      <c r="X1594" s="312">
        <v>0</v>
      </c>
      <c r="Y1594" s="311">
        <v>0</v>
      </c>
      <c r="Z1594" s="312">
        <v>0</v>
      </c>
      <c r="AA1594" s="311">
        <v>0</v>
      </c>
      <c r="AB1594" s="312">
        <v>0</v>
      </c>
      <c r="AC1594" s="311">
        <v>0</v>
      </c>
      <c r="AD1594" s="312">
        <v>0</v>
      </c>
      <c r="AE1594" s="311">
        <v>0</v>
      </c>
      <c r="AF1594" s="312">
        <v>0</v>
      </c>
      <c r="AG1594" s="311">
        <v>0</v>
      </c>
      <c r="AH1594" s="312">
        <v>0</v>
      </c>
      <c r="AI1594" s="311">
        <v>0</v>
      </c>
      <c r="AJ1594" s="312">
        <v>0</v>
      </c>
      <c r="AK1594" s="311">
        <v>0</v>
      </c>
      <c r="AL1594" s="312">
        <v>0</v>
      </c>
      <c r="AM1594" s="311">
        <v>0</v>
      </c>
      <c r="AN1594" s="312">
        <v>0</v>
      </c>
      <c r="AO1594" s="311">
        <v>0</v>
      </c>
      <c r="AP1594" s="312">
        <v>0</v>
      </c>
      <c r="AQ1594" s="311">
        <v>0</v>
      </c>
      <c r="AR1594" s="312">
        <v>205.97777777777779</v>
      </c>
      <c r="AS1594" s="311">
        <v>2.9173248491499004E-2</v>
      </c>
      <c r="AT1594" s="307"/>
    </row>
    <row r="1595" spans="1:46" ht="15.75" customHeight="1">
      <c r="A1595" s="316" t="s">
        <v>3</v>
      </c>
      <c r="B1595" s="315">
        <v>123.47449129852744</v>
      </c>
      <c r="C1595" s="314">
        <v>2.0319798328649684E-2</v>
      </c>
      <c r="D1595" s="315">
        <v>46.79545290797742</v>
      </c>
      <c r="E1595" s="314">
        <v>7.7009765805713818E-3</v>
      </c>
      <c r="F1595" s="315">
        <v>794.06324643127232</v>
      </c>
      <c r="G1595" s="314">
        <v>0.13067642440142405</v>
      </c>
      <c r="H1595" s="315">
        <v>0</v>
      </c>
      <c r="I1595" s="314">
        <v>0</v>
      </c>
      <c r="J1595" s="315">
        <v>38.210526315789473</v>
      </c>
      <c r="K1595" s="314">
        <v>6.2881829323856745E-3</v>
      </c>
      <c r="L1595" s="315">
        <v>424.39096985765059</v>
      </c>
      <c r="M1595" s="314">
        <v>6.9840651533102135E-2</v>
      </c>
      <c r="N1595" s="315">
        <v>987.71839606044387</v>
      </c>
      <c r="O1595" s="314">
        <v>0.16254562705523706</v>
      </c>
      <c r="P1595" s="315">
        <v>174.3020478455864</v>
      </c>
      <c r="Q1595" s="314">
        <v>2.8684325185271718E-2</v>
      </c>
      <c r="R1595" s="315">
        <v>82.071911889984179</v>
      </c>
      <c r="S1595" s="314">
        <v>1.3506309526063815E-2</v>
      </c>
      <c r="T1595" s="315">
        <v>509.26776801678886</v>
      </c>
      <c r="U1595" s="314">
        <v>8.3808552135384393E-2</v>
      </c>
      <c r="V1595" s="315">
        <v>45.485436893203882</v>
      </c>
      <c r="W1595" s="314">
        <v>7.4853914751171584E-3</v>
      </c>
      <c r="X1595" s="315">
        <v>47.152884231536923</v>
      </c>
      <c r="Y1595" s="314">
        <v>7.759797899328724E-3</v>
      </c>
      <c r="Z1595" s="315">
        <v>1642.7671955367043</v>
      </c>
      <c r="AA1595" s="314">
        <v>0.27034489280479712</v>
      </c>
      <c r="AB1595" s="315">
        <v>172.07023856225698</v>
      </c>
      <c r="AC1595" s="314">
        <v>2.8317043538120656E-2</v>
      </c>
      <c r="AD1595" s="315">
        <v>22.659383753501402</v>
      </c>
      <c r="AE1595" s="314">
        <v>3.7289816162062676E-3</v>
      </c>
      <c r="AF1595" s="315">
        <v>391.0561012457166</v>
      </c>
      <c r="AG1595" s="314">
        <v>6.4354839845335243E-2</v>
      </c>
      <c r="AH1595" s="315">
        <v>138.59258941742374</v>
      </c>
      <c r="AI1595" s="314">
        <v>2.2807734919098911E-2</v>
      </c>
      <c r="AJ1595" s="315">
        <v>354.56256813269698</v>
      </c>
      <c r="AK1595" s="314">
        <v>5.8349216940085817E-2</v>
      </c>
      <c r="AL1595" s="315">
        <v>81.919656108962599</v>
      </c>
      <c r="AM1595" s="314">
        <v>1.3481253283821442E-2</v>
      </c>
      <c r="AN1595" s="315">
        <v>0</v>
      </c>
      <c r="AO1595" s="314">
        <v>0</v>
      </c>
      <c r="AP1595" s="315">
        <v>0</v>
      </c>
      <c r="AQ1595" s="314">
        <v>0</v>
      </c>
      <c r="AR1595" s="315">
        <v>6076.5608645060165</v>
      </c>
      <c r="AS1595" s="314">
        <v>1</v>
      </c>
      <c r="AT1595" s="307"/>
    </row>
    <row r="1596" spans="1:46">
      <c r="A1596" s="313" t="s">
        <v>309</v>
      </c>
      <c r="B1596" s="312">
        <v>0</v>
      </c>
      <c r="C1596" s="311">
        <v>0</v>
      </c>
      <c r="D1596" s="312">
        <v>0</v>
      </c>
      <c r="E1596" s="311">
        <v>0</v>
      </c>
      <c r="F1596" s="312">
        <v>0</v>
      </c>
      <c r="G1596" s="311">
        <v>0</v>
      </c>
      <c r="H1596" s="312">
        <v>0</v>
      </c>
      <c r="I1596" s="311">
        <v>0</v>
      </c>
      <c r="J1596" s="312">
        <v>0</v>
      </c>
      <c r="K1596" s="311">
        <v>0</v>
      </c>
      <c r="L1596" s="312">
        <v>0</v>
      </c>
      <c r="M1596" s="311">
        <v>0</v>
      </c>
      <c r="N1596" s="312">
        <v>11.705882352941176</v>
      </c>
      <c r="O1596" s="311">
        <v>0.13053935860058311</v>
      </c>
      <c r="P1596" s="312">
        <v>0</v>
      </c>
      <c r="Q1596" s="311">
        <v>0</v>
      </c>
      <c r="R1596" s="312">
        <v>0</v>
      </c>
      <c r="S1596" s="311">
        <v>0</v>
      </c>
      <c r="T1596" s="312">
        <v>0</v>
      </c>
      <c r="U1596" s="311">
        <v>0</v>
      </c>
      <c r="V1596" s="312">
        <v>0</v>
      </c>
      <c r="W1596" s="311">
        <v>0</v>
      </c>
      <c r="X1596" s="312">
        <v>0</v>
      </c>
      <c r="Y1596" s="311">
        <v>0</v>
      </c>
      <c r="Z1596" s="312">
        <v>66.261437908496731</v>
      </c>
      <c r="AA1596" s="311">
        <v>0.73892128279883385</v>
      </c>
      <c r="AB1596" s="312">
        <v>11.705882352941176</v>
      </c>
      <c r="AC1596" s="311">
        <v>0.13053935860058311</v>
      </c>
      <c r="AD1596" s="312">
        <v>0</v>
      </c>
      <c r="AE1596" s="311">
        <v>0</v>
      </c>
      <c r="AF1596" s="312">
        <v>0</v>
      </c>
      <c r="AG1596" s="311">
        <v>0</v>
      </c>
      <c r="AH1596" s="312">
        <v>0</v>
      </c>
      <c r="AI1596" s="311">
        <v>0</v>
      </c>
      <c r="AJ1596" s="312">
        <v>0</v>
      </c>
      <c r="AK1596" s="311">
        <v>0</v>
      </c>
      <c r="AL1596" s="312">
        <v>0</v>
      </c>
      <c r="AM1596" s="311">
        <v>0</v>
      </c>
      <c r="AN1596" s="312">
        <v>0</v>
      </c>
      <c r="AO1596" s="311">
        <v>0</v>
      </c>
      <c r="AP1596" s="312">
        <v>0</v>
      </c>
      <c r="AQ1596" s="311">
        <v>0</v>
      </c>
      <c r="AR1596" s="312">
        <v>89.673202614379079</v>
      </c>
      <c r="AS1596" s="311">
        <v>1.4757229395688593E-2</v>
      </c>
      <c r="AT1596" s="307"/>
    </row>
    <row r="1597" spans="1:46">
      <c r="A1597" s="313" t="s">
        <v>308</v>
      </c>
      <c r="B1597" s="312">
        <v>0</v>
      </c>
      <c r="C1597" s="311">
        <v>0</v>
      </c>
      <c r="D1597" s="312">
        <v>0</v>
      </c>
      <c r="E1597" s="311">
        <v>0</v>
      </c>
      <c r="F1597" s="312">
        <v>110.62578616352201</v>
      </c>
      <c r="G1597" s="311">
        <v>0.2028212405967092</v>
      </c>
      <c r="H1597" s="312">
        <v>0</v>
      </c>
      <c r="I1597" s="311">
        <v>0</v>
      </c>
      <c r="J1597" s="312">
        <v>0</v>
      </c>
      <c r="K1597" s="311">
        <v>0</v>
      </c>
      <c r="L1597" s="312">
        <v>10.764150943396226</v>
      </c>
      <c r="M1597" s="311">
        <v>1.9734986968433885E-2</v>
      </c>
      <c r="N1597" s="312">
        <v>110</v>
      </c>
      <c r="O1597" s="311">
        <v>0.20167392467304041</v>
      </c>
      <c r="P1597" s="312">
        <v>7.5707070707070709</v>
      </c>
      <c r="Q1597" s="311">
        <v>1.3880129159085748E-2</v>
      </c>
      <c r="R1597" s="312">
        <v>7.5707070707070709</v>
      </c>
      <c r="S1597" s="311">
        <v>1.3880129159085748E-2</v>
      </c>
      <c r="T1597" s="312">
        <v>59.378787878787882</v>
      </c>
      <c r="U1597" s="311">
        <v>0.10886502903493739</v>
      </c>
      <c r="V1597" s="312">
        <v>0</v>
      </c>
      <c r="W1597" s="311">
        <v>0</v>
      </c>
      <c r="X1597" s="312">
        <v>0</v>
      </c>
      <c r="Y1597" s="311">
        <v>0</v>
      </c>
      <c r="Z1597" s="312">
        <v>158.62073565847152</v>
      </c>
      <c r="AA1597" s="311">
        <v>0.29081514813426218</v>
      </c>
      <c r="AB1597" s="312">
        <v>0</v>
      </c>
      <c r="AC1597" s="311">
        <v>0</v>
      </c>
      <c r="AD1597" s="312">
        <v>0</v>
      </c>
      <c r="AE1597" s="311">
        <v>0</v>
      </c>
      <c r="AF1597" s="312">
        <v>0</v>
      </c>
      <c r="AG1597" s="311">
        <v>0</v>
      </c>
      <c r="AH1597" s="312">
        <v>0</v>
      </c>
      <c r="AI1597" s="311">
        <v>0</v>
      </c>
      <c r="AJ1597" s="312">
        <v>80.904040404040401</v>
      </c>
      <c r="AK1597" s="311">
        <v>0.14832941227444602</v>
      </c>
      <c r="AL1597" s="312">
        <v>0</v>
      </c>
      <c r="AM1597" s="311">
        <v>0</v>
      </c>
      <c r="AN1597" s="312">
        <v>0</v>
      </c>
      <c r="AO1597" s="311">
        <v>0</v>
      </c>
      <c r="AP1597" s="312">
        <v>0</v>
      </c>
      <c r="AQ1597" s="311">
        <v>0</v>
      </c>
      <c r="AR1597" s="312">
        <v>545.43491518963185</v>
      </c>
      <c r="AS1597" s="311">
        <v>8.976046276037293E-2</v>
      </c>
      <c r="AT1597" s="307"/>
    </row>
    <row r="1598" spans="1:46">
      <c r="A1598" s="313" t="s">
        <v>307</v>
      </c>
      <c r="B1598" s="312">
        <v>0</v>
      </c>
      <c r="C1598" s="311">
        <v>0</v>
      </c>
      <c r="D1598" s="312">
        <v>0</v>
      </c>
      <c r="E1598" s="311">
        <v>0</v>
      </c>
      <c r="F1598" s="312">
        <v>0</v>
      </c>
      <c r="G1598" s="311">
        <v>0</v>
      </c>
      <c r="H1598" s="312">
        <v>0</v>
      </c>
      <c r="I1598" s="311">
        <v>0</v>
      </c>
      <c r="J1598" s="312">
        <v>0</v>
      </c>
      <c r="K1598" s="311">
        <v>0</v>
      </c>
      <c r="L1598" s="312">
        <v>0</v>
      </c>
      <c r="M1598" s="311">
        <v>0</v>
      </c>
      <c r="N1598" s="312">
        <v>72.462962962962962</v>
      </c>
      <c r="O1598" s="311">
        <v>0.23147190480547841</v>
      </c>
      <c r="P1598" s="312">
        <v>0</v>
      </c>
      <c r="Q1598" s="311">
        <v>0</v>
      </c>
      <c r="R1598" s="312">
        <v>0</v>
      </c>
      <c r="S1598" s="311">
        <v>0</v>
      </c>
      <c r="T1598" s="312">
        <v>0</v>
      </c>
      <c r="U1598" s="311">
        <v>0</v>
      </c>
      <c r="V1598" s="312">
        <v>0</v>
      </c>
      <c r="W1598" s="311">
        <v>0</v>
      </c>
      <c r="X1598" s="312">
        <v>0</v>
      </c>
      <c r="Y1598" s="311">
        <v>0</v>
      </c>
      <c r="Z1598" s="312">
        <v>0</v>
      </c>
      <c r="AA1598" s="311">
        <v>0</v>
      </c>
      <c r="AB1598" s="312">
        <v>0</v>
      </c>
      <c r="AC1598" s="311">
        <v>0</v>
      </c>
      <c r="AD1598" s="312">
        <v>0</v>
      </c>
      <c r="AE1598" s="311">
        <v>0</v>
      </c>
      <c r="AF1598" s="312">
        <v>144.92592592592592</v>
      </c>
      <c r="AG1598" s="311">
        <v>0.46294380961095682</v>
      </c>
      <c r="AH1598" s="312">
        <v>0</v>
      </c>
      <c r="AI1598" s="311">
        <v>0</v>
      </c>
      <c r="AJ1598" s="312">
        <v>95.6640625</v>
      </c>
      <c r="AK1598" s="311">
        <v>0.3055842855835646</v>
      </c>
      <c r="AL1598" s="312">
        <v>0</v>
      </c>
      <c r="AM1598" s="311">
        <v>0</v>
      </c>
      <c r="AN1598" s="312">
        <v>0</v>
      </c>
      <c r="AO1598" s="311">
        <v>0</v>
      </c>
      <c r="AP1598" s="312">
        <v>0</v>
      </c>
      <c r="AQ1598" s="311">
        <v>0</v>
      </c>
      <c r="AR1598" s="312">
        <v>313.05295138888891</v>
      </c>
      <c r="AS1598" s="311">
        <v>5.1518113348863491E-2</v>
      </c>
      <c r="AT1598" s="307"/>
    </row>
    <row r="1599" spans="1:46">
      <c r="A1599" s="313" t="s">
        <v>306</v>
      </c>
      <c r="B1599" s="312">
        <v>36.094999999999999</v>
      </c>
      <c r="C1599" s="311">
        <v>0.14877779236535746</v>
      </c>
      <c r="D1599" s="312">
        <v>0</v>
      </c>
      <c r="E1599" s="311">
        <v>0</v>
      </c>
      <c r="F1599" s="312">
        <v>0</v>
      </c>
      <c r="G1599" s="311">
        <v>0</v>
      </c>
      <c r="H1599" s="312">
        <v>0</v>
      </c>
      <c r="I1599" s="311">
        <v>0</v>
      </c>
      <c r="J1599" s="312">
        <v>0</v>
      </c>
      <c r="K1599" s="311">
        <v>0</v>
      </c>
      <c r="L1599" s="312">
        <v>0</v>
      </c>
      <c r="M1599" s="311">
        <v>0</v>
      </c>
      <c r="N1599" s="312">
        <v>7.2592592592592595</v>
      </c>
      <c r="O1599" s="311">
        <v>2.9921500673233768E-2</v>
      </c>
      <c r="P1599" s="312">
        <v>0</v>
      </c>
      <c r="Q1599" s="311">
        <v>0</v>
      </c>
      <c r="R1599" s="312">
        <v>0</v>
      </c>
      <c r="S1599" s="311">
        <v>0</v>
      </c>
      <c r="T1599" s="312">
        <v>0</v>
      </c>
      <c r="U1599" s="311">
        <v>0</v>
      </c>
      <c r="V1599" s="312">
        <v>45.485436893203882</v>
      </c>
      <c r="W1599" s="311">
        <v>0.18748366493266819</v>
      </c>
      <c r="X1599" s="312">
        <v>36.094999999999999</v>
      </c>
      <c r="Y1599" s="311">
        <v>0.14877779236535746</v>
      </c>
      <c r="Z1599" s="312">
        <v>36.094999999999999</v>
      </c>
      <c r="AA1599" s="311">
        <v>0.14877779236535746</v>
      </c>
      <c r="AB1599" s="312">
        <v>0</v>
      </c>
      <c r="AC1599" s="311">
        <v>0</v>
      </c>
      <c r="AD1599" s="312">
        <v>0</v>
      </c>
      <c r="AE1599" s="311">
        <v>0</v>
      </c>
      <c r="AF1599" s="312">
        <v>0</v>
      </c>
      <c r="AG1599" s="311">
        <v>0</v>
      </c>
      <c r="AH1599" s="312">
        <v>81.580436893203881</v>
      </c>
      <c r="AI1599" s="311">
        <v>0.33626145729802565</v>
      </c>
      <c r="AJ1599" s="312">
        <v>0</v>
      </c>
      <c r="AK1599" s="311">
        <v>0</v>
      </c>
      <c r="AL1599" s="312">
        <v>0</v>
      </c>
      <c r="AM1599" s="311">
        <v>0</v>
      </c>
      <c r="AN1599" s="312">
        <v>0</v>
      </c>
      <c r="AO1599" s="311">
        <v>0</v>
      </c>
      <c r="AP1599" s="312">
        <v>0</v>
      </c>
      <c r="AQ1599" s="311">
        <v>0</v>
      </c>
      <c r="AR1599" s="312">
        <v>242.61013304566703</v>
      </c>
      <c r="AS1599" s="311">
        <v>3.9925566196955982E-2</v>
      </c>
      <c r="AT1599" s="307"/>
    </row>
    <row r="1600" spans="1:46">
      <c r="A1600" s="313" t="s">
        <v>305</v>
      </c>
      <c r="B1600" s="312">
        <v>0</v>
      </c>
      <c r="C1600" s="311">
        <v>0</v>
      </c>
      <c r="D1600" s="312">
        <v>0</v>
      </c>
      <c r="E1600" s="311">
        <v>0</v>
      </c>
      <c r="F1600" s="312">
        <v>102.22039732494099</v>
      </c>
      <c r="G1600" s="311">
        <v>0.13442058706565563</v>
      </c>
      <c r="H1600" s="312">
        <v>0</v>
      </c>
      <c r="I1600" s="311">
        <v>0</v>
      </c>
      <c r="J1600" s="312">
        <v>0</v>
      </c>
      <c r="K1600" s="311">
        <v>0</v>
      </c>
      <c r="L1600" s="312">
        <v>0</v>
      </c>
      <c r="M1600" s="311">
        <v>0</v>
      </c>
      <c r="N1600" s="312">
        <v>0</v>
      </c>
      <c r="O1600" s="311">
        <v>0</v>
      </c>
      <c r="P1600" s="312">
        <v>45.954268292682926</v>
      </c>
      <c r="Q1600" s="311">
        <v>6.0430206531469757E-2</v>
      </c>
      <c r="R1600" s="312">
        <v>0</v>
      </c>
      <c r="S1600" s="311">
        <v>0</v>
      </c>
      <c r="T1600" s="312">
        <v>0</v>
      </c>
      <c r="U1600" s="311">
        <v>0</v>
      </c>
      <c r="V1600" s="312">
        <v>0</v>
      </c>
      <c r="W1600" s="311">
        <v>0</v>
      </c>
      <c r="X1600" s="312">
        <v>0</v>
      </c>
      <c r="Y1600" s="311">
        <v>0</v>
      </c>
      <c r="Z1600" s="312">
        <v>421.02431207004372</v>
      </c>
      <c r="AA1600" s="311">
        <v>0.55365011953011156</v>
      </c>
      <c r="AB1600" s="312">
        <v>0</v>
      </c>
      <c r="AC1600" s="311">
        <v>0</v>
      </c>
      <c r="AD1600" s="312">
        <v>0</v>
      </c>
      <c r="AE1600" s="311">
        <v>0</v>
      </c>
      <c r="AF1600" s="312">
        <v>99.344434021263282</v>
      </c>
      <c r="AG1600" s="311">
        <v>0.13063867380982333</v>
      </c>
      <c r="AH1600" s="312">
        <v>45.954268292682926</v>
      </c>
      <c r="AI1600" s="311">
        <v>6.0430206531469757E-2</v>
      </c>
      <c r="AJ1600" s="312">
        <v>45.954268292682926</v>
      </c>
      <c r="AK1600" s="311">
        <v>6.0430206531469757E-2</v>
      </c>
      <c r="AL1600" s="312">
        <v>0</v>
      </c>
      <c r="AM1600" s="311">
        <v>0</v>
      </c>
      <c r="AN1600" s="312">
        <v>0</v>
      </c>
      <c r="AO1600" s="311">
        <v>0</v>
      </c>
      <c r="AP1600" s="312">
        <v>0</v>
      </c>
      <c r="AQ1600" s="311">
        <v>0</v>
      </c>
      <c r="AR1600" s="312">
        <v>760.45194829429693</v>
      </c>
      <c r="AS1600" s="311">
        <v>0.1251451215993237</v>
      </c>
      <c r="AT1600" s="307"/>
    </row>
    <row r="1601" spans="1:46" ht="28.5">
      <c r="A1601" s="313" t="s">
        <v>304</v>
      </c>
      <c r="B1601" s="312">
        <v>50.128888888888888</v>
      </c>
      <c r="C1601" s="311">
        <v>2.2445712396425191E-2</v>
      </c>
      <c r="D1601" s="312">
        <v>0</v>
      </c>
      <c r="E1601" s="311">
        <v>0</v>
      </c>
      <c r="F1601" s="312">
        <v>203.03776134646634</v>
      </c>
      <c r="G1601" s="311">
        <v>9.0912192506364023E-2</v>
      </c>
      <c r="H1601" s="312">
        <v>0</v>
      </c>
      <c r="I1601" s="311">
        <v>0</v>
      </c>
      <c r="J1601" s="312">
        <v>0</v>
      </c>
      <c r="K1601" s="311">
        <v>0</v>
      </c>
      <c r="L1601" s="312">
        <v>56.151561046525217</v>
      </c>
      <c r="M1601" s="311">
        <v>2.5142424214791986E-2</v>
      </c>
      <c r="N1601" s="312">
        <v>586.97721348220978</v>
      </c>
      <c r="O1601" s="311">
        <v>0.26282493007733571</v>
      </c>
      <c r="P1601" s="312">
        <v>120.77707248219639</v>
      </c>
      <c r="Q1601" s="311">
        <v>5.4079144643049505E-2</v>
      </c>
      <c r="R1601" s="312">
        <v>0</v>
      </c>
      <c r="S1601" s="311">
        <v>0</v>
      </c>
      <c r="T1601" s="312">
        <v>254.58341116362126</v>
      </c>
      <c r="U1601" s="311">
        <v>0.11399227380733121</v>
      </c>
      <c r="V1601" s="312">
        <v>0</v>
      </c>
      <c r="W1601" s="311">
        <v>0</v>
      </c>
      <c r="X1601" s="312">
        <v>11.057884231536926</v>
      </c>
      <c r="Y1601" s="311">
        <v>4.9512784878233606E-3</v>
      </c>
      <c r="Z1601" s="312">
        <v>619.31672651385099</v>
      </c>
      <c r="AA1601" s="311">
        <v>0.27730527114688525</v>
      </c>
      <c r="AB1601" s="312">
        <v>150.81950571097693</v>
      </c>
      <c r="AC1601" s="311">
        <v>6.7530945209318988E-2</v>
      </c>
      <c r="AD1601" s="312">
        <v>18.057142857142857</v>
      </c>
      <c r="AE1601" s="311">
        <v>8.0852666846647041E-3</v>
      </c>
      <c r="AF1601" s="312">
        <v>50.128888888888888</v>
      </c>
      <c r="AG1601" s="311">
        <v>2.2445712396425191E-2</v>
      </c>
      <c r="AH1601" s="312">
        <v>11.057884231536926</v>
      </c>
      <c r="AI1601" s="311">
        <v>4.9512784878233606E-3</v>
      </c>
      <c r="AJ1601" s="312">
        <v>90.187353629976585</v>
      </c>
      <c r="AK1601" s="311">
        <v>4.0382291453937257E-2</v>
      </c>
      <c r="AL1601" s="312">
        <v>11.057884231536926</v>
      </c>
      <c r="AM1601" s="311">
        <v>4.9512784878233606E-3</v>
      </c>
      <c r="AN1601" s="312">
        <v>0</v>
      </c>
      <c r="AO1601" s="311">
        <v>0</v>
      </c>
      <c r="AP1601" s="312">
        <v>0</v>
      </c>
      <c r="AQ1601" s="311">
        <v>0</v>
      </c>
      <c r="AR1601" s="312">
        <v>2233.339178705357</v>
      </c>
      <c r="AS1601" s="311">
        <v>0.36753341709297804</v>
      </c>
      <c r="AT1601" s="307"/>
    </row>
    <row r="1602" spans="1:46" ht="28.5">
      <c r="A1602" s="313" t="s">
        <v>303</v>
      </c>
      <c r="B1602" s="312">
        <v>37.250602409638553</v>
      </c>
      <c r="C1602" s="311">
        <v>2.1640612752817763E-2</v>
      </c>
      <c r="D1602" s="312">
        <v>46.79545290797742</v>
      </c>
      <c r="E1602" s="311">
        <v>2.7185661693144292E-2</v>
      </c>
      <c r="F1602" s="312">
        <v>378.17930159634307</v>
      </c>
      <c r="G1602" s="311">
        <v>0.21970199909733346</v>
      </c>
      <c r="H1602" s="312">
        <v>0</v>
      </c>
      <c r="I1602" s="311">
        <v>0</v>
      </c>
      <c r="J1602" s="312">
        <v>0</v>
      </c>
      <c r="K1602" s="311">
        <v>0</v>
      </c>
      <c r="L1602" s="312">
        <v>357.47525786772923</v>
      </c>
      <c r="M1602" s="311">
        <v>0.20767405421147023</v>
      </c>
      <c r="N1602" s="312">
        <v>185.66601917954142</v>
      </c>
      <c r="O1602" s="311">
        <v>0.10786205222233017</v>
      </c>
      <c r="P1602" s="312">
        <v>0</v>
      </c>
      <c r="Q1602" s="311">
        <v>0</v>
      </c>
      <c r="R1602" s="312">
        <v>74.501204819277106</v>
      </c>
      <c r="S1602" s="311">
        <v>4.3281225505635526E-2</v>
      </c>
      <c r="T1602" s="312">
        <v>195.30556897437981</v>
      </c>
      <c r="U1602" s="311">
        <v>0.11346211640189965</v>
      </c>
      <c r="V1602" s="312">
        <v>0</v>
      </c>
      <c r="W1602" s="311">
        <v>0</v>
      </c>
      <c r="X1602" s="312">
        <v>0</v>
      </c>
      <c r="Y1602" s="311">
        <v>0</v>
      </c>
      <c r="Z1602" s="312">
        <v>282.04273338583988</v>
      </c>
      <c r="AA1602" s="311">
        <v>0.16385178166594946</v>
      </c>
      <c r="AB1602" s="312">
        <v>9.5448504983388709</v>
      </c>
      <c r="AC1602" s="311">
        <v>5.5450489403265305E-3</v>
      </c>
      <c r="AD1602" s="312">
        <v>4.6022408963585431</v>
      </c>
      <c r="AE1602" s="311">
        <v>2.6736564401843325E-3</v>
      </c>
      <c r="AF1602" s="312">
        <v>37.250602409638553</v>
      </c>
      <c r="AG1602" s="311">
        <v>2.1640612752817763E-2</v>
      </c>
      <c r="AH1602" s="312">
        <v>0</v>
      </c>
      <c r="AI1602" s="311">
        <v>0</v>
      </c>
      <c r="AJ1602" s="312">
        <v>41.852843305997098</v>
      </c>
      <c r="AK1602" s="311">
        <v>2.43142691930021E-2</v>
      </c>
      <c r="AL1602" s="312">
        <v>70.861771877425667</v>
      </c>
      <c r="AM1602" s="311">
        <v>4.1166909123088215E-2</v>
      </c>
      <c r="AN1602" s="312">
        <v>0</v>
      </c>
      <c r="AO1602" s="311">
        <v>0</v>
      </c>
      <c r="AP1602" s="312">
        <v>0</v>
      </c>
      <c r="AQ1602" s="311">
        <v>0</v>
      </c>
      <c r="AR1602" s="312">
        <v>1721.3284501284861</v>
      </c>
      <c r="AS1602" s="311">
        <v>0.28327346479535648</v>
      </c>
      <c r="AT1602" s="307"/>
    </row>
    <row r="1603" spans="1:46" ht="15.75" thickBot="1">
      <c r="A1603" s="310" t="s">
        <v>302</v>
      </c>
      <c r="B1603" s="309">
        <v>0</v>
      </c>
      <c r="C1603" s="308">
        <v>0</v>
      </c>
      <c r="D1603" s="309">
        <v>0</v>
      </c>
      <c r="E1603" s="308">
        <v>0</v>
      </c>
      <c r="F1603" s="309">
        <v>0</v>
      </c>
      <c r="G1603" s="308">
        <v>0</v>
      </c>
      <c r="H1603" s="309">
        <v>0</v>
      </c>
      <c r="I1603" s="308">
        <v>0</v>
      </c>
      <c r="J1603" s="309">
        <v>38.210526315789473</v>
      </c>
      <c r="K1603" s="308">
        <v>0.22388531818331267</v>
      </c>
      <c r="L1603" s="309">
        <v>0</v>
      </c>
      <c r="M1603" s="308">
        <v>0</v>
      </c>
      <c r="N1603" s="309">
        <v>13.647058823529411</v>
      </c>
      <c r="O1603" s="308">
        <v>7.9961633653544167E-2</v>
      </c>
      <c r="P1603" s="309">
        <v>0</v>
      </c>
      <c r="Q1603" s="308">
        <v>0</v>
      </c>
      <c r="R1603" s="309">
        <v>0</v>
      </c>
      <c r="S1603" s="308">
        <v>0</v>
      </c>
      <c r="T1603" s="309">
        <v>0</v>
      </c>
      <c r="U1603" s="308">
        <v>0</v>
      </c>
      <c r="V1603" s="309">
        <v>0</v>
      </c>
      <c r="W1603" s="308">
        <v>0</v>
      </c>
      <c r="X1603" s="309">
        <v>0</v>
      </c>
      <c r="Y1603" s="308">
        <v>0</v>
      </c>
      <c r="Z1603" s="309">
        <v>59.40625</v>
      </c>
      <c r="AA1603" s="308">
        <v>0.34807652408157153</v>
      </c>
      <c r="AB1603" s="309">
        <v>0</v>
      </c>
      <c r="AC1603" s="308">
        <v>0</v>
      </c>
      <c r="AD1603" s="309">
        <v>0</v>
      </c>
      <c r="AE1603" s="308">
        <v>0</v>
      </c>
      <c r="AF1603" s="309">
        <v>59.40625</v>
      </c>
      <c r="AG1603" s="308">
        <v>0.34807652408157153</v>
      </c>
      <c r="AH1603" s="309">
        <v>0</v>
      </c>
      <c r="AI1603" s="308">
        <v>0</v>
      </c>
      <c r="AJ1603" s="309">
        <v>0</v>
      </c>
      <c r="AK1603" s="308">
        <v>0</v>
      </c>
      <c r="AL1603" s="309">
        <v>0</v>
      </c>
      <c r="AM1603" s="308">
        <v>0</v>
      </c>
      <c r="AN1603" s="309">
        <v>0</v>
      </c>
      <c r="AO1603" s="308">
        <v>0</v>
      </c>
      <c r="AP1603" s="309">
        <v>0</v>
      </c>
      <c r="AQ1603" s="308">
        <v>0</v>
      </c>
      <c r="AR1603" s="309">
        <v>170.6700851393189</v>
      </c>
      <c r="AS1603" s="308">
        <v>2.8086624810462296E-2</v>
      </c>
      <c r="AT1603" s="307"/>
    </row>
    <row r="1607" spans="1:46" ht="15.75" thickBot="1"/>
    <row r="1608" spans="1:46" ht="57" customHeight="1">
      <c r="A1608" s="777" t="s">
        <v>310</v>
      </c>
      <c r="B1608" s="890" t="s">
        <v>356</v>
      </c>
      <c r="C1608" s="764"/>
      <c r="D1608" s="764"/>
      <c r="E1608" s="765"/>
      <c r="F1608" s="307"/>
      <c r="H1608" s="348"/>
      <c r="I1608" s="329"/>
      <c r="J1608" s="329"/>
      <c r="K1608" s="329"/>
      <c r="L1608" s="347"/>
      <c r="M1608" s="329"/>
      <c r="N1608" s="329"/>
      <c r="O1608" s="329"/>
      <c r="P1608" s="326"/>
    </row>
    <row r="1609" spans="1:46" ht="43.5" thickBot="1">
      <c r="A1609" s="778"/>
      <c r="B1609" s="346" t="s">
        <v>95</v>
      </c>
      <c r="C1609" s="345" t="s">
        <v>94</v>
      </c>
      <c r="D1609" s="345" t="s">
        <v>93</v>
      </c>
      <c r="E1609" s="344" t="s">
        <v>92</v>
      </c>
      <c r="F1609" s="307"/>
      <c r="H1609" s="329"/>
      <c r="I1609" s="329"/>
      <c r="J1609" s="329"/>
      <c r="K1609" s="329"/>
      <c r="L1609" s="343"/>
      <c r="M1609" s="343"/>
      <c r="N1609" s="343"/>
      <c r="O1609" s="343"/>
      <c r="P1609" s="326"/>
    </row>
    <row r="1610" spans="1:46" ht="15.75" customHeight="1">
      <c r="A1610" s="316" t="s">
        <v>5</v>
      </c>
      <c r="B1610" s="339">
        <v>2162914.6531160325</v>
      </c>
      <c r="C1610" s="338">
        <v>26348.663344066943</v>
      </c>
      <c r="D1610" s="338">
        <v>2200575.3290152214</v>
      </c>
      <c r="E1610" s="337">
        <v>6975.1781198000072</v>
      </c>
      <c r="F1610" s="307"/>
      <c r="H1610" s="336"/>
      <c r="I1610" s="336"/>
      <c r="J1610" s="336"/>
      <c r="K1610" s="328"/>
      <c r="L1610" s="327"/>
      <c r="M1610" s="327"/>
      <c r="N1610" s="327"/>
      <c r="O1610" s="327"/>
      <c r="P1610" s="326"/>
    </row>
    <row r="1611" spans="1:46">
      <c r="A1611" s="313" t="s">
        <v>309</v>
      </c>
      <c r="B1611" s="342">
        <v>511037.07126126933</v>
      </c>
      <c r="C1611" s="341">
        <v>31628.412907975955</v>
      </c>
      <c r="D1611" s="341">
        <v>399609.55031295982</v>
      </c>
      <c r="E1611" s="340">
        <v>159.63088379999999</v>
      </c>
      <c r="F1611" s="307"/>
      <c r="H1611" s="329"/>
      <c r="I1611" s="329"/>
      <c r="J1611" s="329"/>
      <c r="K1611" s="328"/>
      <c r="L1611" s="327"/>
      <c r="M1611" s="327"/>
      <c r="N1611" s="327"/>
      <c r="O1611" s="327"/>
      <c r="P1611" s="326"/>
    </row>
    <row r="1612" spans="1:46">
      <c r="A1612" s="313" t="s">
        <v>308</v>
      </c>
      <c r="B1612" s="342">
        <v>1245124.2738746519</v>
      </c>
      <c r="C1612" s="341">
        <v>36371.485280193847</v>
      </c>
      <c r="D1612" s="341">
        <v>727961.13438970631</v>
      </c>
      <c r="E1612" s="340">
        <v>400.58465899999993</v>
      </c>
      <c r="F1612" s="307"/>
      <c r="H1612" s="329"/>
      <c r="I1612" s="329"/>
      <c r="J1612" s="329"/>
      <c r="K1612" s="328"/>
      <c r="L1612" s="327"/>
      <c r="M1612" s="327"/>
      <c r="N1612" s="327"/>
      <c r="O1612" s="327"/>
      <c r="P1612" s="326"/>
    </row>
    <row r="1613" spans="1:46">
      <c r="A1613" s="313" t="s">
        <v>307</v>
      </c>
      <c r="B1613" s="342">
        <v>1829571.4516312005</v>
      </c>
      <c r="C1613" s="341">
        <v>172504.17163283532</v>
      </c>
      <c r="D1613" s="341">
        <v>1380382.1324288277</v>
      </c>
      <c r="E1613" s="340">
        <v>64.032352000000003</v>
      </c>
      <c r="F1613" s="307"/>
      <c r="H1613" s="329"/>
      <c r="I1613" s="329"/>
      <c r="J1613" s="329"/>
      <c r="K1613" s="328"/>
      <c r="L1613" s="327"/>
      <c r="M1613" s="327"/>
      <c r="N1613" s="327"/>
      <c r="O1613" s="327"/>
      <c r="P1613" s="326"/>
    </row>
    <row r="1614" spans="1:46">
      <c r="A1614" s="313" t="s">
        <v>306</v>
      </c>
      <c r="B1614" s="342">
        <v>1723295.9429195228</v>
      </c>
      <c r="C1614" s="341">
        <v>58765.342611323256</v>
      </c>
      <c r="D1614" s="341">
        <v>1035255.0723706535</v>
      </c>
      <c r="E1614" s="340">
        <v>310.35031399999997</v>
      </c>
      <c r="F1614" s="307"/>
      <c r="H1614" s="329"/>
      <c r="I1614" s="329"/>
      <c r="J1614" s="329"/>
      <c r="K1614" s="328"/>
      <c r="L1614" s="327"/>
      <c r="M1614" s="327"/>
      <c r="N1614" s="327"/>
      <c r="O1614" s="327"/>
      <c r="P1614" s="326"/>
    </row>
    <row r="1615" spans="1:46">
      <c r="A1615" s="313" t="s">
        <v>305</v>
      </c>
      <c r="B1615" s="342">
        <v>2394738.7919684802</v>
      </c>
      <c r="C1615" s="341">
        <v>105717.18301182616</v>
      </c>
      <c r="D1615" s="341">
        <v>2836389.3112770673</v>
      </c>
      <c r="E1615" s="340">
        <v>719.84752499999991</v>
      </c>
      <c r="F1615" s="307"/>
      <c r="H1615" s="329"/>
      <c r="I1615" s="329"/>
      <c r="J1615" s="329"/>
      <c r="K1615" s="328"/>
      <c r="L1615" s="327"/>
      <c r="M1615" s="327"/>
      <c r="N1615" s="327"/>
      <c r="O1615" s="327"/>
      <c r="P1615" s="326"/>
    </row>
    <row r="1616" spans="1:46" ht="28.5">
      <c r="A1616" s="313" t="s">
        <v>304</v>
      </c>
      <c r="B1616" s="342">
        <v>2186256.0655866731</v>
      </c>
      <c r="C1616" s="341">
        <v>41105.885447382505</v>
      </c>
      <c r="D1616" s="341">
        <v>2471814.3615495469</v>
      </c>
      <c r="E1616" s="340">
        <v>3615.9605789999991</v>
      </c>
      <c r="F1616" s="307"/>
      <c r="H1616" s="329"/>
      <c r="I1616" s="329"/>
      <c r="J1616" s="329"/>
      <c r="K1616" s="328"/>
      <c r="L1616" s="327"/>
      <c r="M1616" s="327"/>
      <c r="N1616" s="327"/>
      <c r="O1616" s="327"/>
      <c r="P1616" s="326"/>
    </row>
    <row r="1617" spans="1:16" ht="28.5">
      <c r="A1617" s="313" t="s">
        <v>303</v>
      </c>
      <c r="B1617" s="342">
        <v>2443811.0667515681</v>
      </c>
      <c r="C1617" s="341">
        <v>39697.197312897304</v>
      </c>
      <c r="D1617" s="341">
        <v>1544677.6486925376</v>
      </c>
      <c r="E1617" s="340">
        <v>1514.1051370000005</v>
      </c>
      <c r="F1617" s="307"/>
      <c r="H1617" s="329"/>
      <c r="I1617" s="329"/>
      <c r="J1617" s="329"/>
      <c r="K1617" s="328"/>
      <c r="L1617" s="327"/>
      <c r="M1617" s="327"/>
      <c r="N1617" s="327"/>
      <c r="O1617" s="327"/>
      <c r="P1617" s="326"/>
    </row>
    <row r="1618" spans="1:16" ht="15.75" thickBot="1">
      <c r="A1618" s="313" t="s">
        <v>302</v>
      </c>
      <c r="B1618" s="342">
        <v>2753146.8924275017</v>
      </c>
      <c r="C1618" s="341">
        <v>121840.82228652506</v>
      </c>
      <c r="D1618" s="341">
        <v>1682403.6898054546</v>
      </c>
      <c r="E1618" s="340">
        <v>190.66667000000001</v>
      </c>
      <c r="F1618" s="307"/>
      <c r="H1618" s="329"/>
      <c r="I1618" s="329"/>
      <c r="J1618" s="329"/>
      <c r="K1618" s="328"/>
      <c r="L1618" s="327"/>
      <c r="M1618" s="327"/>
      <c r="N1618" s="327"/>
      <c r="O1618" s="327"/>
      <c r="P1618" s="326"/>
    </row>
    <row r="1619" spans="1:16" ht="15" customHeight="1">
      <c r="A1619" s="316" t="s">
        <v>4</v>
      </c>
      <c r="B1619" s="339">
        <v>3453309.5443799617</v>
      </c>
      <c r="C1619" s="338">
        <v>54924.84681477306</v>
      </c>
      <c r="D1619" s="338">
        <v>4615158.7355761966</v>
      </c>
      <c r="E1619" s="337">
        <v>7060.5019471108635</v>
      </c>
      <c r="F1619" s="307"/>
      <c r="H1619" s="329"/>
      <c r="I1619" s="336"/>
      <c r="J1619" s="336"/>
      <c r="K1619" s="328"/>
      <c r="L1619" s="327"/>
      <c r="M1619" s="327"/>
      <c r="N1619" s="327"/>
      <c r="O1619" s="327"/>
      <c r="P1619" s="326"/>
    </row>
    <row r="1620" spans="1:16">
      <c r="A1620" s="313" t="s">
        <v>309</v>
      </c>
      <c r="B1620" s="335">
        <v>2556333.0829079128</v>
      </c>
      <c r="C1620" s="334">
        <v>74805.148242318552</v>
      </c>
      <c r="D1620" s="334">
        <v>1470021.6955547568</v>
      </c>
      <c r="E1620" s="333">
        <v>386.17531810294975</v>
      </c>
      <c r="F1620" s="307"/>
      <c r="H1620" s="329"/>
      <c r="I1620" s="329"/>
      <c r="J1620" s="329"/>
      <c r="K1620" s="328"/>
      <c r="L1620" s="327"/>
      <c r="M1620" s="327"/>
      <c r="N1620" s="327"/>
      <c r="O1620" s="327"/>
      <c r="P1620" s="326"/>
    </row>
    <row r="1621" spans="1:16">
      <c r="A1621" s="313" t="s">
        <v>308</v>
      </c>
      <c r="B1621" s="335">
        <v>2648947.9038352403</v>
      </c>
      <c r="C1621" s="334">
        <v>66658.00830732871</v>
      </c>
      <c r="D1621" s="334">
        <v>1838753.9427971826</v>
      </c>
      <c r="E1621" s="333">
        <v>760.92625233690148</v>
      </c>
      <c r="F1621" s="307"/>
      <c r="H1621" s="329"/>
      <c r="I1621" s="329"/>
      <c r="J1621" s="329"/>
      <c r="K1621" s="328"/>
      <c r="L1621" s="327"/>
      <c r="M1621" s="327"/>
      <c r="N1621" s="327"/>
      <c r="O1621" s="327"/>
      <c r="P1621" s="326"/>
    </row>
    <row r="1622" spans="1:16">
      <c r="A1622" s="313" t="s">
        <v>307</v>
      </c>
      <c r="B1622" s="335">
        <v>1317788.402135862</v>
      </c>
      <c r="C1622" s="334">
        <v>34251.758833195861</v>
      </c>
      <c r="D1622" s="334">
        <v>590172.04335095687</v>
      </c>
      <c r="E1622" s="333">
        <v>296.88722539486548</v>
      </c>
      <c r="F1622" s="307"/>
      <c r="H1622" s="329"/>
      <c r="I1622" s="329"/>
      <c r="J1622" s="329"/>
      <c r="K1622" s="328"/>
      <c r="L1622" s="327"/>
      <c r="M1622" s="327"/>
      <c r="N1622" s="327"/>
      <c r="O1622" s="327"/>
      <c r="P1622" s="326"/>
    </row>
    <row r="1623" spans="1:16">
      <c r="A1623" s="313" t="s">
        <v>306</v>
      </c>
      <c r="B1623" s="335">
        <v>2788962.417987965</v>
      </c>
      <c r="C1623" s="334">
        <v>62942.395981651076</v>
      </c>
      <c r="D1623" s="334">
        <v>1310609.6417757615</v>
      </c>
      <c r="E1623" s="333">
        <v>433.57094947735192</v>
      </c>
      <c r="F1623" s="307"/>
      <c r="H1623" s="329"/>
      <c r="I1623" s="329"/>
      <c r="J1623" s="329"/>
      <c r="K1623" s="328"/>
      <c r="L1623" s="327"/>
      <c r="M1623" s="327"/>
      <c r="N1623" s="327"/>
      <c r="O1623" s="327"/>
      <c r="P1623" s="326"/>
    </row>
    <row r="1624" spans="1:16">
      <c r="A1624" s="313" t="s">
        <v>305</v>
      </c>
      <c r="B1624" s="335">
        <v>2689668.311843439</v>
      </c>
      <c r="C1624" s="334">
        <v>62675.159119483564</v>
      </c>
      <c r="D1624" s="334">
        <v>1827646.7439983997</v>
      </c>
      <c r="E1624" s="333">
        <v>850.34198720731638</v>
      </c>
      <c r="F1624" s="307"/>
      <c r="H1624" s="329"/>
      <c r="I1624" s="329"/>
      <c r="J1624" s="329"/>
      <c r="K1624" s="328"/>
      <c r="L1624" s="327"/>
      <c r="M1624" s="327"/>
      <c r="N1624" s="327"/>
      <c r="O1624" s="327"/>
      <c r="P1624" s="326"/>
    </row>
    <row r="1625" spans="1:16" ht="28.5">
      <c r="A1625" s="313" t="s">
        <v>304</v>
      </c>
      <c r="B1625" s="335">
        <v>4476883.5375586469</v>
      </c>
      <c r="C1625" s="334">
        <v>140170.46820879731</v>
      </c>
      <c r="D1625" s="334">
        <v>7033358.1883909078</v>
      </c>
      <c r="E1625" s="333">
        <v>2517.7489448527313</v>
      </c>
      <c r="F1625" s="307"/>
      <c r="H1625" s="329"/>
      <c r="I1625" s="329"/>
      <c r="J1625" s="329"/>
      <c r="K1625" s="328"/>
      <c r="L1625" s="327"/>
      <c r="M1625" s="327"/>
      <c r="N1625" s="327"/>
      <c r="O1625" s="327"/>
      <c r="P1625" s="326"/>
    </row>
    <row r="1626" spans="1:16" ht="28.5">
      <c r="A1626" s="313" t="s">
        <v>303</v>
      </c>
      <c r="B1626" s="335">
        <v>3338648.4519826816</v>
      </c>
      <c r="C1626" s="334">
        <v>60676.522303817685</v>
      </c>
      <c r="D1626" s="334">
        <v>2433781.7445993163</v>
      </c>
      <c r="E1626" s="333">
        <v>1608.8734919609813</v>
      </c>
      <c r="F1626" s="307"/>
      <c r="H1626" s="329"/>
      <c r="I1626" s="329"/>
      <c r="J1626" s="329"/>
      <c r="K1626" s="328"/>
      <c r="L1626" s="327"/>
      <c r="M1626" s="327"/>
      <c r="N1626" s="327"/>
      <c r="O1626" s="327"/>
      <c r="P1626" s="326"/>
    </row>
    <row r="1627" spans="1:16" ht="15.75" thickBot="1">
      <c r="A1627" s="313" t="s">
        <v>302</v>
      </c>
      <c r="B1627" s="335">
        <v>4119544.8807854136</v>
      </c>
      <c r="C1627" s="334">
        <v>294547.26787218952</v>
      </c>
      <c r="D1627" s="334">
        <v>4227320.5701292204</v>
      </c>
      <c r="E1627" s="333">
        <v>205.97777777777779</v>
      </c>
      <c r="F1627" s="307"/>
      <c r="H1627" s="329"/>
      <c r="I1627" s="329"/>
      <c r="J1627" s="329"/>
      <c r="K1627" s="328"/>
      <c r="L1627" s="327"/>
      <c r="M1627" s="327"/>
      <c r="N1627" s="327"/>
      <c r="O1627" s="327"/>
      <c r="P1627" s="326"/>
    </row>
    <row r="1628" spans="1:16" ht="15.75" customHeight="1">
      <c r="A1628" s="316" t="s">
        <v>3</v>
      </c>
      <c r="B1628" s="339">
        <v>4016830.8903104849</v>
      </c>
      <c r="C1628" s="338">
        <v>54990.67675716833</v>
      </c>
      <c r="D1628" s="338">
        <v>4286649.657430077</v>
      </c>
      <c r="E1628" s="337">
        <v>6076.5608645060165</v>
      </c>
      <c r="F1628" s="307"/>
      <c r="H1628" s="329"/>
      <c r="I1628" s="336"/>
      <c r="J1628" s="336"/>
      <c r="K1628" s="328"/>
      <c r="L1628" s="327"/>
      <c r="M1628" s="327"/>
      <c r="N1628" s="327"/>
      <c r="O1628" s="327"/>
      <c r="P1628" s="326"/>
    </row>
    <row r="1629" spans="1:16">
      <c r="A1629" s="313" t="s">
        <v>309</v>
      </c>
      <c r="B1629" s="335">
        <v>2064609.7868075802</v>
      </c>
      <c r="C1629" s="334">
        <v>98497.572416120238</v>
      </c>
      <c r="D1629" s="334">
        <v>932731.97962611902</v>
      </c>
      <c r="E1629" s="333">
        <v>89.673202614379079</v>
      </c>
      <c r="F1629" s="307"/>
      <c r="H1629" s="329"/>
      <c r="I1629" s="329"/>
      <c r="J1629" s="329"/>
      <c r="K1629" s="328"/>
      <c r="L1629" s="327"/>
      <c r="M1629" s="327"/>
      <c r="N1629" s="327"/>
      <c r="O1629" s="327"/>
      <c r="P1629" s="326"/>
    </row>
    <row r="1630" spans="1:16">
      <c r="A1630" s="313" t="s">
        <v>308</v>
      </c>
      <c r="B1630" s="335">
        <v>2733976.3665900626</v>
      </c>
      <c r="C1630" s="334">
        <v>81032.723302790997</v>
      </c>
      <c r="D1630" s="334">
        <v>1892482.6309860246</v>
      </c>
      <c r="E1630" s="333">
        <v>545.43491518963185</v>
      </c>
      <c r="F1630" s="307"/>
      <c r="H1630" s="329"/>
      <c r="I1630" s="329"/>
      <c r="J1630" s="329"/>
      <c r="K1630" s="328"/>
      <c r="L1630" s="327"/>
      <c r="M1630" s="327"/>
      <c r="N1630" s="327"/>
      <c r="O1630" s="327"/>
      <c r="P1630" s="326"/>
    </row>
    <row r="1631" spans="1:16">
      <c r="A1631" s="313" t="s">
        <v>307</v>
      </c>
      <c r="B1631" s="335">
        <v>2027817.9998169905</v>
      </c>
      <c r="C1631" s="334">
        <v>45221.027872803214</v>
      </c>
      <c r="D1631" s="334">
        <v>800109.32299999369</v>
      </c>
      <c r="E1631" s="333">
        <v>313.05295138888891</v>
      </c>
      <c r="F1631" s="307"/>
      <c r="H1631" s="329"/>
      <c r="I1631" s="329"/>
      <c r="J1631" s="329"/>
      <c r="K1631" s="328"/>
      <c r="L1631" s="327"/>
      <c r="M1631" s="327"/>
      <c r="N1631" s="327"/>
      <c r="O1631" s="327"/>
      <c r="P1631" s="326"/>
    </row>
    <row r="1632" spans="1:16">
      <c r="A1632" s="313" t="s">
        <v>306</v>
      </c>
      <c r="B1632" s="335">
        <v>4181501.8587420895</v>
      </c>
      <c r="C1632" s="334">
        <v>183613.83029609319</v>
      </c>
      <c r="D1632" s="334">
        <v>2859959.3368947976</v>
      </c>
      <c r="E1632" s="333">
        <v>242.61013304566703</v>
      </c>
      <c r="F1632" s="307"/>
      <c r="H1632" s="329"/>
      <c r="I1632" s="329"/>
      <c r="J1632" s="329"/>
      <c r="K1632" s="328"/>
      <c r="L1632" s="327"/>
      <c r="M1632" s="327"/>
      <c r="N1632" s="327"/>
      <c r="O1632" s="327"/>
      <c r="P1632" s="326"/>
    </row>
    <row r="1633" spans="1:16">
      <c r="A1633" s="313" t="s">
        <v>305</v>
      </c>
      <c r="B1633" s="335">
        <v>4222892.1014735112</v>
      </c>
      <c r="C1633" s="334">
        <v>82248.769338048893</v>
      </c>
      <c r="D1633" s="334">
        <v>2268116.1810538089</v>
      </c>
      <c r="E1633" s="333">
        <v>760.45194829429693</v>
      </c>
      <c r="F1633" s="307"/>
      <c r="H1633" s="329"/>
      <c r="I1633" s="329"/>
      <c r="J1633" s="329"/>
      <c r="K1633" s="328"/>
      <c r="L1633" s="327"/>
      <c r="M1633" s="327"/>
      <c r="N1633" s="327"/>
      <c r="O1633" s="327"/>
      <c r="P1633" s="326"/>
    </row>
    <row r="1634" spans="1:16" ht="28.5">
      <c r="A1634" s="313" t="s">
        <v>304</v>
      </c>
      <c r="B1634" s="335">
        <v>3565269.9663815629</v>
      </c>
      <c r="C1634" s="334">
        <v>64126.127241292714</v>
      </c>
      <c r="D1634" s="334">
        <v>3030486.507564629</v>
      </c>
      <c r="E1634" s="333">
        <v>2233.339178705357</v>
      </c>
      <c r="F1634" s="307"/>
      <c r="H1634" s="329"/>
      <c r="I1634" s="329"/>
      <c r="J1634" s="329"/>
      <c r="K1634" s="328"/>
      <c r="L1634" s="327"/>
      <c r="M1634" s="327"/>
      <c r="N1634" s="327"/>
      <c r="O1634" s="327"/>
      <c r="P1634" s="326"/>
    </row>
    <row r="1635" spans="1:16" ht="28.5">
      <c r="A1635" s="313" t="s">
        <v>303</v>
      </c>
      <c r="B1635" s="335">
        <v>5409460.623232387</v>
      </c>
      <c r="C1635" s="334">
        <v>159684.13698960963</v>
      </c>
      <c r="D1635" s="334">
        <v>6625118.4731826531</v>
      </c>
      <c r="E1635" s="333">
        <v>1721.3284501284861</v>
      </c>
      <c r="F1635" s="307"/>
      <c r="H1635" s="329"/>
      <c r="I1635" s="329"/>
      <c r="J1635" s="329"/>
      <c r="K1635" s="328"/>
      <c r="L1635" s="327"/>
      <c r="M1635" s="327"/>
      <c r="N1635" s="327"/>
      <c r="O1635" s="327"/>
      <c r="P1635" s="326"/>
    </row>
    <row r="1636" spans="1:16" ht="15.75" thickBot="1">
      <c r="A1636" s="310" t="s">
        <v>302</v>
      </c>
      <c r="B1636" s="332">
        <v>3501842.8703106381</v>
      </c>
      <c r="C1636" s="331">
        <v>200534.52746277989</v>
      </c>
      <c r="D1636" s="331">
        <v>2619798.3335355106</v>
      </c>
      <c r="E1636" s="330">
        <v>170.6700851393189</v>
      </c>
      <c r="F1636" s="307"/>
      <c r="H1636" s="329"/>
      <c r="I1636" s="329"/>
      <c r="J1636" s="329"/>
      <c r="K1636" s="328"/>
      <c r="L1636" s="327"/>
      <c r="M1636" s="327"/>
      <c r="N1636" s="327"/>
      <c r="O1636" s="327"/>
      <c r="P1636" s="326"/>
    </row>
    <row r="1641" spans="1:16" ht="15.75" thickBot="1"/>
    <row r="1642" spans="1:16" ht="32.25" customHeight="1">
      <c r="A1642" s="752" t="s">
        <v>310</v>
      </c>
      <c r="B1642" s="755" t="s">
        <v>357</v>
      </c>
      <c r="C1642" s="756"/>
      <c r="D1642" s="756"/>
      <c r="E1642" s="756"/>
      <c r="F1642" s="756"/>
      <c r="G1642" s="757"/>
      <c r="H1642" s="307"/>
    </row>
    <row r="1643" spans="1:16" ht="15" customHeight="1">
      <c r="A1643" s="753"/>
      <c r="B1643" s="767" t="s">
        <v>27</v>
      </c>
      <c r="C1643" s="759"/>
      <c r="D1643" s="768" t="s">
        <v>26</v>
      </c>
      <c r="E1643" s="759"/>
      <c r="F1643" s="769" t="s">
        <v>9</v>
      </c>
      <c r="G1643" s="762"/>
      <c r="H1643" s="307"/>
    </row>
    <row r="1644" spans="1:16" ht="15.75" customHeight="1" thickBot="1">
      <c r="A1644" s="754"/>
      <c r="B1644" s="324" t="s">
        <v>7</v>
      </c>
      <c r="C1644" s="318" t="s">
        <v>8</v>
      </c>
      <c r="D1644" s="318" t="s">
        <v>7</v>
      </c>
      <c r="E1644" s="318" t="s">
        <v>8</v>
      </c>
      <c r="F1644" s="324" t="s">
        <v>7</v>
      </c>
      <c r="G1644" s="317" t="s">
        <v>6</v>
      </c>
      <c r="H1644" s="307"/>
    </row>
    <row r="1645" spans="1:16" ht="15.75" customHeight="1">
      <c r="A1645" s="325" t="s">
        <v>5</v>
      </c>
      <c r="B1645" s="315">
        <v>58885.168554099822</v>
      </c>
      <c r="C1645" s="314">
        <v>0.29424461319533085</v>
      </c>
      <c r="D1645" s="315">
        <v>141238.0143807999</v>
      </c>
      <c r="E1645" s="314">
        <v>0.70575538680463823</v>
      </c>
      <c r="F1645" s="315">
        <v>200123.1829349059</v>
      </c>
      <c r="G1645" s="314">
        <v>1</v>
      </c>
      <c r="H1645" s="307"/>
    </row>
    <row r="1646" spans="1:16">
      <c r="A1646" s="313" t="s">
        <v>309</v>
      </c>
      <c r="B1646" s="312">
        <v>1047.0739896000002</v>
      </c>
      <c r="C1646" s="311">
        <v>0.26559090841929789</v>
      </c>
      <c r="D1646" s="312">
        <v>2895.3576087999991</v>
      </c>
      <c r="E1646" s="311">
        <v>0.73440909158070222</v>
      </c>
      <c r="F1646" s="312">
        <v>3942.4315983999991</v>
      </c>
      <c r="G1646" s="311">
        <v>1.9700024457847819E-2</v>
      </c>
      <c r="H1646" s="307"/>
    </row>
    <row r="1647" spans="1:16">
      <c r="A1647" s="313" t="s">
        <v>308</v>
      </c>
      <c r="B1647" s="312">
        <v>2275.262635</v>
      </c>
      <c r="C1647" s="311">
        <v>0.27682730687852763</v>
      </c>
      <c r="D1647" s="312">
        <v>5943.8059990000038</v>
      </c>
      <c r="E1647" s="311">
        <v>0.72317269312147237</v>
      </c>
      <c r="F1647" s="312">
        <v>8219.0686340000047</v>
      </c>
      <c r="G1647" s="311">
        <v>4.1070047525045721E-2</v>
      </c>
      <c r="H1647" s="307"/>
    </row>
    <row r="1648" spans="1:16">
      <c r="A1648" s="313" t="s">
        <v>307</v>
      </c>
      <c r="B1648" s="312">
        <v>2150.3673479999998</v>
      </c>
      <c r="C1648" s="311">
        <v>0.14009230696793126</v>
      </c>
      <c r="D1648" s="312">
        <v>13199.27885699999</v>
      </c>
      <c r="E1648" s="311">
        <v>0.85990769303206871</v>
      </c>
      <c r="F1648" s="312">
        <v>15349.64620499999</v>
      </c>
      <c r="G1648" s="311">
        <v>7.6700989759855925E-2</v>
      </c>
      <c r="H1648" s="307"/>
    </row>
    <row r="1649" spans="1:8">
      <c r="A1649" s="313" t="s">
        <v>306</v>
      </c>
      <c r="B1649" s="312">
        <v>2360.1582945000005</v>
      </c>
      <c r="C1649" s="311">
        <v>0.13753143021762948</v>
      </c>
      <c r="D1649" s="312">
        <v>14800.706612999991</v>
      </c>
      <c r="E1649" s="311">
        <v>0.86246856978237085</v>
      </c>
      <c r="F1649" s="312">
        <v>17160.864907499985</v>
      </c>
      <c r="G1649" s="311">
        <v>8.575150892479011E-2</v>
      </c>
      <c r="H1649" s="307"/>
    </row>
    <row r="1650" spans="1:8">
      <c r="A1650" s="313" t="s">
        <v>305</v>
      </c>
      <c r="B1650" s="312">
        <v>8418.2551000000058</v>
      </c>
      <c r="C1650" s="311">
        <v>0.32001823283793257</v>
      </c>
      <c r="D1650" s="312">
        <v>17887.293259999977</v>
      </c>
      <c r="E1650" s="311">
        <v>0.67998176716206316</v>
      </c>
      <c r="F1650" s="312">
        <v>26305.548360000095</v>
      </c>
      <c r="G1650" s="311">
        <v>0.13144678179817132</v>
      </c>
      <c r="H1650" s="307"/>
    </row>
    <row r="1651" spans="1:8" ht="28.5">
      <c r="A1651" s="313" t="s">
        <v>304</v>
      </c>
      <c r="B1651" s="312">
        <v>22146.701078999991</v>
      </c>
      <c r="C1651" s="311">
        <v>0.29734844297648566</v>
      </c>
      <c r="D1651" s="312">
        <v>52333.934693999297</v>
      </c>
      <c r="E1651" s="311">
        <v>0.70265155702351823</v>
      </c>
      <c r="F1651" s="312">
        <v>74480.635772998998</v>
      </c>
      <c r="G1651" s="311">
        <v>0.37217395146680893</v>
      </c>
      <c r="H1651" s="307"/>
    </row>
    <row r="1652" spans="1:8" ht="28.5">
      <c r="A1652" s="313" t="s">
        <v>303</v>
      </c>
      <c r="B1652" s="312">
        <v>20019.066770000096</v>
      </c>
      <c r="C1652" s="311">
        <v>0.38757298531698509</v>
      </c>
      <c r="D1652" s="312">
        <v>31633.312339000026</v>
      </c>
      <c r="E1652" s="311">
        <v>0.61242701468300265</v>
      </c>
      <c r="F1652" s="312">
        <v>51652.379109000751</v>
      </c>
      <c r="G1652" s="311">
        <v>0.25810292616523961</v>
      </c>
      <c r="H1652" s="307"/>
    </row>
    <row r="1653" spans="1:8" ht="15.75" thickBot="1">
      <c r="A1653" s="313" t="s">
        <v>302</v>
      </c>
      <c r="B1653" s="312">
        <v>468.28333799999996</v>
      </c>
      <c r="C1653" s="311">
        <v>0.15544116058460847</v>
      </c>
      <c r="D1653" s="312">
        <v>2544.3250099999996</v>
      </c>
      <c r="E1653" s="311">
        <v>0.84455883941539156</v>
      </c>
      <c r="F1653" s="312">
        <v>3012.6083479999993</v>
      </c>
      <c r="G1653" s="311">
        <v>1.5053769902210235E-2</v>
      </c>
      <c r="H1653" s="307"/>
    </row>
    <row r="1654" spans="1:8" ht="15" customHeight="1">
      <c r="A1654" s="316" t="s">
        <v>4</v>
      </c>
      <c r="B1654" s="315">
        <v>45768.928696817529</v>
      </c>
      <c r="C1654" s="314">
        <v>0.24474972964632605</v>
      </c>
      <c r="D1654" s="315">
        <v>141234.05088953604</v>
      </c>
      <c r="E1654" s="314">
        <v>0.75525027035367254</v>
      </c>
      <c r="F1654" s="315">
        <v>187002.97958635382</v>
      </c>
      <c r="G1654" s="314">
        <v>1</v>
      </c>
      <c r="H1654" s="307"/>
    </row>
    <row r="1655" spans="1:8">
      <c r="A1655" s="313" t="s">
        <v>309</v>
      </c>
      <c r="B1655" s="312">
        <v>1278.5117842683633</v>
      </c>
      <c r="C1655" s="311">
        <v>0.21952589271866552</v>
      </c>
      <c r="D1655" s="312">
        <v>4545.4562608444212</v>
      </c>
      <c r="E1655" s="311">
        <v>0.78047410728133604</v>
      </c>
      <c r="F1655" s="312">
        <v>5823.9680451127761</v>
      </c>
      <c r="G1655" s="311">
        <v>3.1143717912919124E-2</v>
      </c>
      <c r="H1655" s="307"/>
    </row>
    <row r="1656" spans="1:8">
      <c r="A1656" s="313" t="s">
        <v>308</v>
      </c>
      <c r="B1656" s="312">
        <v>1869.8651042382976</v>
      </c>
      <c r="C1656" s="311">
        <v>0.22947431124283596</v>
      </c>
      <c r="D1656" s="312">
        <v>6278.6073505261766</v>
      </c>
      <c r="E1656" s="311">
        <v>0.77052568875716465</v>
      </c>
      <c r="F1656" s="312">
        <v>8148.4724547644701</v>
      </c>
      <c r="G1656" s="311">
        <v>4.3574024717620535E-2</v>
      </c>
      <c r="H1656" s="307"/>
    </row>
    <row r="1657" spans="1:8">
      <c r="A1657" s="313" t="s">
        <v>307</v>
      </c>
      <c r="B1657" s="312">
        <v>4497.7727529968643</v>
      </c>
      <c r="C1657" s="311">
        <v>0.27640733420666203</v>
      </c>
      <c r="D1657" s="312">
        <v>11774.48994186347</v>
      </c>
      <c r="E1657" s="311">
        <v>0.72359266579333692</v>
      </c>
      <c r="F1657" s="312">
        <v>16272.262694860352</v>
      </c>
      <c r="G1657" s="311">
        <v>8.701606108551968E-2</v>
      </c>
      <c r="H1657" s="307"/>
    </row>
    <row r="1658" spans="1:8">
      <c r="A1658" s="313" t="s">
        <v>306</v>
      </c>
      <c r="B1658" s="312">
        <v>3688.5349580297766</v>
      </c>
      <c r="C1658" s="311">
        <v>0.21800477392733281</v>
      </c>
      <c r="D1658" s="312">
        <v>13230.979654339561</v>
      </c>
      <c r="E1658" s="311">
        <v>0.78199522607266847</v>
      </c>
      <c r="F1658" s="312">
        <v>16919.514612369316</v>
      </c>
      <c r="G1658" s="311">
        <v>9.0477246136905845E-2</v>
      </c>
      <c r="H1658" s="307"/>
    </row>
    <row r="1659" spans="1:8">
      <c r="A1659" s="313" t="s">
        <v>305</v>
      </c>
      <c r="B1659" s="312">
        <v>5964.0141520315874</v>
      </c>
      <c r="C1659" s="311">
        <v>0.25601348564953641</v>
      </c>
      <c r="D1659" s="312">
        <v>17331.688950873904</v>
      </c>
      <c r="E1659" s="311">
        <v>0.74398651435045837</v>
      </c>
      <c r="F1659" s="312">
        <v>23295.703102905612</v>
      </c>
      <c r="G1659" s="311">
        <v>0.12457396750808547</v>
      </c>
      <c r="H1659" s="307"/>
    </row>
    <row r="1660" spans="1:8" ht="28.5">
      <c r="A1660" s="313" t="s">
        <v>304</v>
      </c>
      <c r="B1660" s="312">
        <v>13539.771449475094</v>
      </c>
      <c r="C1660" s="311">
        <v>0.21062649180376508</v>
      </c>
      <c r="D1660" s="312">
        <v>50743.554610428961</v>
      </c>
      <c r="E1660" s="311">
        <v>0.78937350819623819</v>
      </c>
      <c r="F1660" s="312">
        <v>64283.326059903848</v>
      </c>
      <c r="G1660" s="311">
        <v>0.34375562465420095</v>
      </c>
      <c r="H1660" s="307"/>
    </row>
    <row r="1661" spans="1:8" ht="28.5">
      <c r="A1661" s="313" t="s">
        <v>303</v>
      </c>
      <c r="B1661" s="312">
        <v>13699.559190221864</v>
      </c>
      <c r="C1661" s="311">
        <v>0.27782458159783241</v>
      </c>
      <c r="D1661" s="312">
        <v>35610.545450024823</v>
      </c>
      <c r="E1661" s="311">
        <v>0.72217541840216792</v>
      </c>
      <c r="F1661" s="312">
        <v>49310.104640246667</v>
      </c>
      <c r="G1661" s="311">
        <v>0.26368619767085777</v>
      </c>
      <c r="H1661" s="307"/>
    </row>
    <row r="1662" spans="1:8" ht="15.75" thickBot="1">
      <c r="A1662" s="313" t="s">
        <v>302</v>
      </c>
      <c r="B1662" s="312">
        <v>1230.8993055555557</v>
      </c>
      <c r="C1662" s="311">
        <v>0.41730662832446258</v>
      </c>
      <c r="D1662" s="312">
        <v>1718.7286706349207</v>
      </c>
      <c r="E1662" s="311">
        <v>0.5826933716755377</v>
      </c>
      <c r="F1662" s="312">
        <v>2949.6279761904757</v>
      </c>
      <c r="G1662" s="311">
        <v>1.5773160313889024E-2</v>
      </c>
      <c r="H1662" s="307"/>
    </row>
    <row r="1663" spans="1:8" ht="15.75" customHeight="1">
      <c r="A1663" s="316" t="s">
        <v>3</v>
      </c>
      <c r="B1663" s="315">
        <v>27841.484239351172</v>
      </c>
      <c r="C1663" s="314">
        <v>0.21281447119122476</v>
      </c>
      <c r="D1663" s="315">
        <v>102983.6616424547</v>
      </c>
      <c r="E1663" s="314">
        <v>0.78718552880878179</v>
      </c>
      <c r="F1663" s="315">
        <v>130825.14588180502</v>
      </c>
      <c r="G1663" s="314">
        <v>1</v>
      </c>
      <c r="H1663" s="307"/>
    </row>
    <row r="1664" spans="1:8">
      <c r="A1664" s="313" t="s">
        <v>309</v>
      </c>
      <c r="B1664" s="312">
        <v>304.09792038027337</v>
      </c>
      <c r="C1664" s="311">
        <v>0.12617687544558484</v>
      </c>
      <c r="D1664" s="312">
        <v>2105.9944147355936</v>
      </c>
      <c r="E1664" s="311">
        <v>0.87382312455441546</v>
      </c>
      <c r="F1664" s="312">
        <v>2410.0923351158663</v>
      </c>
      <c r="G1664" s="311">
        <v>1.8422240761674997E-2</v>
      </c>
      <c r="H1664" s="307"/>
    </row>
    <row r="1665" spans="1:22">
      <c r="A1665" s="313" t="s">
        <v>308</v>
      </c>
      <c r="B1665" s="312">
        <v>1485.5712637798049</v>
      </c>
      <c r="C1665" s="311">
        <v>0.22858438919403878</v>
      </c>
      <c r="D1665" s="312">
        <v>5013.4345039270547</v>
      </c>
      <c r="E1665" s="311">
        <v>0.77141561080596299</v>
      </c>
      <c r="F1665" s="312">
        <v>6499.005767706848</v>
      </c>
      <c r="G1665" s="311">
        <v>4.9677038186362307E-2</v>
      </c>
      <c r="H1665" s="307"/>
    </row>
    <row r="1666" spans="1:22">
      <c r="A1666" s="313" t="s">
        <v>307</v>
      </c>
      <c r="B1666" s="312">
        <v>3594.55150462963</v>
      </c>
      <c r="C1666" s="311">
        <v>0.24904766024081856</v>
      </c>
      <c r="D1666" s="312">
        <v>10838.635706018518</v>
      </c>
      <c r="E1666" s="311">
        <v>0.75095233975918074</v>
      </c>
      <c r="F1666" s="312">
        <v>14433.187210648157</v>
      </c>
      <c r="G1666" s="311">
        <v>0.11032425848535214</v>
      </c>
      <c r="H1666" s="307"/>
    </row>
    <row r="1667" spans="1:22">
      <c r="A1667" s="313" t="s">
        <v>306</v>
      </c>
      <c r="B1667" s="312">
        <v>2324.5777597986325</v>
      </c>
      <c r="C1667" s="311">
        <v>0.1971952732235808</v>
      </c>
      <c r="D1667" s="312">
        <v>9463.6244714131608</v>
      </c>
      <c r="E1667" s="311">
        <v>0.80280472677642001</v>
      </c>
      <c r="F1667" s="312">
        <v>11788.202231211784</v>
      </c>
      <c r="G1667" s="311">
        <v>9.0106547573521725E-2</v>
      </c>
      <c r="H1667" s="307"/>
    </row>
    <row r="1668" spans="1:22">
      <c r="A1668" s="313" t="s">
        <v>305</v>
      </c>
      <c r="B1668" s="312">
        <v>4116.0790868894164</v>
      </c>
      <c r="C1668" s="311">
        <v>0.19806814499479816</v>
      </c>
      <c r="D1668" s="312">
        <v>16665.046959388776</v>
      </c>
      <c r="E1668" s="311">
        <v>0.80193185500519926</v>
      </c>
      <c r="F1668" s="312">
        <v>20781.126046278245</v>
      </c>
      <c r="G1668" s="311">
        <v>0.15884657269981653</v>
      </c>
      <c r="H1668" s="307"/>
    </row>
    <row r="1669" spans="1:22" ht="28.5">
      <c r="A1669" s="313" t="s">
        <v>304</v>
      </c>
      <c r="B1669" s="312">
        <v>7092.534245689988</v>
      </c>
      <c r="C1669" s="311">
        <v>0.18426133625849117</v>
      </c>
      <c r="D1669" s="312">
        <v>31399.177524706742</v>
      </c>
      <c r="E1669" s="311">
        <v>0.81573866374150983</v>
      </c>
      <c r="F1669" s="312">
        <v>38491.711770396694</v>
      </c>
      <c r="G1669" s="311">
        <v>0.29422257862546031</v>
      </c>
      <c r="H1669" s="307"/>
    </row>
    <row r="1670" spans="1:22" ht="28.5">
      <c r="A1670" s="313" t="s">
        <v>303</v>
      </c>
      <c r="B1670" s="312">
        <v>8358.0474001337807</v>
      </c>
      <c r="C1670" s="311">
        <v>0.24572461411519858</v>
      </c>
      <c r="D1670" s="312">
        <v>25655.832040594061</v>
      </c>
      <c r="E1670" s="311">
        <v>0.75427538588479592</v>
      </c>
      <c r="F1670" s="312">
        <v>34013.879440728029</v>
      </c>
      <c r="G1670" s="311">
        <v>0.25999496665158034</v>
      </c>
      <c r="H1670" s="307"/>
    </row>
    <row r="1671" spans="1:22" ht="15.75" thickBot="1">
      <c r="A1671" s="310" t="s">
        <v>302</v>
      </c>
      <c r="B1671" s="309">
        <v>566.02505804953557</v>
      </c>
      <c r="C1671" s="308">
        <v>0.23506599177876641</v>
      </c>
      <c r="D1671" s="309">
        <v>1841.9160216718258</v>
      </c>
      <c r="E1671" s="308">
        <v>0.76493400822123336</v>
      </c>
      <c r="F1671" s="309">
        <v>2407.9410797213618</v>
      </c>
      <c r="G1671" s="308">
        <v>1.8405797016246669E-2</v>
      </c>
      <c r="H1671" s="307"/>
    </row>
    <row r="1677" spans="1:22" ht="15.75" thickBot="1"/>
    <row r="1678" spans="1:22" ht="15" customHeight="1">
      <c r="A1678" s="752" t="s">
        <v>310</v>
      </c>
      <c r="B1678" s="755" t="s">
        <v>358</v>
      </c>
      <c r="C1678" s="756"/>
      <c r="D1678" s="756"/>
      <c r="E1678" s="756"/>
      <c r="F1678" s="756"/>
      <c r="G1678" s="756"/>
      <c r="H1678" s="756"/>
      <c r="I1678" s="756"/>
      <c r="J1678" s="756"/>
      <c r="K1678" s="756"/>
      <c r="L1678" s="756"/>
      <c r="M1678" s="756"/>
      <c r="N1678" s="756"/>
      <c r="O1678" s="756"/>
      <c r="P1678" s="756"/>
      <c r="Q1678" s="756"/>
      <c r="R1678" s="756"/>
      <c r="S1678" s="756"/>
      <c r="T1678" s="756"/>
      <c r="U1678" s="757"/>
      <c r="V1678" s="307"/>
    </row>
    <row r="1679" spans="1:22" ht="15" customHeight="1">
      <c r="A1679" s="753"/>
      <c r="B1679" s="895" t="s">
        <v>91</v>
      </c>
      <c r="C1679" s="892"/>
      <c r="D1679" s="891" t="s">
        <v>90</v>
      </c>
      <c r="E1679" s="892"/>
      <c r="F1679" s="891" t="s">
        <v>89</v>
      </c>
      <c r="G1679" s="892"/>
      <c r="H1679" s="891" t="s">
        <v>88</v>
      </c>
      <c r="I1679" s="892"/>
      <c r="J1679" s="891" t="s">
        <v>76</v>
      </c>
      <c r="K1679" s="892"/>
      <c r="L1679" s="891" t="s">
        <v>0</v>
      </c>
      <c r="M1679" s="892"/>
      <c r="N1679" s="891" t="s">
        <v>75</v>
      </c>
      <c r="O1679" s="892"/>
      <c r="P1679" s="891" t="s">
        <v>74</v>
      </c>
      <c r="Q1679" s="892"/>
      <c r="R1679" s="891" t="s">
        <v>73</v>
      </c>
      <c r="S1679" s="892"/>
      <c r="T1679" s="893" t="s">
        <v>9</v>
      </c>
      <c r="U1679" s="896"/>
      <c r="V1679" s="307"/>
    </row>
    <row r="1680" spans="1:22" ht="15.75" customHeight="1" thickBot="1">
      <c r="A1680" s="754"/>
      <c r="B1680" s="324" t="s">
        <v>7</v>
      </c>
      <c r="C1680" s="318" t="s">
        <v>8</v>
      </c>
      <c r="D1680" s="324" t="s">
        <v>7</v>
      </c>
      <c r="E1680" s="318" t="s">
        <v>8</v>
      </c>
      <c r="F1680" s="324" t="s">
        <v>7</v>
      </c>
      <c r="G1680" s="318" t="s">
        <v>8</v>
      </c>
      <c r="H1680" s="324" t="s">
        <v>7</v>
      </c>
      <c r="I1680" s="318" t="s">
        <v>8</v>
      </c>
      <c r="J1680" s="324" t="s">
        <v>7</v>
      </c>
      <c r="K1680" s="318" t="s">
        <v>8</v>
      </c>
      <c r="L1680" s="324" t="s">
        <v>7</v>
      </c>
      <c r="M1680" s="318" t="s">
        <v>8</v>
      </c>
      <c r="N1680" s="324" t="s">
        <v>7</v>
      </c>
      <c r="O1680" s="318" t="s">
        <v>8</v>
      </c>
      <c r="P1680" s="324" t="s">
        <v>7</v>
      </c>
      <c r="Q1680" s="318" t="s">
        <v>8</v>
      </c>
      <c r="R1680" s="324" t="s">
        <v>7</v>
      </c>
      <c r="S1680" s="318" t="s">
        <v>8</v>
      </c>
      <c r="T1680" s="324" t="s">
        <v>7</v>
      </c>
      <c r="U1680" s="317" t="s">
        <v>6</v>
      </c>
      <c r="V1680" s="307"/>
    </row>
    <row r="1681" spans="1:22" ht="15.75" customHeight="1">
      <c r="A1681" s="316" t="s">
        <v>5</v>
      </c>
      <c r="B1681" s="315">
        <v>4911.1781165000029</v>
      </c>
      <c r="C1681" s="314">
        <v>8.3402633245210717E-2</v>
      </c>
      <c r="D1681" s="315">
        <v>3617.783825</v>
      </c>
      <c r="E1681" s="314">
        <v>6.1437946325588216E-2</v>
      </c>
      <c r="F1681" s="315">
        <v>849.04223649999994</v>
      </c>
      <c r="G1681" s="314">
        <v>1.4418609258457938E-2</v>
      </c>
      <c r="H1681" s="315">
        <v>1436.3111958</v>
      </c>
      <c r="I1681" s="314">
        <v>2.4391731077077781E-2</v>
      </c>
      <c r="J1681" s="315">
        <v>1848.3499859999995</v>
      </c>
      <c r="K1681" s="314">
        <v>3.1389058253299504E-2</v>
      </c>
      <c r="L1681" s="315">
        <v>27663.256240300085</v>
      </c>
      <c r="M1681" s="314">
        <v>0.46978308663385931</v>
      </c>
      <c r="N1681" s="315">
        <v>12939.38908399998</v>
      </c>
      <c r="O1681" s="314">
        <v>0.21973935715429124</v>
      </c>
      <c r="P1681" s="315">
        <v>5413.3635300000024</v>
      </c>
      <c r="Q1681" s="314">
        <v>9.1930848852484134E-2</v>
      </c>
      <c r="R1681" s="315">
        <v>206.49433999999999</v>
      </c>
      <c r="S1681" s="314">
        <v>3.5067291997353555E-3</v>
      </c>
      <c r="T1681" s="315">
        <v>58885.168554099822</v>
      </c>
      <c r="U1681" s="314">
        <v>1</v>
      </c>
      <c r="V1681" s="307"/>
    </row>
    <row r="1682" spans="1:22">
      <c r="A1682" s="313" t="s">
        <v>309</v>
      </c>
      <c r="B1682" s="312">
        <v>52.237290000000002</v>
      </c>
      <c r="C1682" s="311">
        <v>4.9888824017064473E-2</v>
      </c>
      <c r="D1682" s="312">
        <v>0</v>
      </c>
      <c r="E1682" s="311">
        <v>0</v>
      </c>
      <c r="F1682" s="312">
        <v>52.237290000000002</v>
      </c>
      <c r="G1682" s="311">
        <v>4.9888824017064473E-2</v>
      </c>
      <c r="H1682" s="312">
        <v>63.792845799999995</v>
      </c>
      <c r="I1682" s="311">
        <v>6.0924869143554918E-2</v>
      </c>
      <c r="J1682" s="312">
        <v>52.237290000000002</v>
      </c>
      <c r="K1682" s="311">
        <v>4.9888824017064473E-2</v>
      </c>
      <c r="L1682" s="312">
        <v>660.58485380000025</v>
      </c>
      <c r="M1682" s="311">
        <v>0.63088650884390196</v>
      </c>
      <c r="N1682" s="312">
        <v>156.31775300000001</v>
      </c>
      <c r="O1682" s="311">
        <v>0.14929007362671284</v>
      </c>
      <c r="P1682" s="312">
        <v>9.6666670000000003</v>
      </c>
      <c r="Q1682" s="311">
        <v>9.2320763346368951E-3</v>
      </c>
      <c r="R1682" s="312">
        <v>0</v>
      </c>
      <c r="S1682" s="311">
        <v>0</v>
      </c>
      <c r="T1682" s="312">
        <v>1047.0739896000002</v>
      </c>
      <c r="U1682" s="311">
        <v>1.7781625073179805E-2</v>
      </c>
      <c r="V1682" s="307"/>
    </row>
    <row r="1683" spans="1:22">
      <c r="A1683" s="313" t="s">
        <v>308</v>
      </c>
      <c r="B1683" s="312">
        <v>350.63144199999994</v>
      </c>
      <c r="C1683" s="311">
        <v>0.15410592017215627</v>
      </c>
      <c r="D1683" s="312">
        <v>241.68889099999996</v>
      </c>
      <c r="E1683" s="311">
        <v>0.10622461217537639</v>
      </c>
      <c r="F1683" s="312">
        <v>65.519642000000005</v>
      </c>
      <c r="G1683" s="311">
        <v>2.8796518253375179E-2</v>
      </c>
      <c r="H1683" s="312">
        <v>65.519642000000005</v>
      </c>
      <c r="I1683" s="311">
        <v>2.8796518253375179E-2</v>
      </c>
      <c r="J1683" s="312">
        <v>105.87519800000001</v>
      </c>
      <c r="K1683" s="311">
        <v>4.6533176597434875E-2</v>
      </c>
      <c r="L1683" s="312">
        <v>968.81799099999989</v>
      </c>
      <c r="M1683" s="311">
        <v>0.42580490537524246</v>
      </c>
      <c r="N1683" s="312">
        <v>88.825263000000007</v>
      </c>
      <c r="O1683" s="311">
        <v>3.9039564766552765E-2</v>
      </c>
      <c r="P1683" s="312">
        <v>388.38456599999995</v>
      </c>
      <c r="Q1683" s="311">
        <v>0.17069878440648675</v>
      </c>
      <c r="R1683" s="312">
        <v>0</v>
      </c>
      <c r="S1683" s="311">
        <v>0</v>
      </c>
      <c r="T1683" s="312">
        <v>2275.262635</v>
      </c>
      <c r="U1683" s="311">
        <v>3.8638976347832615E-2</v>
      </c>
      <c r="V1683" s="307"/>
    </row>
    <row r="1684" spans="1:22">
      <c r="A1684" s="313" t="s">
        <v>307</v>
      </c>
      <c r="B1684" s="312">
        <v>463.420142</v>
      </c>
      <c r="C1684" s="311">
        <v>0.21550743059366806</v>
      </c>
      <c r="D1684" s="312">
        <v>393.74279399999995</v>
      </c>
      <c r="E1684" s="311">
        <v>0.18310489803810021</v>
      </c>
      <c r="F1684" s="312">
        <v>9.375</v>
      </c>
      <c r="G1684" s="311">
        <v>4.3597202165106541E-3</v>
      </c>
      <c r="H1684" s="312">
        <v>0</v>
      </c>
      <c r="I1684" s="311">
        <v>0</v>
      </c>
      <c r="J1684" s="312">
        <v>62.282352000000003</v>
      </c>
      <c r="K1684" s="311">
        <v>2.8963587108931498E-2</v>
      </c>
      <c r="L1684" s="312">
        <v>9.375</v>
      </c>
      <c r="M1684" s="311">
        <v>4.3597202165106541E-3</v>
      </c>
      <c r="N1684" s="312">
        <v>664.67088399999989</v>
      </c>
      <c r="O1684" s="311">
        <v>0.30909643629875277</v>
      </c>
      <c r="P1684" s="312">
        <v>547.50117599999999</v>
      </c>
      <c r="Q1684" s="311">
        <v>0.25460820752752616</v>
      </c>
      <c r="R1684" s="312">
        <v>0</v>
      </c>
      <c r="S1684" s="311">
        <v>0</v>
      </c>
      <c r="T1684" s="312">
        <v>2150.3673479999998</v>
      </c>
      <c r="U1684" s="311">
        <v>3.6517978988620602E-2</v>
      </c>
      <c r="V1684" s="307"/>
    </row>
    <row r="1685" spans="1:22">
      <c r="A1685" s="313" t="s">
        <v>306</v>
      </c>
      <c r="B1685" s="312">
        <v>154.2674135</v>
      </c>
      <c r="C1685" s="311">
        <v>6.5363163928240486E-2</v>
      </c>
      <c r="D1685" s="312">
        <v>480.14319</v>
      </c>
      <c r="E1685" s="311">
        <v>0.2034368589254808</v>
      </c>
      <c r="F1685" s="312">
        <v>138.02931950000001</v>
      </c>
      <c r="G1685" s="311">
        <v>5.8483077097691669E-2</v>
      </c>
      <c r="H1685" s="312">
        <v>13.346939000000001</v>
      </c>
      <c r="I1685" s="311">
        <v>5.6551033170542274E-3</v>
      </c>
      <c r="J1685" s="312">
        <v>75.922303999999997</v>
      </c>
      <c r="K1685" s="311">
        <v>3.2168310141284032E-2</v>
      </c>
      <c r="L1685" s="312">
        <v>560.41546850000009</v>
      </c>
      <c r="M1685" s="311">
        <v>0.23744825497762814</v>
      </c>
      <c r="N1685" s="312">
        <v>865.66175999999996</v>
      </c>
      <c r="O1685" s="311">
        <v>0.36678122904607563</v>
      </c>
      <c r="P1685" s="312">
        <v>0</v>
      </c>
      <c r="Q1685" s="311">
        <v>0</v>
      </c>
      <c r="R1685" s="312">
        <v>72.371899999999997</v>
      </c>
      <c r="S1685" s="311">
        <v>3.0664002566544793E-2</v>
      </c>
      <c r="T1685" s="312">
        <v>2360.1582945000005</v>
      </c>
      <c r="U1685" s="311">
        <v>4.008069183552803E-2</v>
      </c>
      <c r="V1685" s="307"/>
    </row>
    <row r="1686" spans="1:22">
      <c r="A1686" s="313" t="s">
        <v>305</v>
      </c>
      <c r="B1686" s="312">
        <v>728.23565299999996</v>
      </c>
      <c r="C1686" s="311">
        <v>8.6506721921505977E-2</v>
      </c>
      <c r="D1686" s="312">
        <v>671.37298599999986</v>
      </c>
      <c r="E1686" s="311">
        <v>7.9752036262241491E-2</v>
      </c>
      <c r="F1686" s="312">
        <v>122.952798</v>
      </c>
      <c r="G1686" s="311">
        <v>1.4605496808952713E-2</v>
      </c>
      <c r="H1686" s="312">
        <v>0</v>
      </c>
      <c r="I1686" s="311">
        <v>0</v>
      </c>
      <c r="J1686" s="312">
        <v>140.69882799999999</v>
      </c>
      <c r="K1686" s="311">
        <v>1.6713538177288059E-2</v>
      </c>
      <c r="L1686" s="312">
        <v>1009.9377780000002</v>
      </c>
      <c r="M1686" s="311">
        <v>0.11996996598499367</v>
      </c>
      <c r="N1686" s="312">
        <v>4182.4993309999982</v>
      </c>
      <c r="O1686" s="311">
        <v>0.49683684817296581</v>
      </c>
      <c r="P1686" s="312">
        <v>1562.5577260000005</v>
      </c>
      <c r="Q1686" s="311">
        <v>0.1856153926720514</v>
      </c>
      <c r="R1686" s="312">
        <v>0</v>
      </c>
      <c r="S1686" s="311">
        <v>0</v>
      </c>
      <c r="T1686" s="312">
        <v>8418.2551000000058</v>
      </c>
      <c r="U1686" s="311">
        <v>0.14296053330077277</v>
      </c>
      <c r="V1686" s="307"/>
    </row>
    <row r="1687" spans="1:22" ht="28.5">
      <c r="A1687" s="313" t="s">
        <v>304</v>
      </c>
      <c r="B1687" s="312">
        <v>2199.2018739999999</v>
      </c>
      <c r="C1687" s="311">
        <v>9.9301555845955458E-2</v>
      </c>
      <c r="D1687" s="312">
        <v>939.62512099999992</v>
      </c>
      <c r="E1687" s="311">
        <v>4.2427317623886386E-2</v>
      </c>
      <c r="F1687" s="312">
        <v>273.64134899999999</v>
      </c>
      <c r="G1687" s="311">
        <v>1.2355851466269753E-2</v>
      </c>
      <c r="H1687" s="312">
        <v>900.47244499999999</v>
      </c>
      <c r="I1687" s="311">
        <v>4.0659439154748366E-2</v>
      </c>
      <c r="J1687" s="312">
        <v>778.27620000000024</v>
      </c>
      <c r="K1687" s="311">
        <v>3.5141856894342585E-2</v>
      </c>
      <c r="L1687" s="312">
        <v>12970.223542999991</v>
      </c>
      <c r="M1687" s="311">
        <v>0.58565036375998469</v>
      </c>
      <c r="N1687" s="312">
        <v>3042.417997</v>
      </c>
      <c r="O1687" s="311">
        <v>0.13737567442425502</v>
      </c>
      <c r="P1687" s="312">
        <v>1042.8425499999998</v>
      </c>
      <c r="Q1687" s="311">
        <v>4.7087940830557694E-2</v>
      </c>
      <c r="R1687" s="312">
        <v>0</v>
      </c>
      <c r="S1687" s="311">
        <v>0</v>
      </c>
      <c r="T1687" s="312">
        <v>22146.701078999991</v>
      </c>
      <c r="U1687" s="311">
        <v>0.37609981635109113</v>
      </c>
      <c r="V1687" s="307"/>
    </row>
    <row r="1688" spans="1:22" ht="28.5">
      <c r="A1688" s="313" t="s">
        <v>303</v>
      </c>
      <c r="B1688" s="312">
        <v>963.18430199999978</v>
      </c>
      <c r="C1688" s="311">
        <v>4.8113346794137056E-2</v>
      </c>
      <c r="D1688" s="312">
        <v>891.21084299999995</v>
      </c>
      <c r="E1688" s="311">
        <v>4.4518101330054939E-2</v>
      </c>
      <c r="F1688" s="312">
        <v>187.28683800000002</v>
      </c>
      <c r="G1688" s="311">
        <v>9.3554230150559164E-3</v>
      </c>
      <c r="H1688" s="312">
        <v>393.17932400000001</v>
      </c>
      <c r="I1688" s="311">
        <v>1.9640242400769919E-2</v>
      </c>
      <c r="J1688" s="312">
        <v>633.05781399999989</v>
      </c>
      <c r="K1688" s="311">
        <v>3.1622743521125526E-2</v>
      </c>
      <c r="L1688" s="312">
        <v>11413.359942000026</v>
      </c>
      <c r="M1688" s="311">
        <v>0.57012447548772383</v>
      </c>
      <c r="N1688" s="312">
        <v>3677.7877619999972</v>
      </c>
      <c r="O1688" s="311">
        <v>0.18371424623606367</v>
      </c>
      <c r="P1688" s="312">
        <v>1794.1441749999999</v>
      </c>
      <c r="Q1688" s="311">
        <v>8.9621768867300278E-2</v>
      </c>
      <c r="R1688" s="312">
        <v>65.855770000000007</v>
      </c>
      <c r="S1688" s="311">
        <v>3.2896523477652447E-3</v>
      </c>
      <c r="T1688" s="312">
        <v>20019.066770000096</v>
      </c>
      <c r="U1688" s="311">
        <v>0.33996789448955878</v>
      </c>
      <c r="V1688" s="307"/>
    </row>
    <row r="1689" spans="1:22" ht="15.75" thickBot="1">
      <c r="A1689" s="313" t="s">
        <v>302</v>
      </c>
      <c r="B1689" s="312">
        <v>0</v>
      </c>
      <c r="C1689" s="311">
        <v>0</v>
      </c>
      <c r="D1689" s="312">
        <v>0</v>
      </c>
      <c r="E1689" s="311">
        <v>0</v>
      </c>
      <c r="F1689" s="312">
        <v>0</v>
      </c>
      <c r="G1689" s="311">
        <v>0</v>
      </c>
      <c r="H1689" s="312">
        <v>0</v>
      </c>
      <c r="I1689" s="311">
        <v>0</v>
      </c>
      <c r="J1689" s="312">
        <v>0</v>
      </c>
      <c r="K1689" s="311">
        <v>0</v>
      </c>
      <c r="L1689" s="312">
        <v>70.541663999999997</v>
      </c>
      <c r="M1689" s="311">
        <v>0.15063885104534727</v>
      </c>
      <c r="N1689" s="312">
        <v>261.20833400000004</v>
      </c>
      <c r="O1689" s="311">
        <v>0.55779976096437589</v>
      </c>
      <c r="P1689" s="312">
        <v>68.266670000000005</v>
      </c>
      <c r="Q1689" s="311">
        <v>0.14578069399513849</v>
      </c>
      <c r="R1689" s="312">
        <v>68.266670000000005</v>
      </c>
      <c r="S1689" s="311">
        <v>0.14578069399513849</v>
      </c>
      <c r="T1689" s="312">
        <v>468.28333799999996</v>
      </c>
      <c r="U1689" s="311">
        <v>7.9524836134207896E-3</v>
      </c>
      <c r="V1689" s="307"/>
    </row>
    <row r="1690" spans="1:22" ht="15" customHeight="1">
      <c r="A1690" s="316" t="s">
        <v>4</v>
      </c>
      <c r="B1690" s="315">
        <v>5276.6824871109802</v>
      </c>
      <c r="C1690" s="314">
        <v>0.11528962196307395</v>
      </c>
      <c r="D1690" s="315">
        <v>3811.9622749759665</v>
      </c>
      <c r="E1690" s="314">
        <v>8.3287120400548614E-2</v>
      </c>
      <c r="F1690" s="315">
        <v>817.47034277455418</v>
      </c>
      <c r="G1690" s="314">
        <v>1.7860814444437621E-2</v>
      </c>
      <c r="H1690" s="315">
        <v>633.16449723031121</v>
      </c>
      <c r="I1690" s="314">
        <v>1.383393746059731E-2</v>
      </c>
      <c r="J1690" s="315">
        <v>1645.3427251326893</v>
      </c>
      <c r="K1690" s="314">
        <v>3.5948901841940988E-2</v>
      </c>
      <c r="L1690" s="315">
        <v>12920.523839476618</v>
      </c>
      <c r="M1690" s="314">
        <v>0.28229902266370999</v>
      </c>
      <c r="N1690" s="315">
        <v>12723.996398897416</v>
      </c>
      <c r="O1690" s="314">
        <v>0.27800511747136786</v>
      </c>
      <c r="P1690" s="315">
        <v>7778.2851434416143</v>
      </c>
      <c r="Q1690" s="314">
        <v>0.1699468474555417</v>
      </c>
      <c r="R1690" s="315">
        <v>161.50098777722627</v>
      </c>
      <c r="S1690" s="314">
        <v>3.5286162987786074E-3</v>
      </c>
      <c r="T1690" s="315">
        <v>45768.928696817529</v>
      </c>
      <c r="U1690" s="314">
        <v>1</v>
      </c>
      <c r="V1690" s="307"/>
    </row>
    <row r="1691" spans="1:22">
      <c r="A1691" s="313" t="s">
        <v>309</v>
      </c>
      <c r="B1691" s="312">
        <v>280.12268652400235</v>
      </c>
      <c r="C1691" s="311">
        <v>0.21910059021028452</v>
      </c>
      <c r="D1691" s="312">
        <v>39.839285714285715</v>
      </c>
      <c r="E1691" s="311">
        <v>3.1160671496730869E-2</v>
      </c>
      <c r="F1691" s="312">
        <v>39.839285714285715</v>
      </c>
      <c r="G1691" s="311">
        <v>3.1160671496730869E-2</v>
      </c>
      <c r="H1691" s="312">
        <v>11.75</v>
      </c>
      <c r="I1691" s="311">
        <v>9.1903728573952993E-3</v>
      </c>
      <c r="J1691" s="312">
        <v>160.73120300751881</v>
      </c>
      <c r="K1691" s="311">
        <v>0.12571742003887615</v>
      </c>
      <c r="L1691" s="312">
        <v>503.07142857142861</v>
      </c>
      <c r="M1691" s="311">
        <v>0.39348204276373921</v>
      </c>
      <c r="N1691" s="312">
        <v>243.15789473684211</v>
      </c>
      <c r="O1691" s="311">
        <v>0.19018823113624314</v>
      </c>
      <c r="P1691" s="312">
        <v>0</v>
      </c>
      <c r="Q1691" s="311">
        <v>0</v>
      </c>
      <c r="R1691" s="312">
        <v>0</v>
      </c>
      <c r="S1691" s="311">
        <v>0</v>
      </c>
      <c r="T1691" s="312">
        <v>1278.5117842683633</v>
      </c>
      <c r="U1691" s="311">
        <v>2.7934055278800149E-2</v>
      </c>
      <c r="V1691" s="307"/>
    </row>
    <row r="1692" spans="1:22">
      <c r="A1692" s="313" t="s">
        <v>308</v>
      </c>
      <c r="B1692" s="312">
        <v>68.438726125658974</v>
      </c>
      <c r="C1692" s="311">
        <v>3.6600889535043736E-2</v>
      </c>
      <c r="D1692" s="312">
        <v>289.38677955487918</v>
      </c>
      <c r="E1692" s="311">
        <v>0.15476345266775962</v>
      </c>
      <c r="F1692" s="312">
        <v>36.459852461342038</v>
      </c>
      <c r="G1692" s="311">
        <v>1.949865387545922E-2</v>
      </c>
      <c r="H1692" s="312">
        <v>77.550722120851901</v>
      </c>
      <c r="I1692" s="311">
        <v>4.14739661941778E-2</v>
      </c>
      <c r="J1692" s="312">
        <v>157.08759398496235</v>
      </c>
      <c r="K1692" s="311">
        <v>8.4010121173395055E-2</v>
      </c>
      <c r="L1692" s="312">
        <v>599.96991697969918</v>
      </c>
      <c r="M1692" s="311">
        <v>0.32086267379384092</v>
      </c>
      <c r="N1692" s="312">
        <v>451.35555713761499</v>
      </c>
      <c r="O1692" s="311">
        <v>0.24138402075880108</v>
      </c>
      <c r="P1692" s="312">
        <v>189.61595587328978</v>
      </c>
      <c r="Q1692" s="311">
        <v>0.10140622200152302</v>
      </c>
      <c r="R1692" s="312">
        <v>0</v>
      </c>
      <c r="S1692" s="311">
        <v>0</v>
      </c>
      <c r="T1692" s="312">
        <v>1869.8651042382976</v>
      </c>
      <c r="U1692" s="311">
        <v>4.0854465190231032E-2</v>
      </c>
      <c r="V1692" s="307"/>
    </row>
    <row r="1693" spans="1:22">
      <c r="A1693" s="313" t="s">
        <v>307</v>
      </c>
      <c r="B1693" s="312">
        <v>865.72351700365289</v>
      </c>
      <c r="C1693" s="311">
        <v>0.19247826970066942</v>
      </c>
      <c r="D1693" s="312">
        <v>380.26099706744867</v>
      </c>
      <c r="E1693" s="311">
        <v>8.4544288462346379E-2</v>
      </c>
      <c r="F1693" s="312">
        <v>270.71873231465759</v>
      </c>
      <c r="G1693" s="311">
        <v>6.0189508715014071E-2</v>
      </c>
      <c r="H1693" s="312">
        <v>120.45614035087719</v>
      </c>
      <c r="I1693" s="311">
        <v>2.6781286420177033E-2</v>
      </c>
      <c r="J1693" s="312">
        <v>116.81818181818181</v>
      </c>
      <c r="K1693" s="311">
        <v>2.597245086256212E-2</v>
      </c>
      <c r="L1693" s="312">
        <v>239.68194680249007</v>
      </c>
      <c r="M1693" s="311">
        <v>5.3289029918817059E-2</v>
      </c>
      <c r="N1693" s="312">
        <v>1065.9154704944176</v>
      </c>
      <c r="O1693" s="311">
        <v>0.2369873999935187</v>
      </c>
      <c r="P1693" s="312">
        <v>1438.1977671451352</v>
      </c>
      <c r="Q1693" s="311">
        <v>0.31975776592689448</v>
      </c>
      <c r="R1693" s="312">
        <v>0</v>
      </c>
      <c r="S1693" s="311">
        <v>0</v>
      </c>
      <c r="T1693" s="312">
        <v>4497.7727529968643</v>
      </c>
      <c r="U1693" s="311">
        <v>9.8271313772515925E-2</v>
      </c>
      <c r="V1693" s="307"/>
    </row>
    <row r="1694" spans="1:22">
      <c r="A1694" s="313" t="s">
        <v>306</v>
      </c>
      <c r="B1694" s="312">
        <v>331.93953713968955</v>
      </c>
      <c r="C1694" s="311">
        <v>8.9992243781524137E-2</v>
      </c>
      <c r="D1694" s="312">
        <v>602.71590909090901</v>
      </c>
      <c r="E1694" s="311">
        <v>0.16340252049904616</v>
      </c>
      <c r="F1694" s="312">
        <v>63.357142857142854</v>
      </c>
      <c r="G1694" s="311">
        <v>1.7176777115590888E-2</v>
      </c>
      <c r="H1694" s="312">
        <v>71.044642857142861</v>
      </c>
      <c r="I1694" s="311">
        <v>1.9260937924007425E-2</v>
      </c>
      <c r="J1694" s="312">
        <v>97.843839087741529</v>
      </c>
      <c r="K1694" s="311">
        <v>2.6526477368674476E-2</v>
      </c>
      <c r="L1694" s="312">
        <v>644.633473234083</v>
      </c>
      <c r="M1694" s="311">
        <v>0.17476680594574401</v>
      </c>
      <c r="N1694" s="312">
        <v>1631.5066637630655</v>
      </c>
      <c r="O1694" s="311">
        <v>0.44231834111029583</v>
      </c>
      <c r="P1694" s="312">
        <v>245.49375000000003</v>
      </c>
      <c r="Q1694" s="311">
        <v>6.6555896255116431E-2</v>
      </c>
      <c r="R1694" s="312">
        <v>0</v>
      </c>
      <c r="S1694" s="311">
        <v>0</v>
      </c>
      <c r="T1694" s="312">
        <v>3688.5349580297766</v>
      </c>
      <c r="U1694" s="311">
        <v>8.0590371307647693E-2</v>
      </c>
      <c r="V1694" s="307"/>
    </row>
    <row r="1695" spans="1:22">
      <c r="A1695" s="313" t="s">
        <v>305</v>
      </c>
      <c r="B1695" s="312">
        <v>361.30126479696679</v>
      </c>
      <c r="C1695" s="311">
        <v>6.0580215872541615E-2</v>
      </c>
      <c r="D1695" s="312">
        <v>290.98488410666062</v>
      </c>
      <c r="E1695" s="311">
        <v>4.8790106242041567E-2</v>
      </c>
      <c r="F1695" s="312">
        <v>74.049105819583048</v>
      </c>
      <c r="G1695" s="311">
        <v>1.2415984256905039E-2</v>
      </c>
      <c r="H1695" s="312">
        <v>57.42307692307692</v>
      </c>
      <c r="I1695" s="311">
        <v>9.6282596686187057E-3</v>
      </c>
      <c r="J1695" s="312">
        <v>50.728840125391841</v>
      </c>
      <c r="K1695" s="311">
        <v>8.5058215544494501E-3</v>
      </c>
      <c r="L1695" s="312">
        <v>665.42363359066246</v>
      </c>
      <c r="M1695" s="311">
        <v>0.1115731144541285</v>
      </c>
      <c r="N1695" s="312">
        <v>2745.2654548571445</v>
      </c>
      <c r="O1695" s="311">
        <v>0.46030498668786607</v>
      </c>
      <c r="P1695" s="312">
        <v>1665.9267170270027</v>
      </c>
      <c r="Q1695" s="311">
        <v>0.27932977262629732</v>
      </c>
      <c r="R1695" s="312">
        <v>52.911174785100286</v>
      </c>
      <c r="S1695" s="311">
        <v>8.8717386371520556E-3</v>
      </c>
      <c r="T1695" s="312">
        <v>5964.0141520315874</v>
      </c>
      <c r="U1695" s="311">
        <v>0.13030705157069333</v>
      </c>
      <c r="V1695" s="307"/>
    </row>
    <row r="1696" spans="1:22" ht="28.5">
      <c r="A1696" s="313" t="s">
        <v>304</v>
      </c>
      <c r="B1696" s="312">
        <v>1760.5067228144796</v>
      </c>
      <c r="C1696" s="311">
        <v>0.1300248478627555</v>
      </c>
      <c r="D1696" s="312">
        <v>1249.0444474761262</v>
      </c>
      <c r="E1696" s="311">
        <v>9.2250039237150402E-2</v>
      </c>
      <c r="F1696" s="312">
        <v>186.78755480658896</v>
      </c>
      <c r="G1696" s="311">
        <v>1.3795473247359007E-2</v>
      </c>
      <c r="H1696" s="312">
        <v>224.23309052547501</v>
      </c>
      <c r="I1696" s="311">
        <v>1.6561069096492617E-2</v>
      </c>
      <c r="J1696" s="312">
        <v>627.82753991879542</v>
      </c>
      <c r="K1696" s="311">
        <v>4.6369138671327775E-2</v>
      </c>
      <c r="L1696" s="312">
        <v>4809.1619325161528</v>
      </c>
      <c r="M1696" s="311">
        <v>0.35518782207380561</v>
      </c>
      <c r="N1696" s="312">
        <v>3059.258729468278</v>
      </c>
      <c r="O1696" s="311">
        <v>0.22594611296683875</v>
      </c>
      <c r="P1696" s="312">
        <v>1622.9514319492137</v>
      </c>
      <c r="Q1696" s="311">
        <v>0.11986549684427146</v>
      </c>
      <c r="R1696" s="312">
        <v>0</v>
      </c>
      <c r="S1696" s="311">
        <v>0</v>
      </c>
      <c r="T1696" s="312">
        <v>13539.771449475094</v>
      </c>
      <c r="U1696" s="311">
        <v>0.29582889167376469</v>
      </c>
      <c r="V1696" s="307"/>
    </row>
    <row r="1697" spans="1:22" ht="28.5">
      <c r="A1697" s="313" t="s">
        <v>303</v>
      </c>
      <c r="B1697" s="312">
        <v>1541.0562827065355</v>
      </c>
      <c r="C1697" s="311">
        <v>0.11248947950138957</v>
      </c>
      <c r="D1697" s="312">
        <v>893.5299719656573</v>
      </c>
      <c r="E1697" s="311">
        <v>6.5223264453897117E-2</v>
      </c>
      <c r="F1697" s="312">
        <v>140.25866880095401</v>
      </c>
      <c r="G1697" s="311">
        <v>1.023818845945528E-2</v>
      </c>
      <c r="H1697" s="312">
        <v>70.706824452887446</v>
      </c>
      <c r="I1697" s="311">
        <v>5.1612481446377369E-3</v>
      </c>
      <c r="J1697" s="312">
        <v>368.10552719009758</v>
      </c>
      <c r="K1697" s="311">
        <v>2.6869881145725839E-2</v>
      </c>
      <c r="L1697" s="312">
        <v>5253.9815077821368</v>
      </c>
      <c r="M1697" s="311">
        <v>0.38351463976535788</v>
      </c>
      <c r="N1697" s="312">
        <v>3392.3491284400652</v>
      </c>
      <c r="O1697" s="311">
        <v>0.24762469225005235</v>
      </c>
      <c r="P1697" s="312">
        <v>1998.5752158914313</v>
      </c>
      <c r="Q1697" s="311">
        <v>0.14588609663571697</v>
      </c>
      <c r="R1697" s="312">
        <v>40.996062992125985</v>
      </c>
      <c r="S1697" s="311">
        <v>2.9925096437692063E-3</v>
      </c>
      <c r="T1697" s="312">
        <v>13699.559190221864</v>
      </c>
      <c r="U1697" s="311">
        <v>0.29932007543743189</v>
      </c>
      <c r="V1697" s="307"/>
    </row>
    <row r="1698" spans="1:22" ht="15.75" thickBot="1">
      <c r="A1698" s="313" t="s">
        <v>302</v>
      </c>
      <c r="B1698" s="312">
        <v>67.59375</v>
      </c>
      <c r="C1698" s="311">
        <v>5.4914118234466097E-2</v>
      </c>
      <c r="D1698" s="312">
        <v>66.2</v>
      </c>
      <c r="E1698" s="311">
        <v>5.3781816027689784E-2</v>
      </c>
      <c r="F1698" s="312">
        <v>6</v>
      </c>
      <c r="G1698" s="311">
        <v>4.8744848363465052E-3</v>
      </c>
      <c r="H1698" s="312">
        <v>0</v>
      </c>
      <c r="I1698" s="311">
        <v>0</v>
      </c>
      <c r="J1698" s="312">
        <v>66.2</v>
      </c>
      <c r="K1698" s="311">
        <v>5.3781816027689784E-2</v>
      </c>
      <c r="L1698" s="312">
        <v>204.60000000000002</v>
      </c>
      <c r="M1698" s="311">
        <v>0.16621993291941586</v>
      </c>
      <c r="N1698" s="312">
        <v>135.1875</v>
      </c>
      <c r="O1698" s="311">
        <v>0.10982823646893219</v>
      </c>
      <c r="P1698" s="312">
        <v>617.52430555555554</v>
      </c>
      <c r="Q1698" s="311">
        <v>0.50168547725099355</v>
      </c>
      <c r="R1698" s="312">
        <v>67.59375</v>
      </c>
      <c r="S1698" s="311">
        <v>5.4914118234466097E-2</v>
      </c>
      <c r="T1698" s="312">
        <v>1230.8993055555557</v>
      </c>
      <c r="U1698" s="311">
        <v>2.6893775768912512E-2</v>
      </c>
      <c r="V1698" s="307"/>
    </row>
    <row r="1699" spans="1:22" ht="15.75" customHeight="1">
      <c r="A1699" s="316" t="s">
        <v>3</v>
      </c>
      <c r="B1699" s="315">
        <v>2991.3879393409488</v>
      </c>
      <c r="C1699" s="314">
        <v>0.1074435512713406</v>
      </c>
      <c r="D1699" s="315">
        <v>3418.3150325566558</v>
      </c>
      <c r="E1699" s="314">
        <v>0.12277775865574031</v>
      </c>
      <c r="F1699" s="315">
        <v>382.54113549915854</v>
      </c>
      <c r="G1699" s="314">
        <v>1.3739969184490339E-2</v>
      </c>
      <c r="H1699" s="315">
        <v>361.42614548425951</v>
      </c>
      <c r="I1699" s="314">
        <v>1.2981568883939728E-2</v>
      </c>
      <c r="J1699" s="315">
        <v>710.74451273214959</v>
      </c>
      <c r="K1699" s="314">
        <v>2.5528255125406813E-2</v>
      </c>
      <c r="L1699" s="315">
        <v>4564.6276046042412</v>
      </c>
      <c r="M1699" s="314">
        <v>0.16395058414854888</v>
      </c>
      <c r="N1699" s="315">
        <v>7157.5465186588153</v>
      </c>
      <c r="O1699" s="314">
        <v>0.25708207425746127</v>
      </c>
      <c r="P1699" s="315">
        <v>7616.8919058513738</v>
      </c>
      <c r="Q1699" s="314">
        <v>0.27358066977929485</v>
      </c>
      <c r="R1699" s="315">
        <v>638.00344462349506</v>
      </c>
      <c r="S1699" s="314">
        <v>2.2915568693774615E-2</v>
      </c>
      <c r="T1699" s="315">
        <v>27841.484239351172</v>
      </c>
      <c r="U1699" s="314">
        <v>1</v>
      </c>
      <c r="V1699" s="307"/>
    </row>
    <row r="1700" spans="1:22">
      <c r="A1700" s="313" t="s">
        <v>309</v>
      </c>
      <c r="B1700" s="312">
        <v>54.555555555555557</v>
      </c>
      <c r="C1700" s="311">
        <v>0.17940127800720909</v>
      </c>
      <c r="D1700" s="312">
        <v>11.705882352941176</v>
      </c>
      <c r="E1700" s="311">
        <v>3.8493792849036951E-2</v>
      </c>
      <c r="F1700" s="312">
        <v>0</v>
      </c>
      <c r="G1700" s="311">
        <v>0</v>
      </c>
      <c r="H1700" s="312">
        <v>0</v>
      </c>
      <c r="I1700" s="311">
        <v>0</v>
      </c>
      <c r="J1700" s="312">
        <v>5</v>
      </c>
      <c r="K1700" s="311">
        <v>1.6442072322452973E-2</v>
      </c>
      <c r="L1700" s="312">
        <v>112.58229352347</v>
      </c>
      <c r="M1700" s="311">
        <v>0.3702172424681045</v>
      </c>
      <c r="N1700" s="312">
        <v>51.172549019607843</v>
      </c>
      <c r="O1700" s="311">
        <v>0.16827655038093239</v>
      </c>
      <c r="P1700" s="312">
        <v>69.081639928698749</v>
      </c>
      <c r="Q1700" s="311">
        <v>0.22716906397226397</v>
      </c>
      <c r="R1700" s="312">
        <v>0</v>
      </c>
      <c r="S1700" s="311">
        <v>0</v>
      </c>
      <c r="T1700" s="312">
        <v>304.09792038027337</v>
      </c>
      <c r="U1700" s="311">
        <v>1.0922475172873907E-2</v>
      </c>
      <c r="V1700" s="307"/>
    </row>
    <row r="1701" spans="1:22">
      <c r="A1701" s="313" t="s">
        <v>308</v>
      </c>
      <c r="B1701" s="312">
        <v>113.61616161616161</v>
      </c>
      <c r="C1701" s="311">
        <v>7.6479778780240371E-2</v>
      </c>
      <c r="D1701" s="312">
        <v>181.83060495721867</v>
      </c>
      <c r="E1701" s="311">
        <v>0.12239776669789572</v>
      </c>
      <c r="F1701" s="312">
        <v>0</v>
      </c>
      <c r="G1701" s="311">
        <v>0</v>
      </c>
      <c r="H1701" s="312">
        <v>10</v>
      </c>
      <c r="I1701" s="311">
        <v>6.7314172290574301E-3</v>
      </c>
      <c r="J1701" s="312">
        <v>100.28435296359825</v>
      </c>
      <c r="K1701" s="311">
        <v>6.7505582134404191E-2</v>
      </c>
      <c r="L1701" s="312">
        <v>421.48123739881419</v>
      </c>
      <c r="M1701" s="311">
        <v>0.28371660631508233</v>
      </c>
      <c r="N1701" s="312">
        <v>282.70586701172596</v>
      </c>
      <c r="O1701" s="311">
        <v>0.19030111439583511</v>
      </c>
      <c r="P1701" s="312">
        <v>375.65303983228512</v>
      </c>
      <c r="Q1701" s="311">
        <v>0.25286773444748412</v>
      </c>
      <c r="R1701" s="312">
        <v>0</v>
      </c>
      <c r="S1701" s="311">
        <v>0</v>
      </c>
      <c r="T1701" s="312">
        <v>1485.5712637798049</v>
      </c>
      <c r="U1701" s="311">
        <v>5.3358192077996247E-2</v>
      </c>
      <c r="V1701" s="307"/>
    </row>
    <row r="1702" spans="1:22">
      <c r="A1702" s="313" t="s">
        <v>307</v>
      </c>
      <c r="B1702" s="312">
        <v>286.9921875</v>
      </c>
      <c r="C1702" s="311">
        <v>7.9840888948278024E-2</v>
      </c>
      <c r="D1702" s="312">
        <v>359.45515046296293</v>
      </c>
      <c r="E1702" s="311">
        <v>9.9999999999999978E-2</v>
      </c>
      <c r="F1702" s="312">
        <v>0</v>
      </c>
      <c r="G1702" s="311">
        <v>0</v>
      </c>
      <c r="H1702" s="312">
        <v>95.6640625</v>
      </c>
      <c r="I1702" s="311">
        <v>2.6613629649426009E-2</v>
      </c>
      <c r="J1702" s="312">
        <v>0</v>
      </c>
      <c r="K1702" s="311">
        <v>0</v>
      </c>
      <c r="L1702" s="312">
        <v>0</v>
      </c>
      <c r="M1702" s="311">
        <v>0</v>
      </c>
      <c r="N1702" s="312">
        <v>527.58217592592587</v>
      </c>
      <c r="O1702" s="311">
        <v>0.14677274070114796</v>
      </c>
      <c r="P1702" s="312">
        <v>2037.8657407407409</v>
      </c>
      <c r="Q1702" s="311">
        <v>0.56693185175286986</v>
      </c>
      <c r="R1702" s="312">
        <v>286.9921875</v>
      </c>
      <c r="S1702" s="311">
        <v>7.9840888948278024E-2</v>
      </c>
      <c r="T1702" s="312">
        <v>3594.55150462963</v>
      </c>
      <c r="U1702" s="311">
        <v>0.12910775423204948</v>
      </c>
      <c r="V1702" s="307"/>
    </row>
    <row r="1703" spans="1:22">
      <c r="A1703" s="313" t="s">
        <v>306</v>
      </c>
      <c r="B1703" s="312">
        <v>233.21969615246314</v>
      </c>
      <c r="C1703" s="311">
        <v>0.10032776712647629</v>
      </c>
      <c r="D1703" s="312">
        <v>181.48464401294498</v>
      </c>
      <c r="E1703" s="311">
        <v>7.8072089973306016E-2</v>
      </c>
      <c r="F1703" s="312">
        <v>68.295000000000002</v>
      </c>
      <c r="G1703" s="311">
        <v>2.9379529126148086E-2</v>
      </c>
      <c r="H1703" s="312">
        <v>45.485436893203882</v>
      </c>
      <c r="I1703" s="311">
        <v>1.9567182341598276E-2</v>
      </c>
      <c r="J1703" s="312">
        <v>16.192592592592593</v>
      </c>
      <c r="K1703" s="311">
        <v>6.9658210074225622E-3</v>
      </c>
      <c r="L1703" s="312">
        <v>184.05951096727799</v>
      </c>
      <c r="M1703" s="311">
        <v>7.9179760793728932E-2</v>
      </c>
      <c r="N1703" s="312">
        <v>895.91805825242739</v>
      </c>
      <c r="O1703" s="311">
        <v>0.38541109432709908</v>
      </c>
      <c r="P1703" s="312">
        <v>699.92282092772405</v>
      </c>
      <c r="Q1703" s="311">
        <v>0.30109675530422142</v>
      </c>
      <c r="R1703" s="312">
        <v>0</v>
      </c>
      <c r="S1703" s="311">
        <v>0</v>
      </c>
      <c r="T1703" s="312">
        <v>2324.5777597986325</v>
      </c>
      <c r="U1703" s="311">
        <v>8.3493313065295297E-2</v>
      </c>
      <c r="V1703" s="307"/>
    </row>
    <row r="1704" spans="1:22">
      <c r="A1704" s="313" t="s">
        <v>305</v>
      </c>
      <c r="B1704" s="312">
        <v>328.15487089621627</v>
      </c>
      <c r="C1704" s="311">
        <v>7.9725113140186987E-2</v>
      </c>
      <c r="D1704" s="312">
        <v>730.56146734854451</v>
      </c>
      <c r="E1704" s="311">
        <v>0.17748965749359324</v>
      </c>
      <c r="F1704" s="312">
        <v>0</v>
      </c>
      <c r="G1704" s="311">
        <v>0</v>
      </c>
      <c r="H1704" s="312">
        <v>0</v>
      </c>
      <c r="I1704" s="311">
        <v>0</v>
      </c>
      <c r="J1704" s="312">
        <v>11.181818181818182</v>
      </c>
      <c r="K1704" s="311">
        <v>2.7166188855395519E-3</v>
      </c>
      <c r="L1704" s="312">
        <v>197.52239631829576</v>
      </c>
      <c r="M1704" s="311">
        <v>4.7987998322832626E-2</v>
      </c>
      <c r="N1704" s="312">
        <v>1423.4745212825462</v>
      </c>
      <c r="O1704" s="311">
        <v>0.34583264588297491</v>
      </c>
      <c r="P1704" s="312">
        <v>1277.0093472443696</v>
      </c>
      <c r="Q1704" s="311">
        <v>0.31024898217138608</v>
      </c>
      <c r="R1704" s="312">
        <v>148.17466561762393</v>
      </c>
      <c r="S1704" s="311">
        <v>3.5998984103486162E-2</v>
      </c>
      <c r="T1704" s="312">
        <v>4116.0790868894164</v>
      </c>
      <c r="U1704" s="311">
        <v>0.14783978653953181</v>
      </c>
      <c r="V1704" s="307"/>
    </row>
    <row r="1705" spans="1:22" ht="28.5">
      <c r="A1705" s="313" t="s">
        <v>304</v>
      </c>
      <c r="B1705" s="312">
        <v>896.09456728800603</v>
      </c>
      <c r="C1705" s="311">
        <v>0.12634335432818633</v>
      </c>
      <c r="D1705" s="312">
        <v>1106.1673726917479</v>
      </c>
      <c r="E1705" s="311">
        <v>0.15596221806950694</v>
      </c>
      <c r="F1705" s="312">
        <v>178.77089808531176</v>
      </c>
      <c r="G1705" s="311">
        <v>2.520550368776122E-2</v>
      </c>
      <c r="H1705" s="312">
        <v>70.648183593307508</v>
      </c>
      <c r="I1705" s="311">
        <v>9.9609224497208739E-3</v>
      </c>
      <c r="J1705" s="312">
        <v>271.2766153194903</v>
      </c>
      <c r="K1705" s="311">
        <v>3.824819252502594E-2</v>
      </c>
      <c r="L1705" s="312">
        <v>1484.8657222243753</v>
      </c>
      <c r="M1705" s="311">
        <v>0.20935615829091031</v>
      </c>
      <c r="N1705" s="312">
        <v>1708.6918119473762</v>
      </c>
      <c r="O1705" s="311">
        <v>0.24091414334526745</v>
      </c>
      <c r="P1705" s="312">
        <v>1275.7612967626178</v>
      </c>
      <c r="Q1705" s="311">
        <v>0.17987382965938814</v>
      </c>
      <c r="R1705" s="312">
        <v>100.25777777777778</v>
      </c>
      <c r="S1705" s="311">
        <v>1.413567764423594E-2</v>
      </c>
      <c r="T1705" s="312">
        <v>7092.534245689988</v>
      </c>
      <c r="U1705" s="311">
        <v>0.25474698779404137</v>
      </c>
      <c r="V1705" s="307"/>
    </row>
    <row r="1706" spans="1:22" ht="28.5">
      <c r="A1706" s="313" t="s">
        <v>303</v>
      </c>
      <c r="B1706" s="312">
        <v>1040.5443740167557</v>
      </c>
      <c r="C1706" s="311">
        <v>0.12449610826568183</v>
      </c>
      <c r="D1706" s="312">
        <v>787.70366073029311</v>
      </c>
      <c r="E1706" s="311">
        <v>9.4244938203830356E-2</v>
      </c>
      <c r="F1706" s="312">
        <v>135.47523741384686</v>
      </c>
      <c r="G1706" s="311">
        <v>1.6208957777827201E-2</v>
      </c>
      <c r="H1706" s="312">
        <v>139.6284624977481</v>
      </c>
      <c r="I1706" s="311">
        <v>1.6705871098016647E-2</v>
      </c>
      <c r="J1706" s="312">
        <v>306.80913367465047</v>
      </c>
      <c r="K1706" s="311">
        <v>3.6708230880545097E-2</v>
      </c>
      <c r="L1706" s="312">
        <v>1967.362767701434</v>
      </c>
      <c r="M1706" s="311">
        <v>0.23538545230910557</v>
      </c>
      <c r="N1706" s="312">
        <v>2268.0015352192149</v>
      </c>
      <c r="O1706" s="311">
        <v>0.27135542868336843</v>
      </c>
      <c r="P1706" s="312">
        <v>1609.943415151776</v>
      </c>
      <c r="Q1706" s="311">
        <v>0.19262195319997907</v>
      </c>
      <c r="R1706" s="312">
        <v>102.57881372809348</v>
      </c>
      <c r="S1706" s="311">
        <v>1.2273059581649606E-2</v>
      </c>
      <c r="T1706" s="312">
        <v>8358.0474001337807</v>
      </c>
      <c r="U1706" s="311">
        <v>0.3002012151464436</v>
      </c>
      <c r="V1706" s="307"/>
    </row>
    <row r="1707" spans="1:22" ht="15.75" thickBot="1">
      <c r="A1707" s="310" t="s">
        <v>302</v>
      </c>
      <c r="B1707" s="309">
        <v>38.210526315789473</v>
      </c>
      <c r="C1707" s="308">
        <v>6.7506775137233396E-2</v>
      </c>
      <c r="D1707" s="309">
        <v>59.40625</v>
      </c>
      <c r="E1707" s="308">
        <v>0.1049533923545856</v>
      </c>
      <c r="F1707" s="309">
        <v>0</v>
      </c>
      <c r="G1707" s="308">
        <v>0</v>
      </c>
      <c r="H1707" s="309">
        <v>0</v>
      </c>
      <c r="I1707" s="308">
        <v>0</v>
      </c>
      <c r="J1707" s="309">
        <v>0</v>
      </c>
      <c r="K1707" s="308">
        <v>0</v>
      </c>
      <c r="L1707" s="309">
        <v>196.75367647058823</v>
      </c>
      <c r="M1707" s="308">
        <v>0.34760594725007626</v>
      </c>
      <c r="N1707" s="309">
        <v>0</v>
      </c>
      <c r="O1707" s="308">
        <v>0</v>
      </c>
      <c r="P1707" s="309">
        <v>271.65460526315792</v>
      </c>
      <c r="Q1707" s="308">
        <v>0.47993388525810482</v>
      </c>
      <c r="R1707" s="309">
        <v>0</v>
      </c>
      <c r="S1707" s="308">
        <v>0</v>
      </c>
      <c r="T1707" s="309">
        <v>566.02505804953557</v>
      </c>
      <c r="U1707" s="308">
        <v>2.0330275971764299E-2</v>
      </c>
      <c r="V1707" s="307"/>
    </row>
    <row r="1713" spans="1:24" ht="15.75" thickBot="1"/>
    <row r="1714" spans="1:24" ht="15" customHeight="1">
      <c r="A1714" s="752" t="s">
        <v>310</v>
      </c>
      <c r="B1714" s="763" t="s">
        <v>359</v>
      </c>
      <c r="C1714" s="764"/>
      <c r="D1714" s="764"/>
      <c r="E1714" s="764"/>
      <c r="F1714" s="764"/>
      <c r="G1714" s="764"/>
      <c r="H1714" s="764"/>
      <c r="I1714" s="764"/>
      <c r="J1714" s="764"/>
      <c r="K1714" s="764"/>
      <c r="L1714" s="764"/>
      <c r="M1714" s="764"/>
      <c r="N1714" s="764"/>
      <c r="O1714" s="764"/>
      <c r="P1714" s="764"/>
      <c r="Q1714" s="764"/>
      <c r="R1714" s="764"/>
      <c r="S1714" s="764"/>
      <c r="T1714" s="764"/>
      <c r="U1714" s="764"/>
      <c r="V1714" s="764"/>
      <c r="W1714" s="765"/>
      <c r="X1714" s="307"/>
    </row>
    <row r="1715" spans="1:24" ht="15" customHeight="1">
      <c r="A1715" s="753"/>
      <c r="B1715" s="895" t="s">
        <v>69</v>
      </c>
      <c r="C1715" s="892"/>
      <c r="D1715" s="891" t="s">
        <v>68</v>
      </c>
      <c r="E1715" s="892"/>
      <c r="F1715" s="891" t="s">
        <v>67</v>
      </c>
      <c r="G1715" s="892"/>
      <c r="H1715" s="891" t="s">
        <v>66</v>
      </c>
      <c r="I1715" s="892"/>
      <c r="J1715" s="891" t="s">
        <v>65</v>
      </c>
      <c r="K1715" s="892"/>
      <c r="L1715" s="891" t="s">
        <v>64</v>
      </c>
      <c r="M1715" s="892"/>
      <c r="N1715" s="891" t="s">
        <v>63</v>
      </c>
      <c r="O1715" s="892"/>
      <c r="P1715" s="891" t="s">
        <v>62</v>
      </c>
      <c r="Q1715" s="892"/>
      <c r="R1715" s="891" t="s">
        <v>61</v>
      </c>
      <c r="S1715" s="892"/>
      <c r="T1715" s="891" t="s">
        <v>60</v>
      </c>
      <c r="U1715" s="892"/>
      <c r="V1715" s="893" t="s">
        <v>9</v>
      </c>
      <c r="W1715" s="894"/>
      <c r="X1715" s="307"/>
    </row>
    <row r="1716" spans="1:24" ht="15.75" customHeight="1" thickBot="1">
      <c r="A1716" s="754"/>
      <c r="B1716" s="324" t="s">
        <v>7</v>
      </c>
      <c r="C1716" s="318" t="s">
        <v>8</v>
      </c>
      <c r="D1716" s="324" t="s">
        <v>7</v>
      </c>
      <c r="E1716" s="318" t="s">
        <v>8</v>
      </c>
      <c r="F1716" s="324" t="s">
        <v>7</v>
      </c>
      <c r="G1716" s="318" t="s">
        <v>8</v>
      </c>
      <c r="H1716" s="324" t="s">
        <v>7</v>
      </c>
      <c r="I1716" s="318" t="s">
        <v>8</v>
      </c>
      <c r="J1716" s="324" t="s">
        <v>7</v>
      </c>
      <c r="K1716" s="318" t="s">
        <v>8</v>
      </c>
      <c r="L1716" s="324" t="s">
        <v>7</v>
      </c>
      <c r="M1716" s="318" t="s">
        <v>8</v>
      </c>
      <c r="N1716" s="324" t="s">
        <v>7</v>
      </c>
      <c r="O1716" s="318" t="s">
        <v>8</v>
      </c>
      <c r="P1716" s="324" t="s">
        <v>7</v>
      </c>
      <c r="Q1716" s="318" t="s">
        <v>8</v>
      </c>
      <c r="R1716" s="324" t="s">
        <v>7</v>
      </c>
      <c r="S1716" s="318" t="s">
        <v>8</v>
      </c>
      <c r="T1716" s="324" t="s">
        <v>7</v>
      </c>
      <c r="U1716" s="318" t="s">
        <v>8</v>
      </c>
      <c r="V1716" s="324" t="s">
        <v>7</v>
      </c>
      <c r="W1716" s="318" t="s">
        <v>6</v>
      </c>
      <c r="X1716" s="307"/>
    </row>
    <row r="1717" spans="1:24" ht="15.75" customHeight="1">
      <c r="A1717" s="316" t="s">
        <v>5</v>
      </c>
      <c r="B1717" s="315">
        <v>348.07236399999999</v>
      </c>
      <c r="C1717" s="314">
        <v>1.7392905654174888E-3</v>
      </c>
      <c r="D1717" s="315">
        <v>5689.0607195000039</v>
      </c>
      <c r="E1717" s="314">
        <v>2.8427794501701912E-2</v>
      </c>
      <c r="F1717" s="315">
        <v>10650.640834999998</v>
      </c>
      <c r="G1717" s="314">
        <v>5.3220424934298266E-2</v>
      </c>
      <c r="H1717" s="315">
        <v>61211.449055199737</v>
      </c>
      <c r="I1717" s="314">
        <v>0.30586885615900877</v>
      </c>
      <c r="J1717" s="315">
        <v>115934.06080169875</v>
      </c>
      <c r="K1717" s="314">
        <v>0.57931349632495421</v>
      </c>
      <c r="L1717" s="315">
        <v>628.21895999999981</v>
      </c>
      <c r="M1717" s="314">
        <v>3.1391613444622293E-3</v>
      </c>
      <c r="N1717" s="315">
        <v>193.74715499999999</v>
      </c>
      <c r="O1717" s="314">
        <v>9.68139483685007E-4</v>
      </c>
      <c r="P1717" s="315">
        <v>87.261309999999995</v>
      </c>
      <c r="Q1717" s="314">
        <v>4.3603798780465878E-4</v>
      </c>
      <c r="R1717" s="315">
        <v>87.261306532663312</v>
      </c>
      <c r="S1717" s="314">
        <v>4.3603796816498049E-4</v>
      </c>
      <c r="T1717" s="315">
        <v>5293.4104564621421</v>
      </c>
      <c r="U1717" s="314">
        <v>2.6450760730187383E-2</v>
      </c>
      <c r="V1717" s="315">
        <v>200123.18399678188</v>
      </c>
      <c r="W1717" s="314">
        <v>1</v>
      </c>
      <c r="X1717" s="307"/>
    </row>
    <row r="1718" spans="1:24">
      <c r="A1718" s="313" t="s">
        <v>309</v>
      </c>
      <c r="B1718" s="312">
        <v>0</v>
      </c>
      <c r="C1718" s="311">
        <v>0</v>
      </c>
      <c r="D1718" s="312">
        <v>104.47458</v>
      </c>
      <c r="E1718" s="311">
        <v>2.6500036181325272E-2</v>
      </c>
      <c r="F1718" s="312">
        <v>99.444187999999997</v>
      </c>
      <c r="G1718" s="311">
        <v>2.5224074411426326E-2</v>
      </c>
      <c r="H1718" s="312">
        <v>1519.0325221999999</v>
      </c>
      <c r="I1718" s="311">
        <v>0.38530345658158938</v>
      </c>
      <c r="J1718" s="312">
        <v>2038.7988291999995</v>
      </c>
      <c r="K1718" s="311">
        <v>0.51714247370263267</v>
      </c>
      <c r="L1718" s="312">
        <v>47.206898000000002</v>
      </c>
      <c r="M1718" s="311">
        <v>1.1974056320763688E-2</v>
      </c>
      <c r="N1718" s="312">
        <v>0</v>
      </c>
      <c r="O1718" s="311">
        <v>0</v>
      </c>
      <c r="P1718" s="312">
        <v>0</v>
      </c>
      <c r="Q1718" s="311">
        <v>0</v>
      </c>
      <c r="R1718" s="312">
        <v>0</v>
      </c>
      <c r="S1718" s="311">
        <v>0</v>
      </c>
      <c r="T1718" s="312">
        <v>133.47457627118646</v>
      </c>
      <c r="U1718" s="311">
        <v>3.3855902639554271E-2</v>
      </c>
      <c r="V1718" s="312">
        <v>3942.4314776722704</v>
      </c>
      <c r="W1718" s="311">
        <v>1.9700023750050207E-2</v>
      </c>
      <c r="X1718" s="307"/>
    </row>
    <row r="1719" spans="1:24">
      <c r="A1719" s="313" t="s">
        <v>308</v>
      </c>
      <c r="B1719" s="312">
        <v>0</v>
      </c>
      <c r="C1719" s="311">
        <v>0</v>
      </c>
      <c r="D1719" s="312">
        <v>134.10663700000001</v>
      </c>
      <c r="E1719" s="311">
        <v>1.6316524775719488E-2</v>
      </c>
      <c r="F1719" s="312">
        <v>510.26451999999989</v>
      </c>
      <c r="G1719" s="311">
        <v>6.208300997623712E-2</v>
      </c>
      <c r="H1719" s="312">
        <v>2599.7651250000026</v>
      </c>
      <c r="I1719" s="311">
        <v>0.31630896890743754</v>
      </c>
      <c r="J1719" s="312">
        <v>4730.2786740000065</v>
      </c>
      <c r="K1719" s="311">
        <v>0.57552490247278831</v>
      </c>
      <c r="L1719" s="312">
        <v>0</v>
      </c>
      <c r="M1719" s="311">
        <v>0</v>
      </c>
      <c r="N1719" s="312">
        <v>0</v>
      </c>
      <c r="O1719" s="311">
        <v>0</v>
      </c>
      <c r="P1719" s="312">
        <v>0</v>
      </c>
      <c r="Q1719" s="311">
        <v>0</v>
      </c>
      <c r="R1719" s="312">
        <v>0</v>
      </c>
      <c r="S1719" s="311">
        <v>0</v>
      </c>
      <c r="T1719" s="312">
        <v>244.65367733058136</v>
      </c>
      <c r="U1719" s="311">
        <v>2.9766593884839647E-2</v>
      </c>
      <c r="V1719" s="312">
        <v>8219.068606811119</v>
      </c>
      <c r="W1719" s="311">
        <v>4.1070047171262711E-2</v>
      </c>
      <c r="X1719" s="307"/>
    </row>
    <row r="1720" spans="1:24">
      <c r="A1720" s="313" t="s">
        <v>307</v>
      </c>
      <c r="B1720" s="312">
        <v>89.726029999999994</v>
      </c>
      <c r="C1720" s="311">
        <v>5.8454787036571997E-3</v>
      </c>
      <c r="D1720" s="312">
        <v>717.80824000000007</v>
      </c>
      <c r="E1720" s="311">
        <v>4.6763829629257604E-2</v>
      </c>
      <c r="F1720" s="312">
        <v>601.31985399999996</v>
      </c>
      <c r="G1720" s="311">
        <v>3.917483477919681E-2</v>
      </c>
      <c r="H1720" s="312">
        <v>5156.024774999999</v>
      </c>
      <c r="I1720" s="311">
        <v>0.3359051215995113</v>
      </c>
      <c r="J1720" s="312">
        <v>8453.3068639999983</v>
      </c>
      <c r="K1720" s="311">
        <v>0.55071672344124911</v>
      </c>
      <c r="L1720" s="312">
        <v>0</v>
      </c>
      <c r="M1720" s="311">
        <v>0</v>
      </c>
      <c r="N1720" s="312">
        <v>0</v>
      </c>
      <c r="O1720" s="311">
        <v>0</v>
      </c>
      <c r="P1720" s="312">
        <v>0</v>
      </c>
      <c r="Q1720" s="311">
        <v>0</v>
      </c>
      <c r="R1720" s="312">
        <v>0</v>
      </c>
      <c r="S1720" s="311">
        <v>0</v>
      </c>
      <c r="T1720" s="312">
        <v>331.46043513295729</v>
      </c>
      <c r="U1720" s="311">
        <v>2.1594011718059303E-2</v>
      </c>
      <c r="V1720" s="312">
        <v>15349.645978739252</v>
      </c>
      <c r="W1720" s="311">
        <v>7.6700988222264566E-2</v>
      </c>
      <c r="X1720" s="307"/>
    </row>
    <row r="1721" spans="1:24">
      <c r="A1721" s="313" t="s">
        <v>306</v>
      </c>
      <c r="B1721" s="312">
        <v>0</v>
      </c>
      <c r="C1721" s="311">
        <v>0</v>
      </c>
      <c r="D1721" s="312">
        <v>791.52630350000004</v>
      </c>
      <c r="E1721" s="311">
        <v>4.6123916700379797E-2</v>
      </c>
      <c r="F1721" s="312">
        <v>281.56963500000006</v>
      </c>
      <c r="G1721" s="311">
        <v>1.640765990046008E-2</v>
      </c>
      <c r="H1721" s="312">
        <v>5595.9537599999976</v>
      </c>
      <c r="I1721" s="311">
        <v>0.32608809580188131</v>
      </c>
      <c r="J1721" s="312">
        <v>9913.854201499993</v>
      </c>
      <c r="K1721" s="311">
        <v>0.57770131371218025</v>
      </c>
      <c r="L1721" s="312">
        <v>144.74379999999999</v>
      </c>
      <c r="M1721" s="311">
        <v>8.4345282583479318E-3</v>
      </c>
      <c r="N1721" s="312">
        <v>0</v>
      </c>
      <c r="O1721" s="311">
        <v>0</v>
      </c>
      <c r="P1721" s="312">
        <v>0</v>
      </c>
      <c r="Q1721" s="311">
        <v>0</v>
      </c>
      <c r="R1721" s="312">
        <v>0</v>
      </c>
      <c r="S1721" s="311">
        <v>0</v>
      </c>
      <c r="T1721" s="312">
        <v>433.21721681602725</v>
      </c>
      <c r="U1721" s="311">
        <v>2.5244485768028818E-2</v>
      </c>
      <c r="V1721" s="312">
        <v>17160.865180493412</v>
      </c>
      <c r="W1721" s="311">
        <v>8.5751509833909959E-2</v>
      </c>
      <c r="X1721" s="307"/>
    </row>
    <row r="1722" spans="1:24">
      <c r="A1722" s="313" t="s">
        <v>305</v>
      </c>
      <c r="B1722" s="312">
        <v>8.8730150000000005</v>
      </c>
      <c r="C1722" s="311">
        <v>3.3730583672196709E-4</v>
      </c>
      <c r="D1722" s="312">
        <v>497.18147599999992</v>
      </c>
      <c r="E1722" s="311">
        <v>1.8900251353665305E-2</v>
      </c>
      <c r="F1722" s="312">
        <v>1881.2081260000007</v>
      </c>
      <c r="G1722" s="311">
        <v>7.1513739240674543E-2</v>
      </c>
      <c r="H1722" s="312">
        <v>7076.3262750000067</v>
      </c>
      <c r="I1722" s="311">
        <v>0.26900508509300586</v>
      </c>
      <c r="J1722" s="312">
        <v>15993.460648999953</v>
      </c>
      <c r="K1722" s="311">
        <v>0.60798811072569847</v>
      </c>
      <c r="L1722" s="312">
        <v>162.78947099999999</v>
      </c>
      <c r="M1722" s="311">
        <v>6.1884081932895851E-3</v>
      </c>
      <c r="N1722" s="312">
        <v>0</v>
      </c>
      <c r="O1722" s="311">
        <v>0</v>
      </c>
      <c r="P1722" s="312">
        <v>0</v>
      </c>
      <c r="Q1722" s="311">
        <v>0</v>
      </c>
      <c r="R1722" s="312">
        <v>0</v>
      </c>
      <c r="S1722" s="311">
        <v>0</v>
      </c>
      <c r="T1722" s="312">
        <v>685.7093479968579</v>
      </c>
      <c r="U1722" s="311">
        <v>2.6067099248034294E-2</v>
      </c>
      <c r="V1722" s="312">
        <v>26305.54867161013</v>
      </c>
      <c r="W1722" s="311">
        <v>0.13144678265779111</v>
      </c>
      <c r="X1722" s="307"/>
    </row>
    <row r="1723" spans="1:24" ht="28.5">
      <c r="A1723" s="313" t="s">
        <v>304</v>
      </c>
      <c r="B1723" s="312">
        <v>191.31134599999999</v>
      </c>
      <c r="C1723" s="311">
        <v>2.5686051685041454E-3</v>
      </c>
      <c r="D1723" s="312">
        <v>2119.8431479999995</v>
      </c>
      <c r="E1723" s="311">
        <v>2.8461668271211146E-2</v>
      </c>
      <c r="F1723" s="312">
        <v>4237.0381690000022</v>
      </c>
      <c r="G1723" s="311">
        <v>5.6887781972130125E-2</v>
      </c>
      <c r="H1723" s="312">
        <v>24334.05636800002</v>
      </c>
      <c r="I1723" s="311">
        <v>0.32671655008645473</v>
      </c>
      <c r="J1723" s="312">
        <v>41267.352047999419</v>
      </c>
      <c r="K1723" s="311">
        <v>0.55406820336192419</v>
      </c>
      <c r="L1723" s="312">
        <v>157.15484499999999</v>
      </c>
      <c r="M1723" s="311">
        <v>2.1100094456628195E-3</v>
      </c>
      <c r="N1723" s="312">
        <v>80.793729999999996</v>
      </c>
      <c r="O1723" s="311">
        <v>1.0847615512606787E-3</v>
      </c>
      <c r="P1723" s="312">
        <v>87.261309999999995</v>
      </c>
      <c r="Q1723" s="311">
        <v>1.1715972761826812E-3</v>
      </c>
      <c r="R1723" s="312">
        <v>87.261306532663312</v>
      </c>
      <c r="S1723" s="311">
        <v>1.1715972353536443E-3</v>
      </c>
      <c r="T1723" s="312">
        <v>1918.563504941817</v>
      </c>
      <c r="U1723" s="311">
        <v>2.5759225796130488E-2</v>
      </c>
      <c r="V1723" s="312">
        <v>74480.635409082082</v>
      </c>
      <c r="W1723" s="311">
        <v>0.37217394767354783</v>
      </c>
      <c r="X1723" s="307"/>
    </row>
    <row r="1724" spans="1:24" ht="28.5">
      <c r="A1724" s="313" t="s">
        <v>303</v>
      </c>
      <c r="B1724" s="312">
        <v>58.161973000000003</v>
      </c>
      <c r="C1724" s="311">
        <v>1.126026990494711E-3</v>
      </c>
      <c r="D1724" s="312">
        <v>1183.0370069999997</v>
      </c>
      <c r="E1724" s="311">
        <v>2.2903824129832735E-2</v>
      </c>
      <c r="F1724" s="312">
        <v>2696.1879989999984</v>
      </c>
      <c r="G1724" s="311">
        <v>5.2198718539378387E-2</v>
      </c>
      <c r="H1724" s="312">
        <v>13575.023558000026</v>
      </c>
      <c r="I1724" s="311">
        <v>0.26281506858286208</v>
      </c>
      <c r="J1724" s="312">
        <v>32364.359532000053</v>
      </c>
      <c r="K1724" s="311">
        <v>0.62658022902879917</v>
      </c>
      <c r="L1724" s="312">
        <v>116.32394599999999</v>
      </c>
      <c r="M1724" s="311">
        <v>2.252053980989422E-3</v>
      </c>
      <c r="N1724" s="312">
        <v>112.95342500000001</v>
      </c>
      <c r="O1724" s="311">
        <v>2.1868000457759586E-3</v>
      </c>
      <c r="P1724" s="312">
        <v>0</v>
      </c>
      <c r="Q1724" s="311">
        <v>0</v>
      </c>
      <c r="R1724" s="312">
        <v>0</v>
      </c>
      <c r="S1724" s="311">
        <v>0</v>
      </c>
      <c r="T1724" s="312">
        <v>1546.331697972714</v>
      </c>
      <c r="U1724" s="311">
        <v>2.993727854985688E-2</v>
      </c>
      <c r="V1724" s="312">
        <v>51652.380339030737</v>
      </c>
      <c r="W1724" s="311">
        <v>0.25810293094208087</v>
      </c>
      <c r="X1724" s="307"/>
    </row>
    <row r="1725" spans="1:24" ht="15.75" thickBot="1">
      <c r="A1725" s="313" t="s">
        <v>302</v>
      </c>
      <c r="B1725" s="312">
        <v>0</v>
      </c>
      <c r="C1725" s="311">
        <v>0</v>
      </c>
      <c r="D1725" s="312">
        <v>141.08332799999999</v>
      </c>
      <c r="E1725" s="311">
        <v>4.6830955671241487E-2</v>
      </c>
      <c r="F1725" s="312">
        <v>343.60834399999999</v>
      </c>
      <c r="G1725" s="311">
        <v>0.11405675889735671</v>
      </c>
      <c r="H1725" s="312">
        <v>1355.266672</v>
      </c>
      <c r="I1725" s="311">
        <v>0.44986487304256789</v>
      </c>
      <c r="J1725" s="312">
        <v>1172.6500039999999</v>
      </c>
      <c r="K1725" s="311">
        <v>0.38924741238883409</v>
      </c>
      <c r="L1725" s="312">
        <v>0</v>
      </c>
      <c r="M1725" s="311">
        <v>0</v>
      </c>
      <c r="N1725" s="312">
        <v>0</v>
      </c>
      <c r="O1725" s="311">
        <v>0</v>
      </c>
      <c r="P1725" s="312">
        <v>0</v>
      </c>
      <c r="Q1725" s="311">
        <v>0</v>
      </c>
      <c r="R1725" s="312">
        <v>0</v>
      </c>
      <c r="S1725" s="311">
        <v>0</v>
      </c>
      <c r="T1725" s="312">
        <v>0</v>
      </c>
      <c r="U1725" s="311">
        <v>0</v>
      </c>
      <c r="V1725" s="312">
        <v>3012.608333333334</v>
      </c>
      <c r="W1725" s="311">
        <v>1.5053769749045064E-2</v>
      </c>
      <c r="X1725" s="307"/>
    </row>
    <row r="1726" spans="1:24" ht="15" customHeight="1">
      <c r="A1726" s="316" t="s">
        <v>4</v>
      </c>
      <c r="B1726" s="315">
        <v>0</v>
      </c>
      <c r="C1726" s="314">
        <v>0</v>
      </c>
      <c r="D1726" s="315">
        <v>851.14321964482758</v>
      </c>
      <c r="E1726" s="314">
        <v>4.5514954977056319E-3</v>
      </c>
      <c r="F1726" s="315">
        <v>1975.4981908074164</v>
      </c>
      <c r="G1726" s="314">
        <v>1.0563993125548971E-2</v>
      </c>
      <c r="H1726" s="315">
        <v>6328.2584606230121</v>
      </c>
      <c r="I1726" s="314">
        <v>3.3840415134673098E-2</v>
      </c>
      <c r="J1726" s="315">
        <v>20518.999507509991</v>
      </c>
      <c r="K1726" s="314">
        <v>0.10972552176921209</v>
      </c>
      <c r="L1726" s="315">
        <v>79284.774795156525</v>
      </c>
      <c r="M1726" s="314">
        <v>0.42397599744417214</v>
      </c>
      <c r="N1726" s="315">
        <v>75073.866014267143</v>
      </c>
      <c r="O1726" s="314">
        <v>0.4014581274604756</v>
      </c>
      <c r="P1726" s="315">
        <v>0</v>
      </c>
      <c r="Q1726" s="314">
        <v>0</v>
      </c>
      <c r="R1726" s="315">
        <v>0</v>
      </c>
      <c r="S1726" s="314">
        <v>0</v>
      </c>
      <c r="T1726" s="315">
        <v>2970.4393983447167</v>
      </c>
      <c r="U1726" s="314">
        <v>1.5884449568211473E-2</v>
      </c>
      <c r="V1726" s="315">
        <v>187002.97958635382</v>
      </c>
      <c r="W1726" s="314">
        <v>1</v>
      </c>
      <c r="X1726" s="307"/>
    </row>
    <row r="1727" spans="1:24">
      <c r="A1727" s="313" t="s">
        <v>309</v>
      </c>
      <c r="B1727" s="312">
        <v>0</v>
      </c>
      <c r="C1727" s="311">
        <v>0</v>
      </c>
      <c r="D1727" s="312">
        <v>0</v>
      </c>
      <c r="E1727" s="311">
        <v>0</v>
      </c>
      <c r="F1727" s="312">
        <v>79.678571428571431</v>
      </c>
      <c r="G1727" s="311">
        <v>1.3681148456065837E-2</v>
      </c>
      <c r="H1727" s="312">
        <v>585.49812030075191</v>
      </c>
      <c r="I1727" s="311">
        <v>0.10053250906691989</v>
      </c>
      <c r="J1727" s="312">
        <v>836.56181318681286</v>
      </c>
      <c r="K1727" s="311">
        <v>0.14364120934503061</v>
      </c>
      <c r="L1727" s="312">
        <v>2213.6624493927129</v>
      </c>
      <c r="M1727" s="311">
        <v>0.38009522584010802</v>
      </c>
      <c r="N1727" s="312">
        <v>1909.433849045691</v>
      </c>
      <c r="O1727" s="311">
        <v>0.32785788559537271</v>
      </c>
      <c r="P1727" s="312">
        <v>0</v>
      </c>
      <c r="Q1727" s="311">
        <v>0</v>
      </c>
      <c r="R1727" s="312">
        <v>0</v>
      </c>
      <c r="S1727" s="311">
        <v>0</v>
      </c>
      <c r="T1727" s="312">
        <v>199.13324175824178</v>
      </c>
      <c r="U1727" s="311">
        <v>3.4192021696503955E-2</v>
      </c>
      <c r="V1727" s="312">
        <v>5823.9680451127761</v>
      </c>
      <c r="W1727" s="311">
        <v>3.1143717912919124E-2</v>
      </c>
      <c r="X1727" s="307"/>
    </row>
    <row r="1728" spans="1:24">
      <c r="A1728" s="313" t="s">
        <v>308</v>
      </c>
      <c r="B1728" s="312">
        <v>0</v>
      </c>
      <c r="C1728" s="311">
        <v>0</v>
      </c>
      <c r="D1728" s="312">
        <v>20.770114942528735</v>
      </c>
      <c r="E1728" s="311">
        <v>2.5489581093673945E-3</v>
      </c>
      <c r="F1728" s="312">
        <v>242.66426630454032</v>
      </c>
      <c r="G1728" s="311">
        <v>2.9780338296738401E-2</v>
      </c>
      <c r="H1728" s="312">
        <v>408.22578721807974</v>
      </c>
      <c r="I1728" s="311">
        <v>5.0098443540713841E-2</v>
      </c>
      <c r="J1728" s="312">
        <v>1048.0115208814616</v>
      </c>
      <c r="K1728" s="311">
        <v>0.12861447672547285</v>
      </c>
      <c r="L1728" s="312">
        <v>3569.9845684772008</v>
      </c>
      <c r="M1728" s="311">
        <v>0.43811703215488018</v>
      </c>
      <c r="N1728" s="312">
        <v>2658.8224750082491</v>
      </c>
      <c r="O1728" s="311">
        <v>0.32629704398811787</v>
      </c>
      <c r="P1728" s="312">
        <v>0</v>
      </c>
      <c r="Q1728" s="311">
        <v>0</v>
      </c>
      <c r="R1728" s="312">
        <v>0</v>
      </c>
      <c r="S1728" s="311">
        <v>0</v>
      </c>
      <c r="T1728" s="312">
        <v>199.99372193242152</v>
      </c>
      <c r="U1728" s="311">
        <v>2.4543707184710894E-2</v>
      </c>
      <c r="V1728" s="312">
        <v>8148.4724547644701</v>
      </c>
      <c r="W1728" s="311">
        <v>4.3574024717620535E-2</v>
      </c>
      <c r="X1728" s="307"/>
    </row>
    <row r="1729" spans="1:24">
      <c r="A1729" s="313" t="s">
        <v>307</v>
      </c>
      <c r="B1729" s="312">
        <v>0</v>
      </c>
      <c r="C1729" s="311">
        <v>0</v>
      </c>
      <c r="D1729" s="312">
        <v>361.36842105263156</v>
      </c>
      <c r="E1729" s="311">
        <v>2.2207631958078636E-2</v>
      </c>
      <c r="F1729" s="312">
        <v>29.806451612903224</v>
      </c>
      <c r="G1729" s="311">
        <v>1.8317336790732669E-3</v>
      </c>
      <c r="H1729" s="312">
        <v>598.64274322169058</v>
      </c>
      <c r="I1729" s="311">
        <v>3.6789151849839163E-2</v>
      </c>
      <c r="J1729" s="312">
        <v>1497.8106703709416</v>
      </c>
      <c r="K1729" s="311">
        <v>9.2046859029877262E-2</v>
      </c>
      <c r="L1729" s="312">
        <v>6108.7636466532913</v>
      </c>
      <c r="M1729" s="311">
        <v>0.37540960106198162</v>
      </c>
      <c r="N1729" s="312">
        <v>7529.2461285177751</v>
      </c>
      <c r="O1729" s="311">
        <v>0.46270431283634039</v>
      </c>
      <c r="P1729" s="312">
        <v>0</v>
      </c>
      <c r="Q1729" s="311">
        <v>0</v>
      </c>
      <c r="R1729" s="312">
        <v>0</v>
      </c>
      <c r="S1729" s="311">
        <v>0</v>
      </c>
      <c r="T1729" s="312">
        <v>146.62463343108504</v>
      </c>
      <c r="U1729" s="311">
        <v>9.010709584807583E-3</v>
      </c>
      <c r="V1729" s="312">
        <v>16272.262694860352</v>
      </c>
      <c r="W1729" s="311">
        <v>8.701606108551968E-2</v>
      </c>
      <c r="X1729" s="307"/>
    </row>
    <row r="1730" spans="1:24">
      <c r="A1730" s="313" t="s">
        <v>306</v>
      </c>
      <c r="B1730" s="312">
        <v>0</v>
      </c>
      <c r="C1730" s="311">
        <v>0</v>
      </c>
      <c r="D1730" s="312">
        <v>12.840909090909092</v>
      </c>
      <c r="E1730" s="311">
        <v>7.5894074889840601E-4</v>
      </c>
      <c r="F1730" s="312">
        <v>403.18392857142851</v>
      </c>
      <c r="G1730" s="311">
        <v>2.3829520988543823E-2</v>
      </c>
      <c r="H1730" s="312">
        <v>133.06335128286349</v>
      </c>
      <c r="I1730" s="311">
        <v>7.8644898705063984E-3</v>
      </c>
      <c r="J1730" s="312">
        <v>2221.8298364745006</v>
      </c>
      <c r="K1730" s="311">
        <v>0.13131758725809969</v>
      </c>
      <c r="L1730" s="312">
        <v>7820.1551433322893</v>
      </c>
      <c r="M1730" s="311">
        <v>0.46219736928003974</v>
      </c>
      <c r="N1730" s="312">
        <v>6248.5919227114409</v>
      </c>
      <c r="O1730" s="311">
        <v>0.36931271764399759</v>
      </c>
      <c r="P1730" s="312">
        <v>0</v>
      </c>
      <c r="Q1730" s="311">
        <v>0</v>
      </c>
      <c r="R1730" s="312">
        <v>0</v>
      </c>
      <c r="S1730" s="311">
        <v>0</v>
      </c>
      <c r="T1730" s="312">
        <v>79.849520905923356</v>
      </c>
      <c r="U1730" s="311">
        <v>4.7193742099166328E-3</v>
      </c>
      <c r="V1730" s="312">
        <v>16919.514612369316</v>
      </c>
      <c r="W1730" s="311">
        <v>9.0477246136905845E-2</v>
      </c>
      <c r="X1730" s="307"/>
    </row>
    <row r="1731" spans="1:24">
      <c r="A1731" s="313" t="s">
        <v>305</v>
      </c>
      <c r="B1731" s="312">
        <v>0</v>
      </c>
      <c r="C1731" s="311">
        <v>0</v>
      </c>
      <c r="D1731" s="312">
        <v>5.8636363636363633</v>
      </c>
      <c r="E1731" s="311">
        <v>2.5170463143930639E-4</v>
      </c>
      <c r="F1731" s="312">
        <v>111.68598593383693</v>
      </c>
      <c r="G1731" s="311">
        <v>4.7942740959772377E-3</v>
      </c>
      <c r="H1731" s="312">
        <v>688.88407779465979</v>
      </c>
      <c r="I1731" s="311">
        <v>2.9571293673842241E-2</v>
      </c>
      <c r="J1731" s="312">
        <v>2578.4650428724626</v>
      </c>
      <c r="K1731" s="311">
        <v>0.11068414769378038</v>
      </c>
      <c r="L1731" s="312">
        <v>10965.24883202295</v>
      </c>
      <c r="M1731" s="311">
        <v>0.47069834224729978</v>
      </c>
      <c r="N1731" s="312">
        <v>8651.4087449015205</v>
      </c>
      <c r="O1731" s="311">
        <v>0.37137358364695389</v>
      </c>
      <c r="P1731" s="312">
        <v>0</v>
      </c>
      <c r="Q1731" s="311">
        <v>0</v>
      </c>
      <c r="R1731" s="312">
        <v>0</v>
      </c>
      <c r="S1731" s="311">
        <v>0</v>
      </c>
      <c r="T1731" s="312">
        <v>294.1467830164105</v>
      </c>
      <c r="U1731" s="311">
        <v>1.2626654010701326E-2</v>
      </c>
      <c r="V1731" s="312">
        <v>23295.703102905612</v>
      </c>
      <c r="W1731" s="311">
        <v>0.12457396750808547</v>
      </c>
      <c r="X1731" s="307"/>
    </row>
    <row r="1732" spans="1:24" ht="28.5">
      <c r="A1732" s="313" t="s">
        <v>304</v>
      </c>
      <c r="B1732" s="312">
        <v>0</v>
      </c>
      <c r="C1732" s="311">
        <v>0</v>
      </c>
      <c r="D1732" s="312">
        <v>315.43863511486882</v>
      </c>
      <c r="E1732" s="311">
        <v>4.9070055090323162E-3</v>
      </c>
      <c r="F1732" s="312">
        <v>700.95332726659831</v>
      </c>
      <c r="G1732" s="311">
        <v>1.0904123514290461E-2</v>
      </c>
      <c r="H1732" s="312">
        <v>2321.410709848104</v>
      </c>
      <c r="I1732" s="311">
        <v>3.6112174838073031E-2</v>
      </c>
      <c r="J1732" s="312">
        <v>7200.5562938403791</v>
      </c>
      <c r="K1732" s="311">
        <v>0.11201281475588834</v>
      </c>
      <c r="L1732" s="312">
        <v>26186.977511276727</v>
      </c>
      <c r="M1732" s="311">
        <v>0.40736811730733735</v>
      </c>
      <c r="N1732" s="312">
        <v>26109.650702820178</v>
      </c>
      <c r="O1732" s="311">
        <v>0.40616521115427845</v>
      </c>
      <c r="P1732" s="312">
        <v>0</v>
      </c>
      <c r="Q1732" s="311">
        <v>0</v>
      </c>
      <c r="R1732" s="312">
        <v>0</v>
      </c>
      <c r="S1732" s="311">
        <v>0</v>
      </c>
      <c r="T1732" s="312">
        <v>1448.3388797373857</v>
      </c>
      <c r="U1732" s="311">
        <v>2.2530552921106152E-2</v>
      </c>
      <c r="V1732" s="312">
        <v>64283.326059903848</v>
      </c>
      <c r="W1732" s="311">
        <v>0.34375562465420095</v>
      </c>
      <c r="X1732" s="307"/>
    </row>
    <row r="1733" spans="1:24" ht="28.5">
      <c r="A1733" s="313" t="s">
        <v>303</v>
      </c>
      <c r="B1733" s="312">
        <v>0</v>
      </c>
      <c r="C1733" s="311">
        <v>0</v>
      </c>
      <c r="D1733" s="312">
        <v>60.553467365967364</v>
      </c>
      <c r="E1733" s="311">
        <v>1.2280133617186429E-3</v>
      </c>
      <c r="F1733" s="312">
        <v>407.52565968953763</v>
      </c>
      <c r="G1733" s="311">
        <v>8.2645466413575029E-3</v>
      </c>
      <c r="H1733" s="312">
        <v>1458.7399209568739</v>
      </c>
      <c r="I1733" s="311">
        <v>2.9582981654560463E-2</v>
      </c>
      <c r="J1733" s="312">
        <v>4853.8816909944744</v>
      </c>
      <c r="K1733" s="311">
        <v>9.8435842438524462E-2</v>
      </c>
      <c r="L1733" s="312">
        <v>21028.502088445905</v>
      </c>
      <c r="M1733" s="311">
        <v>0.42645421748471696</v>
      </c>
      <c r="N1733" s="312">
        <v>20898.549195230706</v>
      </c>
      <c r="O1733" s="311">
        <v>0.42381879632381497</v>
      </c>
      <c r="P1733" s="312">
        <v>0</v>
      </c>
      <c r="Q1733" s="311">
        <v>0</v>
      </c>
      <c r="R1733" s="312">
        <v>0</v>
      </c>
      <c r="S1733" s="311">
        <v>0</v>
      </c>
      <c r="T1733" s="312">
        <v>602.35261756324746</v>
      </c>
      <c r="U1733" s="311">
        <v>1.221560209530787E-2</v>
      </c>
      <c r="V1733" s="312">
        <v>49310.104640246667</v>
      </c>
      <c r="W1733" s="311">
        <v>0.26368619767085777</v>
      </c>
      <c r="X1733" s="307"/>
    </row>
    <row r="1734" spans="1:24" ht="15.75" thickBot="1">
      <c r="A1734" s="313" t="s">
        <v>302</v>
      </c>
      <c r="B1734" s="312">
        <v>0</v>
      </c>
      <c r="C1734" s="311">
        <v>0</v>
      </c>
      <c r="D1734" s="312">
        <v>74.308035714285708</v>
      </c>
      <c r="E1734" s="311">
        <v>2.5192341649219286E-2</v>
      </c>
      <c r="F1734" s="312">
        <v>0</v>
      </c>
      <c r="G1734" s="311">
        <v>0</v>
      </c>
      <c r="H1734" s="312">
        <v>133.79374999999999</v>
      </c>
      <c r="I1734" s="311">
        <v>4.5359533839517699E-2</v>
      </c>
      <c r="J1734" s="312">
        <v>281.88263888888889</v>
      </c>
      <c r="K1734" s="311">
        <v>9.5565488652893757E-2</v>
      </c>
      <c r="L1734" s="312">
        <v>1391.4805555555556</v>
      </c>
      <c r="M1734" s="311">
        <v>0.47174781592378656</v>
      </c>
      <c r="N1734" s="312">
        <v>1068.1629960317459</v>
      </c>
      <c r="O1734" s="311">
        <v>0.36213481993458285</v>
      </c>
      <c r="P1734" s="312">
        <v>0</v>
      </c>
      <c r="Q1734" s="311">
        <v>0</v>
      </c>
      <c r="R1734" s="312">
        <v>0</v>
      </c>
      <c r="S1734" s="311">
        <v>0</v>
      </c>
      <c r="T1734" s="312">
        <v>0</v>
      </c>
      <c r="U1734" s="311">
        <v>0</v>
      </c>
      <c r="V1734" s="312">
        <v>2949.6279761904757</v>
      </c>
      <c r="W1734" s="311">
        <v>1.5773160313889024E-2</v>
      </c>
      <c r="X1734" s="307"/>
    </row>
    <row r="1735" spans="1:24" ht="15.75" customHeight="1">
      <c r="A1735" s="316" t="s">
        <v>3</v>
      </c>
      <c r="B1735" s="315">
        <v>36.998791905768655</v>
      </c>
      <c r="C1735" s="314">
        <v>2.8281101202971712E-4</v>
      </c>
      <c r="D1735" s="315">
        <v>117.34696374588999</v>
      </c>
      <c r="E1735" s="314">
        <v>8.9697560017940286E-4</v>
      </c>
      <c r="F1735" s="315">
        <v>342.3685742382691</v>
      </c>
      <c r="G1735" s="314">
        <v>2.6169936362813967E-3</v>
      </c>
      <c r="H1735" s="315">
        <v>990.16579664744518</v>
      </c>
      <c r="I1735" s="314">
        <v>7.5686198549475957E-3</v>
      </c>
      <c r="J1735" s="315">
        <v>3378.1218511179886</v>
      </c>
      <c r="K1735" s="314">
        <v>2.5821655526147694E-2</v>
      </c>
      <c r="L1735" s="315">
        <v>8933.09986570203</v>
      </c>
      <c r="M1735" s="314">
        <v>6.8282743393786913E-2</v>
      </c>
      <c r="N1735" s="315">
        <v>16000.556035785134</v>
      </c>
      <c r="O1735" s="314">
        <v>0.12230489733404128</v>
      </c>
      <c r="P1735" s="315">
        <v>52322.873216293621</v>
      </c>
      <c r="Q1735" s="314">
        <v>0.39994507832282578</v>
      </c>
      <c r="R1735" s="315">
        <v>47109.729878993305</v>
      </c>
      <c r="S1735" s="314">
        <v>0.36009690309502851</v>
      </c>
      <c r="T1735" s="315">
        <v>1593.8849073773247</v>
      </c>
      <c r="U1735" s="314">
        <v>1.2183322224745174E-2</v>
      </c>
      <c r="V1735" s="315">
        <v>130825.14588180502</v>
      </c>
      <c r="W1735" s="314">
        <v>1</v>
      </c>
      <c r="X1735" s="307"/>
    </row>
    <row r="1736" spans="1:24">
      <c r="A1736" s="313" t="s">
        <v>309</v>
      </c>
      <c r="B1736" s="312">
        <v>17.90909090909091</v>
      </c>
      <c r="C1736" s="311">
        <v>7.4308733520908532E-3</v>
      </c>
      <c r="D1736" s="312">
        <v>0</v>
      </c>
      <c r="E1736" s="311">
        <v>0</v>
      </c>
      <c r="F1736" s="312">
        <v>0</v>
      </c>
      <c r="G1736" s="311">
        <v>0</v>
      </c>
      <c r="H1736" s="312">
        <v>39.466666666666669</v>
      </c>
      <c r="I1736" s="311">
        <v>1.637558283208651E-2</v>
      </c>
      <c r="J1736" s="312">
        <v>101.37908496732025</v>
      </c>
      <c r="K1736" s="311">
        <v>4.2064398732858672E-2</v>
      </c>
      <c r="L1736" s="312">
        <v>107.58229352346999</v>
      </c>
      <c r="M1736" s="311">
        <v>4.4638245579208452E-2</v>
      </c>
      <c r="N1736" s="312">
        <v>556.3234699940582</v>
      </c>
      <c r="O1736" s="311">
        <v>0.23083077021084863</v>
      </c>
      <c r="P1736" s="312">
        <v>1016.5821746880573</v>
      </c>
      <c r="Q1736" s="311">
        <v>0.4218021691020335</v>
      </c>
      <c r="R1736" s="312">
        <v>570.84955436720134</v>
      </c>
      <c r="S1736" s="311">
        <v>0.23685796019087274</v>
      </c>
      <c r="T1736" s="312">
        <v>0</v>
      </c>
      <c r="U1736" s="311">
        <v>0</v>
      </c>
      <c r="V1736" s="312">
        <v>2410.0923351158663</v>
      </c>
      <c r="W1736" s="311">
        <v>1.8422240761674997E-2</v>
      </c>
      <c r="X1736" s="307"/>
    </row>
    <row r="1737" spans="1:24">
      <c r="A1737" s="313" t="s">
        <v>308</v>
      </c>
      <c r="B1737" s="312">
        <v>0</v>
      </c>
      <c r="C1737" s="311">
        <v>0</v>
      </c>
      <c r="D1737" s="312">
        <v>36.666666666666664</v>
      </c>
      <c r="E1737" s="311">
        <v>5.6418886176191792E-3</v>
      </c>
      <c r="F1737" s="312">
        <v>78.903563941299794</v>
      </c>
      <c r="G1737" s="311">
        <v>1.2140866889727448E-2</v>
      </c>
      <c r="H1737" s="312">
        <v>70.768724985706115</v>
      </c>
      <c r="I1737" s="311">
        <v>1.0889161744916656E-2</v>
      </c>
      <c r="J1737" s="312">
        <v>236.32355330865758</v>
      </c>
      <c r="K1737" s="311">
        <v>3.6363031786020947E-2</v>
      </c>
      <c r="L1737" s="312">
        <v>561.99504478749725</v>
      </c>
      <c r="M1737" s="311">
        <v>8.647400308213532E-2</v>
      </c>
      <c r="N1737" s="312">
        <v>890.21726700971919</v>
      </c>
      <c r="O1737" s="311">
        <v>0.13697745452591426</v>
      </c>
      <c r="P1737" s="312">
        <v>2301.8644689195858</v>
      </c>
      <c r="Q1737" s="311">
        <v>0.35418717126816623</v>
      </c>
      <c r="R1737" s="312">
        <v>2284.4129427341968</v>
      </c>
      <c r="S1737" s="311">
        <v>0.35150191035147271</v>
      </c>
      <c r="T1737" s="312">
        <v>37.853535353535356</v>
      </c>
      <c r="U1737" s="311">
        <v>5.824511734029719E-3</v>
      </c>
      <c r="V1737" s="312">
        <v>6499.005767706848</v>
      </c>
      <c r="W1737" s="311">
        <v>4.9677038186362307E-2</v>
      </c>
      <c r="X1737" s="307"/>
    </row>
    <row r="1738" spans="1:24">
      <c r="A1738" s="313" t="s">
        <v>307</v>
      </c>
      <c r="B1738" s="312">
        <v>0</v>
      </c>
      <c r="C1738" s="311">
        <v>0</v>
      </c>
      <c r="D1738" s="312">
        <v>0</v>
      </c>
      <c r="E1738" s="311">
        <v>0</v>
      </c>
      <c r="F1738" s="312">
        <v>0</v>
      </c>
      <c r="G1738" s="311">
        <v>0</v>
      </c>
      <c r="H1738" s="312">
        <v>72.462962962962962</v>
      </c>
      <c r="I1738" s="311">
        <v>5.0205794399661805E-3</v>
      </c>
      <c r="J1738" s="312">
        <v>263.79108796296293</v>
      </c>
      <c r="K1738" s="311">
        <v>1.8276703829376628E-2</v>
      </c>
      <c r="L1738" s="312">
        <v>550.78327546296293</v>
      </c>
      <c r="M1738" s="311">
        <v>3.8160890413492299E-2</v>
      </c>
      <c r="N1738" s="312">
        <v>1365.3576388888889</v>
      </c>
      <c r="O1738" s="311">
        <v>9.459848465636124E-2</v>
      </c>
      <c r="P1738" s="312">
        <v>5638.136574074073</v>
      </c>
      <c r="Q1738" s="311">
        <v>0.39063697378736345</v>
      </c>
      <c r="R1738" s="312">
        <v>6374.5286458333312</v>
      </c>
      <c r="S1738" s="311">
        <v>0.44165772623876798</v>
      </c>
      <c r="T1738" s="312">
        <v>168.12702546296296</v>
      </c>
      <c r="U1738" s="311">
        <v>1.1648641634671403E-2</v>
      </c>
      <c r="V1738" s="312">
        <v>14433.187210648157</v>
      </c>
      <c r="W1738" s="311">
        <v>0.11032425848535214</v>
      </c>
      <c r="X1738" s="307"/>
    </row>
    <row r="1739" spans="1:24">
      <c r="A1739" s="313" t="s">
        <v>306</v>
      </c>
      <c r="B1739" s="312">
        <v>0</v>
      </c>
      <c r="C1739" s="311">
        <v>0</v>
      </c>
      <c r="D1739" s="312">
        <v>0</v>
      </c>
      <c r="E1739" s="311">
        <v>0</v>
      </c>
      <c r="F1739" s="312">
        <v>0</v>
      </c>
      <c r="G1739" s="311">
        <v>0</v>
      </c>
      <c r="H1739" s="312">
        <v>187.73425925925926</v>
      </c>
      <c r="I1739" s="311">
        <v>1.5925605582350181E-2</v>
      </c>
      <c r="J1739" s="312">
        <v>369.56499999999994</v>
      </c>
      <c r="K1739" s="311">
        <v>3.1350412280975098E-2</v>
      </c>
      <c r="L1739" s="312">
        <v>542.66600683207491</v>
      </c>
      <c r="M1739" s="311">
        <v>4.603467061289894E-2</v>
      </c>
      <c r="N1739" s="312">
        <v>1535.4672653721686</v>
      </c>
      <c r="O1739" s="311">
        <v>0.1302545744682502</v>
      </c>
      <c r="P1739" s="312">
        <v>4321.3069723121098</v>
      </c>
      <c r="Q1739" s="311">
        <v>0.36657896493076159</v>
      </c>
      <c r="R1739" s="312">
        <v>4697.5946979503724</v>
      </c>
      <c r="S1739" s="311">
        <v>0.3984996699083162</v>
      </c>
      <c r="T1739" s="312">
        <v>133.86802948579648</v>
      </c>
      <c r="U1739" s="311">
        <v>1.1356102216447584E-2</v>
      </c>
      <c r="V1739" s="312">
        <v>11788.202231211784</v>
      </c>
      <c r="W1739" s="311">
        <v>9.0106547573521725E-2</v>
      </c>
      <c r="X1739" s="307"/>
    </row>
    <row r="1740" spans="1:24">
      <c r="A1740" s="313" t="s">
        <v>305</v>
      </c>
      <c r="B1740" s="312">
        <v>0</v>
      </c>
      <c r="C1740" s="311">
        <v>0</v>
      </c>
      <c r="D1740" s="312">
        <v>23.294117647058822</v>
      </c>
      <c r="E1740" s="311">
        <v>1.1209266329064319E-3</v>
      </c>
      <c r="F1740" s="312">
        <v>56.266129032258064</v>
      </c>
      <c r="G1740" s="311">
        <v>2.7075592009286205E-3</v>
      </c>
      <c r="H1740" s="312">
        <v>155.61056305352133</v>
      </c>
      <c r="I1740" s="311">
        <v>7.4880717583342936E-3</v>
      </c>
      <c r="J1740" s="312">
        <v>527.71369638098588</v>
      </c>
      <c r="K1740" s="311">
        <v>2.5393893247449686E-2</v>
      </c>
      <c r="L1740" s="312">
        <v>2240.0712281578431</v>
      </c>
      <c r="M1740" s="311">
        <v>0.10779354415970274</v>
      </c>
      <c r="N1740" s="312">
        <v>2892.8123637115568</v>
      </c>
      <c r="O1740" s="311">
        <v>0.13920383126830799</v>
      </c>
      <c r="P1740" s="312">
        <v>8895.3021172183471</v>
      </c>
      <c r="Q1740" s="311">
        <v>0.42804716632819007</v>
      </c>
      <c r="R1740" s="312">
        <v>5774.4332182450244</v>
      </c>
      <c r="S1740" s="311">
        <v>0.27786912053686258</v>
      </c>
      <c r="T1740" s="312">
        <v>215.62261283170017</v>
      </c>
      <c r="U1740" s="311">
        <v>1.0375886867320005E-2</v>
      </c>
      <c r="V1740" s="312">
        <v>20781.126046278245</v>
      </c>
      <c r="W1740" s="311">
        <v>0.15884657269981653</v>
      </c>
      <c r="X1740" s="307"/>
    </row>
    <row r="1741" spans="1:24" ht="28.5">
      <c r="A1741" s="313" t="s">
        <v>304</v>
      </c>
      <c r="B1741" s="312">
        <v>0</v>
      </c>
      <c r="C1741" s="311">
        <v>0</v>
      </c>
      <c r="D1741" s="312">
        <v>19.964673664993153</v>
      </c>
      <c r="E1741" s="311">
        <v>5.1867461192899294E-4</v>
      </c>
      <c r="F1741" s="312">
        <v>154.49801080024645</v>
      </c>
      <c r="G1741" s="311">
        <v>4.0137994309483579E-3</v>
      </c>
      <c r="H1741" s="312">
        <v>203.6452046128841</v>
      </c>
      <c r="I1741" s="311">
        <v>5.2906247928808424E-3</v>
      </c>
      <c r="J1741" s="312">
        <v>973.64827245753054</v>
      </c>
      <c r="K1741" s="311">
        <v>2.5295010995233173E-2</v>
      </c>
      <c r="L1741" s="312">
        <v>2268.8039103270335</v>
      </c>
      <c r="M1741" s="311">
        <v>5.8942660795665916E-2</v>
      </c>
      <c r="N1741" s="312">
        <v>4442.5663780809364</v>
      </c>
      <c r="O1741" s="311">
        <v>0.1154161811400042</v>
      </c>
      <c r="P1741" s="312">
        <v>15067.237300677882</v>
      </c>
      <c r="Q1741" s="311">
        <v>0.39144108192833948</v>
      </c>
      <c r="R1741" s="312">
        <v>14643.906106776943</v>
      </c>
      <c r="S1741" s="311">
        <v>0.38044309887094491</v>
      </c>
      <c r="T1741" s="312">
        <v>717.44191299802947</v>
      </c>
      <c r="U1741" s="311">
        <v>1.8638867434048533E-2</v>
      </c>
      <c r="V1741" s="312">
        <v>38491.711770396694</v>
      </c>
      <c r="W1741" s="311">
        <v>0.29422257862546031</v>
      </c>
      <c r="X1741" s="307"/>
    </row>
    <row r="1742" spans="1:24" ht="28.5">
      <c r="A1742" s="313" t="s">
        <v>303</v>
      </c>
      <c r="B1742" s="312">
        <v>19.089700996677742</v>
      </c>
      <c r="C1742" s="311">
        <v>5.6123268826018826E-4</v>
      </c>
      <c r="D1742" s="312">
        <v>37.421505767171332</v>
      </c>
      <c r="E1742" s="311">
        <v>1.1001834069642475E-3</v>
      </c>
      <c r="F1742" s="312">
        <v>52.700870464464856</v>
      </c>
      <c r="G1742" s="311">
        <v>1.5493931104301243E-3</v>
      </c>
      <c r="H1742" s="312">
        <v>260.47741510644499</v>
      </c>
      <c r="I1742" s="311">
        <v>7.6579743148777902E-3</v>
      </c>
      <c r="J1742" s="312">
        <v>846.29490604052887</v>
      </c>
      <c r="K1742" s="311">
        <v>2.4880869808316546E-2</v>
      </c>
      <c r="L1742" s="312">
        <v>2274.0987451560691</v>
      </c>
      <c r="M1742" s="311">
        <v>6.6857964529417252E-2</v>
      </c>
      <c r="N1742" s="312">
        <v>3975.8188121705966</v>
      </c>
      <c r="O1742" s="311">
        <v>0.11688813147876256</v>
      </c>
      <c r="P1742" s="312">
        <v>13958.703380075112</v>
      </c>
      <c r="Q1742" s="311">
        <v>0.41038257351382973</v>
      </c>
      <c r="R1742" s="312">
        <v>12268.302313705311</v>
      </c>
      <c r="S1742" s="311">
        <v>0.36068518250274373</v>
      </c>
      <c r="T1742" s="312">
        <v>320.97179124529924</v>
      </c>
      <c r="U1742" s="311">
        <v>9.4364946463874819E-3</v>
      </c>
      <c r="V1742" s="312">
        <v>34013.879440728029</v>
      </c>
      <c r="W1742" s="311">
        <v>0.25999496665158034</v>
      </c>
      <c r="X1742" s="307"/>
    </row>
    <row r="1743" spans="1:24" ht="15.75" thickBot="1">
      <c r="A1743" s="310" t="s">
        <v>302</v>
      </c>
      <c r="B1743" s="309">
        <v>0</v>
      </c>
      <c r="C1743" s="308">
        <v>0</v>
      </c>
      <c r="D1743" s="309">
        <v>0</v>
      </c>
      <c r="E1743" s="308">
        <v>0</v>
      </c>
      <c r="F1743" s="309">
        <v>0</v>
      </c>
      <c r="G1743" s="308">
        <v>0</v>
      </c>
      <c r="H1743" s="309">
        <v>0</v>
      </c>
      <c r="I1743" s="308">
        <v>0</v>
      </c>
      <c r="J1743" s="309">
        <v>59.40625</v>
      </c>
      <c r="K1743" s="308">
        <v>2.4670973264376665E-2</v>
      </c>
      <c r="L1743" s="309">
        <v>387.09936145510835</v>
      </c>
      <c r="M1743" s="308">
        <v>0.16075948232915319</v>
      </c>
      <c r="N1743" s="309">
        <v>341.99284055727554</v>
      </c>
      <c r="O1743" s="308">
        <v>0.14202708007990367</v>
      </c>
      <c r="P1743" s="309">
        <v>1123.7402283281733</v>
      </c>
      <c r="Q1743" s="308">
        <v>0.46668094904473678</v>
      </c>
      <c r="R1743" s="309">
        <v>495.70239938080499</v>
      </c>
      <c r="S1743" s="308">
        <v>0.20586151528182983</v>
      </c>
      <c r="T1743" s="309">
        <v>0</v>
      </c>
      <c r="U1743" s="308">
        <v>0</v>
      </c>
      <c r="V1743" s="309">
        <v>2407.9410797213618</v>
      </c>
      <c r="W1743" s="308">
        <v>1.8405797016246669E-2</v>
      </c>
      <c r="X1743" s="307"/>
    </row>
    <row r="1749" spans="1:12" ht="15.75" thickBot="1"/>
    <row r="1750" spans="1:12" ht="29.25" customHeight="1">
      <c r="A1750" s="752" t="s">
        <v>310</v>
      </c>
      <c r="B1750" s="755" t="s">
        <v>360</v>
      </c>
      <c r="C1750" s="756"/>
      <c r="D1750" s="756"/>
      <c r="E1750" s="756"/>
      <c r="F1750" s="756"/>
      <c r="G1750" s="756"/>
      <c r="H1750" s="756"/>
      <c r="I1750" s="756"/>
      <c r="J1750" s="756"/>
      <c r="K1750" s="757"/>
      <c r="L1750" s="307"/>
    </row>
    <row r="1751" spans="1:12" ht="15" customHeight="1">
      <c r="A1751" s="753"/>
      <c r="B1751" s="767" t="s">
        <v>87</v>
      </c>
      <c r="C1751" s="759"/>
      <c r="D1751" s="768" t="s">
        <v>86</v>
      </c>
      <c r="E1751" s="759"/>
      <c r="F1751" s="768" t="s">
        <v>85</v>
      </c>
      <c r="G1751" s="759"/>
      <c r="H1751" s="768" t="s">
        <v>84</v>
      </c>
      <c r="I1751" s="759"/>
      <c r="J1751" s="769" t="s">
        <v>9</v>
      </c>
      <c r="K1751" s="762"/>
      <c r="L1751" s="307"/>
    </row>
    <row r="1752" spans="1:12" ht="15.75" customHeight="1" thickBot="1">
      <c r="A1752" s="754"/>
      <c r="B1752" s="324" t="s">
        <v>7</v>
      </c>
      <c r="C1752" s="318" t="s">
        <v>8</v>
      </c>
      <c r="D1752" s="324" t="s">
        <v>7</v>
      </c>
      <c r="E1752" s="318" t="s">
        <v>8</v>
      </c>
      <c r="F1752" s="324" t="s">
        <v>7</v>
      </c>
      <c r="G1752" s="318" t="s">
        <v>8</v>
      </c>
      <c r="H1752" s="324" t="s">
        <v>7</v>
      </c>
      <c r="I1752" s="318" t="s">
        <v>8</v>
      </c>
      <c r="J1752" s="324" t="s">
        <v>7</v>
      </c>
      <c r="K1752" s="317" t="s">
        <v>6</v>
      </c>
      <c r="L1752" s="307"/>
    </row>
    <row r="1753" spans="1:12" ht="15" customHeight="1">
      <c r="A1753" s="316" t="s">
        <v>5</v>
      </c>
      <c r="B1753" s="315">
        <v>67615.598491099416</v>
      </c>
      <c r="C1753" s="314">
        <v>0.3378698934300518</v>
      </c>
      <c r="D1753" s="315">
        <v>81496.953338499356</v>
      </c>
      <c r="E1753" s="314">
        <v>0.40723394532960172</v>
      </c>
      <c r="F1753" s="315">
        <v>33268.396270500081</v>
      </c>
      <c r="G1753" s="314">
        <v>0.16623959194833163</v>
      </c>
      <c r="H1753" s="315">
        <v>17742.234834800023</v>
      </c>
      <c r="I1753" s="314">
        <v>8.865656929197975E-2</v>
      </c>
      <c r="J1753" s="315">
        <v>200123.1829349059</v>
      </c>
      <c r="K1753" s="314">
        <v>1</v>
      </c>
      <c r="L1753" s="307"/>
    </row>
    <row r="1754" spans="1:12">
      <c r="A1754" s="313" t="s">
        <v>309</v>
      </c>
      <c r="B1754" s="312">
        <v>1629.9095296</v>
      </c>
      <c r="C1754" s="311">
        <v>0.41342747208638558</v>
      </c>
      <c r="D1754" s="312">
        <v>1295.5784910000002</v>
      </c>
      <c r="E1754" s="311">
        <v>0.32862421545266612</v>
      </c>
      <c r="F1754" s="312">
        <v>639.09098399999993</v>
      </c>
      <c r="G1754" s="311">
        <v>0.16210578878765311</v>
      </c>
      <c r="H1754" s="312">
        <v>377.85259380000008</v>
      </c>
      <c r="I1754" s="311">
        <v>9.5842523673295488E-2</v>
      </c>
      <c r="J1754" s="312">
        <v>3942.4315983999991</v>
      </c>
      <c r="K1754" s="311">
        <v>1.9700024457847819E-2</v>
      </c>
      <c r="L1754" s="307"/>
    </row>
    <row r="1755" spans="1:12">
      <c r="A1755" s="313" t="s">
        <v>308</v>
      </c>
      <c r="B1755" s="312">
        <v>1408.4888960000008</v>
      </c>
      <c r="C1755" s="311">
        <v>0.17136843098906282</v>
      </c>
      <c r="D1755" s="312">
        <v>3360.1008230000039</v>
      </c>
      <c r="E1755" s="311">
        <v>0.40881771069537004</v>
      </c>
      <c r="F1755" s="312">
        <v>2294.226148000002</v>
      </c>
      <c r="G1755" s="311">
        <v>0.279134565017431</v>
      </c>
      <c r="H1755" s="312">
        <v>1156.2527670000004</v>
      </c>
      <c r="I1755" s="311">
        <v>0.14067929329813647</v>
      </c>
      <c r="J1755" s="312">
        <v>8219.0686340000047</v>
      </c>
      <c r="K1755" s="311">
        <v>4.1070047525045721E-2</v>
      </c>
      <c r="L1755" s="307"/>
    </row>
    <row r="1756" spans="1:12">
      <c r="A1756" s="313" t="s">
        <v>307</v>
      </c>
      <c r="B1756" s="312">
        <v>6103.1437449999985</v>
      </c>
      <c r="C1756" s="311">
        <v>0.39760810532635998</v>
      </c>
      <c r="D1756" s="312">
        <v>5469.2066699999978</v>
      </c>
      <c r="E1756" s="311">
        <v>0.35630832117931549</v>
      </c>
      <c r="F1756" s="312">
        <v>2442.6690670000003</v>
      </c>
      <c r="G1756" s="311">
        <v>0.15913520314261873</v>
      </c>
      <c r="H1756" s="312">
        <v>1334.6267230000001</v>
      </c>
      <c r="I1756" s="311">
        <v>8.6948370351706161E-2</v>
      </c>
      <c r="J1756" s="312">
        <v>15349.64620499999</v>
      </c>
      <c r="K1756" s="311">
        <v>7.6700989759855925E-2</v>
      </c>
      <c r="L1756" s="307"/>
    </row>
    <row r="1757" spans="1:12">
      <c r="A1757" s="313" t="s">
        <v>306</v>
      </c>
      <c r="B1757" s="312">
        <v>6338.5300304999992</v>
      </c>
      <c r="C1757" s="311">
        <v>0.36935959024593268</v>
      </c>
      <c r="D1757" s="312">
        <v>7791.9826004999968</v>
      </c>
      <c r="E1757" s="311">
        <v>0.45405535458149243</v>
      </c>
      <c r="F1757" s="312">
        <v>1963.5730065000009</v>
      </c>
      <c r="G1757" s="311">
        <v>0.11442156424422648</v>
      </c>
      <c r="H1757" s="312">
        <v>1066.77927</v>
      </c>
      <c r="I1757" s="311">
        <v>6.2163490928349115E-2</v>
      </c>
      <c r="J1757" s="312">
        <v>17160.864907499985</v>
      </c>
      <c r="K1757" s="311">
        <v>8.575150892479011E-2</v>
      </c>
      <c r="L1757" s="307"/>
    </row>
    <row r="1758" spans="1:12">
      <c r="A1758" s="313" t="s">
        <v>305</v>
      </c>
      <c r="B1758" s="312">
        <v>7701.5251980000085</v>
      </c>
      <c r="C1758" s="311">
        <v>0.29277189331323183</v>
      </c>
      <c r="D1758" s="312">
        <v>11336.456201999979</v>
      </c>
      <c r="E1758" s="311">
        <v>0.43095304636333148</v>
      </c>
      <c r="F1758" s="312">
        <v>5009.2719280000001</v>
      </c>
      <c r="G1758" s="311">
        <v>0.19042644005920209</v>
      </c>
      <c r="H1758" s="312">
        <v>2258.2950320000004</v>
      </c>
      <c r="I1758" s="311">
        <v>8.5848620264230527E-2</v>
      </c>
      <c r="J1758" s="312">
        <v>26305.548360000095</v>
      </c>
      <c r="K1758" s="311">
        <v>0.13144678179817132</v>
      </c>
      <c r="L1758" s="307"/>
    </row>
    <row r="1759" spans="1:12" ht="28.5">
      <c r="A1759" s="313" t="s">
        <v>304</v>
      </c>
      <c r="B1759" s="312">
        <v>27068.419643000048</v>
      </c>
      <c r="C1759" s="311">
        <v>0.363428955218626</v>
      </c>
      <c r="D1759" s="312">
        <v>29583.08616000005</v>
      </c>
      <c r="E1759" s="311">
        <v>0.39719164388127609</v>
      </c>
      <c r="F1759" s="312">
        <v>11051.62856899998</v>
      </c>
      <c r="G1759" s="311">
        <v>0.14838257560908816</v>
      </c>
      <c r="H1759" s="312">
        <v>6777.5014010000141</v>
      </c>
      <c r="I1759" s="311">
        <v>9.099682529102443E-2</v>
      </c>
      <c r="J1759" s="312">
        <v>74480.635772998998</v>
      </c>
      <c r="K1759" s="311">
        <v>0.37217395146680893</v>
      </c>
      <c r="L1759" s="307"/>
    </row>
    <row r="1760" spans="1:12" ht="28.5">
      <c r="A1760" s="313" t="s">
        <v>303</v>
      </c>
      <c r="B1760" s="312">
        <v>16364.914787000043</v>
      </c>
      <c r="C1760" s="311">
        <v>0.31682789968813568</v>
      </c>
      <c r="D1760" s="312">
        <v>21427.675720000025</v>
      </c>
      <c r="E1760" s="311">
        <v>0.41484392567439587</v>
      </c>
      <c r="F1760" s="312">
        <v>9347.794894000006</v>
      </c>
      <c r="G1760" s="311">
        <v>0.18097510812180759</v>
      </c>
      <c r="H1760" s="312">
        <v>4511.9937079999972</v>
      </c>
      <c r="I1760" s="311">
        <v>8.7353066515647754E-2</v>
      </c>
      <c r="J1760" s="312">
        <v>51652.379109000751</v>
      </c>
      <c r="K1760" s="311">
        <v>0.25810292616523961</v>
      </c>
      <c r="L1760" s="307"/>
    </row>
    <row r="1761" spans="1:12" ht="15.75" thickBot="1">
      <c r="A1761" s="313" t="s">
        <v>302</v>
      </c>
      <c r="B1761" s="312">
        <v>1000.6666619999997</v>
      </c>
      <c r="C1761" s="311">
        <v>0.33215955956051146</v>
      </c>
      <c r="D1761" s="312">
        <v>1232.8666719999999</v>
      </c>
      <c r="E1761" s="311">
        <v>0.40923562892550286</v>
      </c>
      <c r="F1761" s="312">
        <v>520.14167399999997</v>
      </c>
      <c r="G1761" s="311">
        <v>0.17265492686605277</v>
      </c>
      <c r="H1761" s="312">
        <v>258.93334000000004</v>
      </c>
      <c r="I1761" s="311">
        <v>8.5949884647933031E-2</v>
      </c>
      <c r="J1761" s="312">
        <v>3012.6083479999993</v>
      </c>
      <c r="K1761" s="311">
        <v>1.5053769902210235E-2</v>
      </c>
      <c r="L1761" s="307"/>
    </row>
    <row r="1762" spans="1:12" ht="28.5" customHeight="1">
      <c r="A1762" s="316" t="s">
        <v>4</v>
      </c>
      <c r="B1762" s="315">
        <v>67533.93892486635</v>
      </c>
      <c r="C1762" s="314">
        <v>0.36113830418237092</v>
      </c>
      <c r="D1762" s="315">
        <v>76428.29703541084</v>
      </c>
      <c r="E1762" s="314">
        <v>0.40870095869310979</v>
      </c>
      <c r="F1762" s="315">
        <v>28449.661656017444</v>
      </c>
      <c r="G1762" s="314">
        <v>0.15213480404936555</v>
      </c>
      <c r="H1762" s="315">
        <v>14591.081970058965</v>
      </c>
      <c r="I1762" s="314">
        <v>7.802593307515257E-2</v>
      </c>
      <c r="J1762" s="315">
        <v>187002.97958635382</v>
      </c>
      <c r="K1762" s="314">
        <v>1</v>
      </c>
      <c r="L1762" s="307"/>
    </row>
    <row r="1763" spans="1:12">
      <c r="A1763" s="313" t="s">
        <v>309</v>
      </c>
      <c r="B1763" s="312">
        <v>2375.893652400232</v>
      </c>
      <c r="C1763" s="311">
        <v>0.40795101106263454</v>
      </c>
      <c r="D1763" s="312">
        <v>1728.557113938693</v>
      </c>
      <c r="E1763" s="311">
        <v>0.29680058347662536</v>
      </c>
      <c r="F1763" s="312">
        <v>921.54706477732793</v>
      </c>
      <c r="G1763" s="311">
        <v>0.15823353727887476</v>
      </c>
      <c r="H1763" s="312">
        <v>797.97021399652965</v>
      </c>
      <c r="I1763" s="311">
        <v>0.13701486818186648</v>
      </c>
      <c r="J1763" s="312">
        <v>5823.9680451127761</v>
      </c>
      <c r="K1763" s="311">
        <v>3.1143717912919124E-2</v>
      </c>
      <c r="L1763" s="307"/>
    </row>
    <row r="1764" spans="1:12">
      <c r="A1764" s="313" t="s">
        <v>308</v>
      </c>
      <c r="B1764" s="312">
        <v>2382.3682915064155</v>
      </c>
      <c r="C1764" s="311">
        <v>0.29236992635514497</v>
      </c>
      <c r="D1764" s="312">
        <v>3154.1265134007845</v>
      </c>
      <c r="E1764" s="311">
        <v>0.38708193847505051</v>
      </c>
      <c r="F1764" s="312">
        <v>1843.1251808727109</v>
      </c>
      <c r="G1764" s="311">
        <v>0.22619272398657031</v>
      </c>
      <c r="H1764" s="312">
        <v>768.85246898457171</v>
      </c>
      <c r="I1764" s="311">
        <v>9.4355411183235718E-2</v>
      </c>
      <c r="J1764" s="312">
        <v>8148.4724547644701</v>
      </c>
      <c r="K1764" s="311">
        <v>4.3574024717620535E-2</v>
      </c>
      <c r="L1764" s="307"/>
    </row>
    <row r="1765" spans="1:12">
      <c r="A1765" s="313" t="s">
        <v>307</v>
      </c>
      <c r="B1765" s="312">
        <v>7212.9387765601687</v>
      </c>
      <c r="C1765" s="311">
        <v>0.44326587591524069</v>
      </c>
      <c r="D1765" s="312">
        <v>6154.3522662962396</v>
      </c>
      <c r="E1765" s="311">
        <v>0.37821121633195559</v>
      </c>
      <c r="F1765" s="312">
        <v>2096.4534135926319</v>
      </c>
      <c r="G1765" s="311">
        <v>0.12883601087971641</v>
      </c>
      <c r="H1765" s="312">
        <v>808.51823841127737</v>
      </c>
      <c r="I1765" s="311">
        <v>4.9686896873085168E-2</v>
      </c>
      <c r="J1765" s="312">
        <v>16272.262694860352</v>
      </c>
      <c r="K1765" s="311">
        <v>8.701606108551968E-2</v>
      </c>
      <c r="L1765" s="307"/>
    </row>
    <row r="1766" spans="1:12">
      <c r="A1766" s="313" t="s">
        <v>306</v>
      </c>
      <c r="B1766" s="312">
        <v>6406.1917029616789</v>
      </c>
      <c r="C1766" s="311">
        <v>0.37862739267226481</v>
      </c>
      <c r="D1766" s="312">
        <v>6515.587367358261</v>
      </c>
      <c r="E1766" s="311">
        <v>0.38509304295259889</v>
      </c>
      <c r="F1766" s="312">
        <v>2733.8166059550208</v>
      </c>
      <c r="G1766" s="311">
        <v>0.1615777206726968</v>
      </c>
      <c r="H1766" s="312">
        <v>1263.9189360943931</v>
      </c>
      <c r="I1766" s="311">
        <v>7.4701843702441817E-2</v>
      </c>
      <c r="J1766" s="312">
        <v>16919.514612369316</v>
      </c>
      <c r="K1766" s="311">
        <v>9.0477246136905845E-2</v>
      </c>
      <c r="L1766" s="307"/>
    </row>
    <row r="1767" spans="1:12">
      <c r="A1767" s="313" t="s">
        <v>305</v>
      </c>
      <c r="B1767" s="312">
        <v>8078.8005605368426</v>
      </c>
      <c r="C1767" s="311">
        <v>0.34679359214228633</v>
      </c>
      <c r="D1767" s="312">
        <v>9908.2154452492232</v>
      </c>
      <c r="E1767" s="311">
        <v>0.42532373465960754</v>
      </c>
      <c r="F1767" s="312">
        <v>3522.3617875224904</v>
      </c>
      <c r="G1767" s="311">
        <v>0.15120220977932861</v>
      </c>
      <c r="H1767" s="312">
        <v>1786.3253095969226</v>
      </c>
      <c r="I1767" s="311">
        <v>7.6680463418771799E-2</v>
      </c>
      <c r="J1767" s="312">
        <v>23295.703102905612</v>
      </c>
      <c r="K1767" s="311">
        <v>0.12457396750808547</v>
      </c>
      <c r="L1767" s="307"/>
    </row>
    <row r="1768" spans="1:12" ht="28.5">
      <c r="A1768" s="313" t="s">
        <v>304</v>
      </c>
      <c r="B1768" s="312">
        <v>24102.353358386208</v>
      </c>
      <c r="C1768" s="311">
        <v>0.37493942575289113</v>
      </c>
      <c r="D1768" s="312">
        <v>26047.205623068749</v>
      </c>
      <c r="E1768" s="311">
        <v>0.40519380715920145</v>
      </c>
      <c r="F1768" s="312">
        <v>9228.0907201488189</v>
      </c>
      <c r="G1768" s="311">
        <v>0.14355341090393203</v>
      </c>
      <c r="H1768" s="312">
        <v>4905.676358300464</v>
      </c>
      <c r="I1768" s="311">
        <v>7.6313356183981523E-2</v>
      </c>
      <c r="J1768" s="312">
        <v>64283.326059903848</v>
      </c>
      <c r="K1768" s="311">
        <v>0.34375562465420095</v>
      </c>
      <c r="L1768" s="307"/>
    </row>
    <row r="1769" spans="1:12" ht="28.5">
      <c r="A1769" s="313" t="s">
        <v>303</v>
      </c>
      <c r="B1769" s="312">
        <v>16538.92869362608</v>
      </c>
      <c r="C1769" s="311">
        <v>0.33540648137515988</v>
      </c>
      <c r="D1769" s="312">
        <v>21391.937031495891</v>
      </c>
      <c r="E1769" s="311">
        <v>0.43382461237033954</v>
      </c>
      <c r="F1769" s="312">
        <v>7472.3966450530779</v>
      </c>
      <c r="G1769" s="311">
        <v>0.15153885191624891</v>
      </c>
      <c r="H1769" s="312">
        <v>3906.8422700716478</v>
      </c>
      <c r="I1769" s="311">
        <v>7.923005433825224E-2</v>
      </c>
      <c r="J1769" s="312">
        <v>49310.104640246667</v>
      </c>
      <c r="K1769" s="311">
        <v>0.26368619767085777</v>
      </c>
      <c r="L1769" s="307"/>
    </row>
    <row r="1770" spans="1:12" ht="15.75" thickBot="1">
      <c r="A1770" s="313" t="s">
        <v>302</v>
      </c>
      <c r="B1770" s="312">
        <v>436.4638888888889</v>
      </c>
      <c r="C1770" s="311">
        <v>0.14797252142034326</v>
      </c>
      <c r="D1770" s="312">
        <v>1528.3156746031748</v>
      </c>
      <c r="E1770" s="311">
        <v>0.51813845235392564</v>
      </c>
      <c r="F1770" s="312">
        <v>631.87023809523805</v>
      </c>
      <c r="G1770" s="311">
        <v>0.21422031632318445</v>
      </c>
      <c r="H1770" s="312">
        <v>352.97817460317458</v>
      </c>
      <c r="I1770" s="311">
        <v>0.11966870990254691</v>
      </c>
      <c r="J1770" s="312">
        <v>2949.6279761904757</v>
      </c>
      <c r="K1770" s="311">
        <v>1.5773160313889024E-2</v>
      </c>
      <c r="L1770" s="307"/>
    </row>
    <row r="1771" spans="1:12">
      <c r="A1771" s="316" t="s">
        <v>3</v>
      </c>
      <c r="B1771" s="315">
        <v>47107.336685751892</v>
      </c>
      <c r="C1771" s="314">
        <v>0.36007861002739783</v>
      </c>
      <c r="D1771" s="315">
        <v>54430.917525402663</v>
      </c>
      <c r="E1771" s="314">
        <v>0.41605852726951048</v>
      </c>
      <c r="F1771" s="315">
        <v>18212.152554946359</v>
      </c>
      <c r="G1771" s="314">
        <v>0.13920987767443629</v>
      </c>
      <c r="H1771" s="315">
        <v>11074.739115705825</v>
      </c>
      <c r="I1771" s="314">
        <v>8.4652985028668595E-2</v>
      </c>
      <c r="J1771" s="315">
        <v>130825.14588180502</v>
      </c>
      <c r="K1771" s="314">
        <v>1</v>
      </c>
      <c r="L1771" s="307"/>
    </row>
    <row r="1772" spans="1:12">
      <c r="A1772" s="313" t="s">
        <v>309</v>
      </c>
      <c r="B1772" s="312">
        <v>1024.1762329174094</v>
      </c>
      <c r="C1772" s="311">
        <v>0.42495310988496698</v>
      </c>
      <c r="D1772" s="312">
        <v>781.1025549613787</v>
      </c>
      <c r="E1772" s="311">
        <v>0.32409652675146439</v>
      </c>
      <c r="F1772" s="312">
        <v>291.27771836007133</v>
      </c>
      <c r="G1772" s="311">
        <v>0.12085749334830692</v>
      </c>
      <c r="H1772" s="312">
        <v>313.53582887700537</v>
      </c>
      <c r="I1772" s="311">
        <v>0.13009287001526107</v>
      </c>
      <c r="J1772" s="312">
        <v>2410.0923351158663</v>
      </c>
      <c r="K1772" s="311">
        <v>1.8422240761674997E-2</v>
      </c>
      <c r="L1772" s="307"/>
    </row>
    <row r="1773" spans="1:12" ht="15" customHeight="1">
      <c r="A1773" s="313" t="s">
        <v>308</v>
      </c>
      <c r="B1773" s="312">
        <v>2326.7846839798199</v>
      </c>
      <c r="C1773" s="311">
        <v>0.35802163702353779</v>
      </c>
      <c r="D1773" s="312">
        <v>2140.9589840811323</v>
      </c>
      <c r="E1773" s="311">
        <v>0.32942869426573262</v>
      </c>
      <c r="F1773" s="312">
        <v>1224.3444223766967</v>
      </c>
      <c r="G1773" s="311">
        <v>0.18838949619961678</v>
      </c>
      <c r="H1773" s="312">
        <v>806.91767726921569</v>
      </c>
      <c r="I1773" s="311">
        <v>0.12416017251111532</v>
      </c>
      <c r="J1773" s="312">
        <v>6499.005767706848</v>
      </c>
      <c r="K1773" s="311">
        <v>4.9677038186362307E-2</v>
      </c>
      <c r="L1773" s="307"/>
    </row>
    <row r="1774" spans="1:12">
      <c r="A1774" s="313" t="s">
        <v>307</v>
      </c>
      <c r="B1774" s="312">
        <v>6455.5706018518495</v>
      </c>
      <c r="C1774" s="311">
        <v>0.44727269920598134</v>
      </c>
      <c r="D1774" s="312">
        <v>5151.2372685185173</v>
      </c>
      <c r="E1774" s="311">
        <v>0.35690226928659013</v>
      </c>
      <c r="F1774" s="312">
        <v>1579.8868634259261</v>
      </c>
      <c r="G1774" s="311">
        <v>0.10946209180051074</v>
      </c>
      <c r="H1774" s="312">
        <v>1246.492476851852</v>
      </c>
      <c r="I1774" s="311">
        <v>8.6362939706916983E-2</v>
      </c>
      <c r="J1774" s="312">
        <v>14433.187210648157</v>
      </c>
      <c r="K1774" s="311">
        <v>0.11032425848535214</v>
      </c>
      <c r="L1774" s="307"/>
    </row>
    <row r="1775" spans="1:12">
      <c r="A1775" s="313" t="s">
        <v>306</v>
      </c>
      <c r="B1775" s="312">
        <v>3367.7895451276454</v>
      </c>
      <c r="C1775" s="311">
        <v>0.28569153116585522</v>
      </c>
      <c r="D1775" s="312">
        <v>5077.2682973750398</v>
      </c>
      <c r="E1775" s="311">
        <v>0.43070760051366336</v>
      </c>
      <c r="F1775" s="312">
        <v>2429.3758414239469</v>
      </c>
      <c r="G1775" s="311">
        <v>0.20608535498242941</v>
      </c>
      <c r="H1775" s="312">
        <v>913.76854728514934</v>
      </c>
      <c r="I1775" s="311">
        <v>7.7515513338051831E-2</v>
      </c>
      <c r="J1775" s="312">
        <v>11788.202231211784</v>
      </c>
      <c r="K1775" s="311">
        <v>9.0106547573521725E-2</v>
      </c>
      <c r="L1775" s="307"/>
    </row>
    <row r="1776" spans="1:12">
      <c r="A1776" s="313" t="s">
        <v>305</v>
      </c>
      <c r="B1776" s="312">
        <v>7742.4094025661825</v>
      </c>
      <c r="C1776" s="311">
        <v>0.3725692912561297</v>
      </c>
      <c r="D1776" s="312">
        <v>8250.3346545888835</v>
      </c>
      <c r="E1776" s="311">
        <v>0.39701095292988037</v>
      </c>
      <c r="F1776" s="312">
        <v>3281.2912163544961</v>
      </c>
      <c r="G1776" s="311">
        <v>0.1578976619961435</v>
      </c>
      <c r="H1776" s="312">
        <v>1507.0907727687531</v>
      </c>
      <c r="I1776" s="311">
        <v>7.2522093817849811E-2</v>
      </c>
      <c r="J1776" s="312">
        <v>20781.126046278245</v>
      </c>
      <c r="K1776" s="311">
        <v>0.15884657269981653</v>
      </c>
      <c r="L1776" s="307"/>
    </row>
    <row r="1777" spans="1:12" ht="28.5">
      <c r="A1777" s="313" t="s">
        <v>304</v>
      </c>
      <c r="B1777" s="312">
        <v>14531.659197031306</v>
      </c>
      <c r="C1777" s="311">
        <v>0.37752696694064286</v>
      </c>
      <c r="D1777" s="312">
        <v>16928.84042845709</v>
      </c>
      <c r="E1777" s="311">
        <v>0.43980482160517392</v>
      </c>
      <c r="F1777" s="312">
        <v>4246.1235708844351</v>
      </c>
      <c r="G1777" s="311">
        <v>0.11031267188668016</v>
      </c>
      <c r="H1777" s="312">
        <v>2785.0885740236181</v>
      </c>
      <c r="I1777" s="311">
        <v>7.2355539567496741E-2</v>
      </c>
      <c r="J1777" s="312">
        <v>38491.711770396694</v>
      </c>
      <c r="K1777" s="311">
        <v>0.29422257862546031</v>
      </c>
      <c r="L1777" s="307"/>
    </row>
    <row r="1778" spans="1:12" ht="28.5">
      <c r="A1778" s="313" t="s">
        <v>303</v>
      </c>
      <c r="B1778" s="312">
        <v>11018.005458810037</v>
      </c>
      <c r="C1778" s="311">
        <v>0.32392675107847707</v>
      </c>
      <c r="D1778" s="312">
        <v>14995.714714355374</v>
      </c>
      <c r="E1778" s="311">
        <v>0.44087046114474049</v>
      </c>
      <c r="F1778" s="312">
        <v>4778.1992843499438</v>
      </c>
      <c r="G1778" s="311">
        <v>0.14047792733188072</v>
      </c>
      <c r="H1778" s="312">
        <v>3221.9599832123172</v>
      </c>
      <c r="I1778" s="311">
        <v>9.4724860444891215E-2</v>
      </c>
      <c r="J1778" s="312">
        <v>34013.879440728029</v>
      </c>
      <c r="K1778" s="311">
        <v>0.25999496665158034</v>
      </c>
      <c r="L1778" s="307"/>
    </row>
    <row r="1779" spans="1:12" ht="15.75" thickBot="1">
      <c r="A1779" s="310" t="s">
        <v>302</v>
      </c>
      <c r="B1779" s="309">
        <v>640.94156346749219</v>
      </c>
      <c r="C1779" s="308">
        <v>0.26617825862319672</v>
      </c>
      <c r="D1779" s="309">
        <v>1105.4606230650154</v>
      </c>
      <c r="E1779" s="308">
        <v>0.45908956509556093</v>
      </c>
      <c r="F1779" s="309">
        <v>381.65363777089783</v>
      </c>
      <c r="G1779" s="308">
        <v>0.15849791383394707</v>
      </c>
      <c r="H1779" s="309">
        <v>279.88525541795661</v>
      </c>
      <c r="I1779" s="308">
        <v>0.1162342624472954</v>
      </c>
      <c r="J1779" s="309">
        <v>2407.9410797213618</v>
      </c>
      <c r="K1779" s="308">
        <v>1.8405797016246669E-2</v>
      </c>
      <c r="L1779" s="307"/>
    </row>
    <row r="1783" spans="1:12" ht="15.75" thickBot="1"/>
    <row r="1784" spans="1:12" ht="32.25" customHeight="1">
      <c r="A1784" s="752" t="s">
        <v>310</v>
      </c>
      <c r="B1784" s="755" t="s">
        <v>361</v>
      </c>
      <c r="C1784" s="756"/>
      <c r="D1784" s="756"/>
      <c r="E1784" s="756"/>
      <c r="F1784" s="756"/>
      <c r="G1784" s="756"/>
      <c r="H1784" s="756"/>
      <c r="I1784" s="756"/>
      <c r="J1784" s="756"/>
      <c r="K1784" s="757"/>
      <c r="L1784" s="307"/>
    </row>
    <row r="1785" spans="1:12" ht="17.25" customHeight="1">
      <c r="A1785" s="753"/>
      <c r="B1785" s="767" t="s">
        <v>83</v>
      </c>
      <c r="C1785" s="759"/>
      <c r="D1785" s="768" t="s">
        <v>82</v>
      </c>
      <c r="E1785" s="759"/>
      <c r="F1785" s="768" t="s">
        <v>81</v>
      </c>
      <c r="G1785" s="759"/>
      <c r="H1785" s="768" t="s">
        <v>80</v>
      </c>
      <c r="I1785" s="759"/>
      <c r="J1785" s="769" t="s">
        <v>9</v>
      </c>
      <c r="K1785" s="762"/>
      <c r="L1785" s="307"/>
    </row>
    <row r="1786" spans="1:12" ht="15.75" customHeight="1" thickBot="1">
      <c r="A1786" s="754"/>
      <c r="B1786" s="324" t="s">
        <v>7</v>
      </c>
      <c r="C1786" s="318" t="s">
        <v>8</v>
      </c>
      <c r="D1786" s="324" t="s">
        <v>7</v>
      </c>
      <c r="E1786" s="318" t="s">
        <v>8</v>
      </c>
      <c r="F1786" s="324" t="s">
        <v>7</v>
      </c>
      <c r="G1786" s="318" t="s">
        <v>8</v>
      </c>
      <c r="H1786" s="324" t="s">
        <v>7</v>
      </c>
      <c r="I1786" s="318" t="s">
        <v>8</v>
      </c>
      <c r="J1786" s="324" t="s">
        <v>7</v>
      </c>
      <c r="K1786" s="317" t="s">
        <v>6</v>
      </c>
      <c r="L1786" s="307"/>
    </row>
    <row r="1787" spans="1:12" ht="15.75" customHeight="1">
      <c r="A1787" s="316" t="s">
        <v>5</v>
      </c>
      <c r="B1787" s="315">
        <v>116871.75279119895</v>
      </c>
      <c r="C1787" s="314">
        <v>0.58399907035864929</v>
      </c>
      <c r="D1787" s="315">
        <v>69592.633606199597</v>
      </c>
      <c r="E1787" s="314">
        <v>0.34774898432849732</v>
      </c>
      <c r="F1787" s="315">
        <v>11448.364890999999</v>
      </c>
      <c r="G1787" s="314">
        <v>5.7206590076691974E-2</v>
      </c>
      <c r="H1787" s="315">
        <v>2210.4316465000002</v>
      </c>
      <c r="I1787" s="314">
        <v>1.104535523612468E-2</v>
      </c>
      <c r="J1787" s="315">
        <v>200123.1829349059</v>
      </c>
      <c r="K1787" s="314">
        <v>1</v>
      </c>
      <c r="L1787" s="307"/>
    </row>
    <row r="1788" spans="1:12">
      <c r="A1788" s="313" t="s">
        <v>309</v>
      </c>
      <c r="B1788" s="312">
        <v>2146.7579011999997</v>
      </c>
      <c r="C1788" s="311">
        <v>0.54452635324636767</v>
      </c>
      <c r="D1788" s="312">
        <v>1443.5832892000003</v>
      </c>
      <c r="E1788" s="311">
        <v>0.3661657160484067</v>
      </c>
      <c r="F1788" s="312">
        <v>247.61582799999996</v>
      </c>
      <c r="G1788" s="311">
        <v>6.2807894523900593E-2</v>
      </c>
      <c r="H1788" s="312">
        <v>104.47458</v>
      </c>
      <c r="I1788" s="311">
        <v>2.6500036181325272E-2</v>
      </c>
      <c r="J1788" s="312">
        <v>3942.4315983999991</v>
      </c>
      <c r="K1788" s="311">
        <v>1.9700024457847819E-2</v>
      </c>
      <c r="L1788" s="307"/>
    </row>
    <row r="1789" spans="1:12">
      <c r="A1789" s="313" t="s">
        <v>308</v>
      </c>
      <c r="B1789" s="312">
        <v>4189.831998000006</v>
      </c>
      <c r="C1789" s="311">
        <v>0.50976968128333111</v>
      </c>
      <c r="D1789" s="312">
        <v>3263.3272330000036</v>
      </c>
      <c r="E1789" s="311">
        <v>0.39704343379011647</v>
      </c>
      <c r="F1789" s="312">
        <v>603.17572499999994</v>
      </c>
      <c r="G1789" s="311">
        <v>7.3387357115480154E-2</v>
      </c>
      <c r="H1789" s="312">
        <v>162.73367799999997</v>
      </c>
      <c r="I1789" s="311">
        <v>1.979952781107289E-2</v>
      </c>
      <c r="J1789" s="312">
        <v>8219.0686340000047</v>
      </c>
      <c r="K1789" s="311">
        <v>4.1070047525045721E-2</v>
      </c>
      <c r="L1789" s="307"/>
    </row>
    <row r="1790" spans="1:12">
      <c r="A1790" s="313" t="s">
        <v>307</v>
      </c>
      <c r="B1790" s="312">
        <v>11097.666545999993</v>
      </c>
      <c r="C1790" s="311">
        <v>0.72299168318192519</v>
      </c>
      <c r="D1790" s="312">
        <v>3856.4868649999985</v>
      </c>
      <c r="E1790" s="311">
        <v>0.25124272009238802</v>
      </c>
      <c r="F1790" s="312">
        <v>241.73441199999996</v>
      </c>
      <c r="G1790" s="311">
        <v>1.5748533143471247E-2</v>
      </c>
      <c r="H1790" s="312">
        <v>153.75838199999998</v>
      </c>
      <c r="I1790" s="311">
        <v>1.0017063582215647E-2</v>
      </c>
      <c r="J1790" s="312">
        <v>15349.64620499999</v>
      </c>
      <c r="K1790" s="311">
        <v>7.6700989759855925E-2</v>
      </c>
      <c r="L1790" s="307"/>
    </row>
    <row r="1791" spans="1:12">
      <c r="A1791" s="313" t="s">
        <v>306</v>
      </c>
      <c r="B1791" s="312">
        <v>12497.063164999989</v>
      </c>
      <c r="C1791" s="311">
        <v>0.72823037955029135</v>
      </c>
      <c r="D1791" s="312">
        <v>4004.3725600000007</v>
      </c>
      <c r="E1791" s="311">
        <v>0.23334328319605441</v>
      </c>
      <c r="F1791" s="312">
        <v>389.34375299999999</v>
      </c>
      <c r="G1791" s="311">
        <v>2.2687886368118963E-2</v>
      </c>
      <c r="H1791" s="312">
        <v>270.08542949999998</v>
      </c>
      <c r="I1791" s="311">
        <v>1.5738450885535601E-2</v>
      </c>
      <c r="J1791" s="312">
        <v>17160.864907499985</v>
      </c>
      <c r="K1791" s="311">
        <v>8.575150892479011E-2</v>
      </c>
      <c r="L1791" s="307"/>
    </row>
    <row r="1792" spans="1:12">
      <c r="A1792" s="313" t="s">
        <v>305</v>
      </c>
      <c r="B1792" s="312">
        <v>16734.025859999962</v>
      </c>
      <c r="C1792" s="311">
        <v>0.63614054461018277</v>
      </c>
      <c r="D1792" s="312">
        <v>8037.6285180000077</v>
      </c>
      <c r="E1792" s="311">
        <v>0.30554879176067395</v>
      </c>
      <c r="F1792" s="312">
        <v>1377.5230430000008</v>
      </c>
      <c r="G1792" s="311">
        <v>5.2366254607132463E-2</v>
      </c>
      <c r="H1792" s="312">
        <v>156.37093899999996</v>
      </c>
      <c r="I1792" s="311">
        <v>5.9444090220060093E-3</v>
      </c>
      <c r="J1792" s="312">
        <v>26305.548360000095</v>
      </c>
      <c r="K1792" s="311">
        <v>0.13144678179817132</v>
      </c>
      <c r="L1792" s="307"/>
    </row>
    <row r="1793" spans="1:12" ht="28.5">
      <c r="A1793" s="313" t="s">
        <v>304</v>
      </c>
      <c r="B1793" s="312">
        <v>38411.934752999623</v>
      </c>
      <c r="C1793" s="311">
        <v>0.51573048960096102</v>
      </c>
      <c r="D1793" s="312">
        <v>30719.824982000093</v>
      </c>
      <c r="E1793" s="311">
        <v>0.41245385009370122</v>
      </c>
      <c r="F1793" s="312">
        <v>4627.0558920000085</v>
      </c>
      <c r="G1793" s="311">
        <v>6.2124280277390254E-2</v>
      </c>
      <c r="H1793" s="312">
        <v>721.82014600000002</v>
      </c>
      <c r="I1793" s="311">
        <v>9.6913800279572401E-3</v>
      </c>
      <c r="J1793" s="312">
        <v>74480.635772998998</v>
      </c>
      <c r="K1793" s="311">
        <v>0.37217395146680893</v>
      </c>
      <c r="L1793" s="307"/>
    </row>
    <row r="1794" spans="1:12" ht="28.5">
      <c r="A1794" s="313" t="s">
        <v>303</v>
      </c>
      <c r="B1794" s="312">
        <v>29854.964236000094</v>
      </c>
      <c r="C1794" s="311">
        <v>0.57799785316757424</v>
      </c>
      <c r="D1794" s="312">
        <v>17401.385147000059</v>
      </c>
      <c r="E1794" s="311">
        <v>0.33689416532544109</v>
      </c>
      <c r="F1794" s="312">
        <v>3754.8412339999982</v>
      </c>
      <c r="G1794" s="311">
        <v>7.269444890575609E-2</v>
      </c>
      <c r="H1794" s="312">
        <v>641.188492</v>
      </c>
      <c r="I1794" s="311">
        <v>1.2413532601216986E-2</v>
      </c>
      <c r="J1794" s="312">
        <v>51652.379109000751</v>
      </c>
      <c r="K1794" s="311">
        <v>0.25810292616523961</v>
      </c>
      <c r="L1794" s="307"/>
    </row>
    <row r="1795" spans="1:12" ht="15.75" thickBot="1">
      <c r="A1795" s="313" t="s">
        <v>302</v>
      </c>
      <c r="B1795" s="312">
        <v>1939.5083320000003</v>
      </c>
      <c r="C1795" s="311">
        <v>0.64379703829991541</v>
      </c>
      <c r="D1795" s="312">
        <v>866.02501199999983</v>
      </c>
      <c r="E1795" s="311">
        <v>0.28746684333359623</v>
      </c>
      <c r="F1795" s="312">
        <v>207.07500400000001</v>
      </c>
      <c r="G1795" s="311">
        <v>6.8736118366488727E-2</v>
      </c>
      <c r="H1795" s="312">
        <v>0</v>
      </c>
      <c r="I1795" s="311">
        <v>0</v>
      </c>
      <c r="J1795" s="312">
        <v>3012.6083479999993</v>
      </c>
      <c r="K1795" s="311">
        <v>1.5053769902210235E-2</v>
      </c>
      <c r="L1795" s="307"/>
    </row>
    <row r="1796" spans="1:12" ht="15" customHeight="1">
      <c r="A1796" s="316" t="s">
        <v>4</v>
      </c>
      <c r="B1796" s="315">
        <v>107738.39664652053</v>
      </c>
      <c r="C1796" s="314">
        <v>0.57613197867133092</v>
      </c>
      <c r="D1796" s="315">
        <v>67386.097984374515</v>
      </c>
      <c r="E1796" s="314">
        <v>0.36034772351451821</v>
      </c>
      <c r="F1796" s="315">
        <v>9459.8541743413152</v>
      </c>
      <c r="G1796" s="314">
        <v>5.0586649449470215E-2</v>
      </c>
      <c r="H1796" s="315">
        <v>2418.6307811175311</v>
      </c>
      <c r="I1796" s="314">
        <v>1.2933648364681062E-2</v>
      </c>
      <c r="J1796" s="315">
        <v>187002.97958635382</v>
      </c>
      <c r="K1796" s="314">
        <v>1</v>
      </c>
      <c r="L1796" s="307"/>
    </row>
    <row r="1797" spans="1:12">
      <c r="A1797" s="313" t="s">
        <v>309</v>
      </c>
      <c r="B1797" s="312">
        <v>3602.8793377674983</v>
      </c>
      <c r="C1797" s="311">
        <v>0.61862965419099103</v>
      </c>
      <c r="D1797" s="312">
        <v>1622.2517351069987</v>
      </c>
      <c r="E1797" s="311">
        <v>0.27854749932364803</v>
      </c>
      <c r="F1797" s="312">
        <v>320.02515905147482</v>
      </c>
      <c r="G1797" s="311">
        <v>5.4949676332792761E-2</v>
      </c>
      <c r="H1797" s="312">
        <v>278.8118131868132</v>
      </c>
      <c r="I1797" s="311">
        <v>4.7873170152569797E-2</v>
      </c>
      <c r="J1797" s="312">
        <v>5823.9680451127761</v>
      </c>
      <c r="K1797" s="311">
        <v>3.1143717912919124E-2</v>
      </c>
      <c r="L1797" s="307"/>
    </row>
    <row r="1798" spans="1:12">
      <c r="A1798" s="313" t="s">
        <v>308</v>
      </c>
      <c r="B1798" s="312">
        <v>4400.2817001105868</v>
      </c>
      <c r="C1798" s="311">
        <v>0.54001307908179907</v>
      </c>
      <c r="D1798" s="312">
        <v>2828.0650425633726</v>
      </c>
      <c r="E1798" s="311">
        <v>0.34706689606710062</v>
      </c>
      <c r="F1798" s="312">
        <v>727.48147838211219</v>
      </c>
      <c r="G1798" s="311">
        <v>8.9278264413442124E-2</v>
      </c>
      <c r="H1798" s="312">
        <v>192.64423370841104</v>
      </c>
      <c r="I1798" s="311">
        <v>2.3641760437659771E-2</v>
      </c>
      <c r="J1798" s="312">
        <v>8148.4724547644701</v>
      </c>
      <c r="K1798" s="311">
        <v>4.3574024717620535E-2</v>
      </c>
      <c r="L1798" s="307"/>
    </row>
    <row r="1799" spans="1:12">
      <c r="A1799" s="313" t="s">
        <v>307</v>
      </c>
      <c r="B1799" s="312">
        <v>11974.681895354239</v>
      </c>
      <c r="C1799" s="311">
        <v>0.73589531584544066</v>
      </c>
      <c r="D1799" s="312">
        <v>4180.7626176879176</v>
      </c>
      <c r="E1799" s="311">
        <v>0.25692570824882427</v>
      </c>
      <c r="F1799" s="312">
        <v>116.81818181818181</v>
      </c>
      <c r="G1799" s="311">
        <v>7.1789759057343163E-3</v>
      </c>
      <c r="H1799" s="312">
        <v>0</v>
      </c>
      <c r="I1799" s="311">
        <v>0</v>
      </c>
      <c r="J1799" s="312">
        <v>16272.262694860352</v>
      </c>
      <c r="K1799" s="311">
        <v>8.701606108551968E-2</v>
      </c>
      <c r="L1799" s="307"/>
    </row>
    <row r="1800" spans="1:12">
      <c r="A1800" s="313" t="s">
        <v>306</v>
      </c>
      <c r="B1800" s="312">
        <v>11187.637959296802</v>
      </c>
      <c r="C1800" s="311">
        <v>0.66122688597212342</v>
      </c>
      <c r="D1800" s="312">
        <v>5403.3105578872401</v>
      </c>
      <c r="E1800" s="311">
        <v>0.3193537569888118</v>
      </c>
      <c r="F1800" s="312">
        <v>232.76405804561293</v>
      </c>
      <c r="G1800" s="311">
        <v>1.3757135673114793E-2</v>
      </c>
      <c r="H1800" s="312">
        <v>95.802037139689588</v>
      </c>
      <c r="I1800" s="311">
        <v>5.6622213659517032E-3</v>
      </c>
      <c r="J1800" s="312">
        <v>16919.514612369316</v>
      </c>
      <c r="K1800" s="311">
        <v>9.0477246136905845E-2</v>
      </c>
      <c r="L1800" s="307"/>
    </row>
    <row r="1801" spans="1:12">
      <c r="A1801" s="313" t="s">
        <v>305</v>
      </c>
      <c r="B1801" s="312">
        <v>14772.882838055768</v>
      </c>
      <c r="C1801" s="311">
        <v>0.63414625318663098</v>
      </c>
      <c r="D1801" s="312">
        <v>7515.5025271526056</v>
      </c>
      <c r="E1801" s="311">
        <v>0.32261325163502863</v>
      </c>
      <c r="F1801" s="312">
        <v>883.90447903598772</v>
      </c>
      <c r="G1801" s="311">
        <v>3.7942811819478443E-2</v>
      </c>
      <c r="H1801" s="312">
        <v>123.41325866110965</v>
      </c>
      <c r="I1801" s="311">
        <v>5.2976833588558505E-3</v>
      </c>
      <c r="J1801" s="312">
        <v>23295.703102905612</v>
      </c>
      <c r="K1801" s="311">
        <v>0.12457396750808547</v>
      </c>
      <c r="L1801" s="307"/>
    </row>
    <row r="1802" spans="1:12" ht="28.5">
      <c r="A1802" s="313" t="s">
        <v>304</v>
      </c>
      <c r="B1802" s="312">
        <v>33423.475841750886</v>
      </c>
      <c r="C1802" s="311">
        <v>0.51994005118223774</v>
      </c>
      <c r="D1802" s="312">
        <v>25952.955080117088</v>
      </c>
      <c r="E1802" s="311">
        <v>0.40372763313354776</v>
      </c>
      <c r="F1802" s="312">
        <v>4146.02407031031</v>
      </c>
      <c r="G1802" s="311">
        <v>6.4496103802201291E-2</v>
      </c>
      <c r="H1802" s="312">
        <v>760.87106772612424</v>
      </c>
      <c r="I1802" s="311">
        <v>1.1836211882021934E-2</v>
      </c>
      <c r="J1802" s="312">
        <v>64283.326059903848</v>
      </c>
      <c r="K1802" s="311">
        <v>0.34375562465420095</v>
      </c>
      <c r="L1802" s="307"/>
    </row>
    <row r="1803" spans="1:12" ht="28.5">
      <c r="A1803" s="313" t="s">
        <v>303</v>
      </c>
      <c r="B1803" s="312">
        <v>27028.619474978368</v>
      </c>
      <c r="C1803" s="311">
        <v>0.54813551243040237</v>
      </c>
      <c r="D1803" s="312">
        <v>18704.443082589565</v>
      </c>
      <c r="E1803" s="311">
        <v>0.3793227213580701</v>
      </c>
      <c r="F1803" s="312">
        <v>2688.8679976976505</v>
      </c>
      <c r="G1803" s="311">
        <v>5.4529756473138971E-2</v>
      </c>
      <c r="H1803" s="312">
        <v>888.17408498109637</v>
      </c>
      <c r="I1803" s="311">
        <v>1.8012009738388856E-2</v>
      </c>
      <c r="J1803" s="312">
        <v>49310.104640246667</v>
      </c>
      <c r="K1803" s="311">
        <v>0.26368619767085777</v>
      </c>
      <c r="L1803" s="307"/>
    </row>
    <row r="1804" spans="1:12" ht="15.75" thickBot="1">
      <c r="A1804" s="313" t="s">
        <v>302</v>
      </c>
      <c r="B1804" s="312">
        <v>1347.9375992063494</v>
      </c>
      <c r="C1804" s="311">
        <v>0.45698563008181364</v>
      </c>
      <c r="D1804" s="312">
        <v>1178.8073412698411</v>
      </c>
      <c r="E1804" s="311">
        <v>0.39964610818219276</v>
      </c>
      <c r="F1804" s="312">
        <v>343.96875</v>
      </c>
      <c r="G1804" s="311">
        <v>0.11661428247105418</v>
      </c>
      <c r="H1804" s="312">
        <v>78.914285714285711</v>
      </c>
      <c r="I1804" s="311">
        <v>2.6753979264939592E-2</v>
      </c>
      <c r="J1804" s="312">
        <v>2949.6279761904757</v>
      </c>
      <c r="K1804" s="311">
        <v>1.5773160313889024E-2</v>
      </c>
      <c r="L1804" s="307"/>
    </row>
    <row r="1805" spans="1:12" ht="15.75" customHeight="1">
      <c r="A1805" s="316" t="s">
        <v>4</v>
      </c>
      <c r="B1805" s="315">
        <v>74486.08810436049</v>
      </c>
      <c r="C1805" s="314">
        <v>0.5693560485050444</v>
      </c>
      <c r="D1805" s="315">
        <v>47599.785183446082</v>
      </c>
      <c r="E1805" s="314">
        <v>0.36384278314851237</v>
      </c>
      <c r="F1805" s="315">
        <v>7794.4265045872162</v>
      </c>
      <c r="G1805" s="314">
        <v>5.9578962836618204E-2</v>
      </c>
      <c r="H1805" s="315">
        <v>944.84608941292061</v>
      </c>
      <c r="I1805" s="314">
        <v>7.2222055098379104E-3</v>
      </c>
      <c r="J1805" s="315">
        <v>130825.14588180502</v>
      </c>
      <c r="K1805" s="314">
        <v>1</v>
      </c>
      <c r="L1805" s="307"/>
    </row>
    <row r="1806" spans="1:12">
      <c r="A1806" s="313" t="s">
        <v>309</v>
      </c>
      <c r="B1806" s="312">
        <v>1079.0571598336305</v>
      </c>
      <c r="C1806" s="311">
        <v>0.4477244062857676</v>
      </c>
      <c r="D1806" s="312">
        <v>1020.8823529411767</v>
      </c>
      <c r="E1806" s="311">
        <v>0.42358640707103751</v>
      </c>
      <c r="F1806" s="312">
        <v>298.44693998811647</v>
      </c>
      <c r="G1806" s="311">
        <v>0.1238321601374532</v>
      </c>
      <c r="H1806" s="312">
        <v>11.705882352941176</v>
      </c>
      <c r="I1806" s="311">
        <v>4.8570265057410796E-3</v>
      </c>
      <c r="J1806" s="312">
        <v>2410.0923351158663</v>
      </c>
      <c r="K1806" s="311">
        <v>1.8422240761674997E-2</v>
      </c>
      <c r="L1806" s="307"/>
    </row>
    <row r="1807" spans="1:12">
      <c r="A1807" s="313" t="s">
        <v>308</v>
      </c>
      <c r="B1807" s="312">
        <v>2825.9704994332628</v>
      </c>
      <c r="C1807" s="311">
        <v>0.43483120348582133</v>
      </c>
      <c r="D1807" s="312">
        <v>3002.0331718375437</v>
      </c>
      <c r="E1807" s="311">
        <v>0.46192191223378481</v>
      </c>
      <c r="F1807" s="312">
        <v>504.19096626643761</v>
      </c>
      <c r="G1807" s="311">
        <v>7.7579707464137199E-2</v>
      </c>
      <c r="H1807" s="312">
        <v>166.81113016962075</v>
      </c>
      <c r="I1807" s="311">
        <v>2.566717681625931E-2</v>
      </c>
      <c r="J1807" s="312">
        <v>6499.005767706848</v>
      </c>
      <c r="K1807" s="311">
        <v>4.9677038186362307E-2</v>
      </c>
      <c r="L1807" s="307"/>
    </row>
    <row r="1808" spans="1:12">
      <c r="A1808" s="313" t="s">
        <v>307</v>
      </c>
      <c r="B1808" s="312">
        <v>8948.5555555555511</v>
      </c>
      <c r="C1808" s="311">
        <v>0.61999857861981511</v>
      </c>
      <c r="D1808" s="312">
        <v>4501.9302662037035</v>
      </c>
      <c r="E1808" s="311">
        <v>0.31191518550264363</v>
      </c>
      <c r="F1808" s="312">
        <v>982.7013888888888</v>
      </c>
      <c r="G1808" s="311">
        <v>6.8086235877540327E-2</v>
      </c>
      <c r="H1808" s="312">
        <v>0</v>
      </c>
      <c r="I1808" s="311">
        <v>0</v>
      </c>
      <c r="J1808" s="312">
        <v>14433.187210648157</v>
      </c>
      <c r="K1808" s="311">
        <v>0.11032425848535214</v>
      </c>
      <c r="L1808" s="307"/>
    </row>
    <row r="1809" spans="1:12">
      <c r="A1809" s="313" t="s">
        <v>306</v>
      </c>
      <c r="B1809" s="312">
        <v>8632.0596044588328</v>
      </c>
      <c r="C1809" s="311">
        <v>0.73226259909281255</v>
      </c>
      <c r="D1809" s="312">
        <v>2838.5713304566675</v>
      </c>
      <c r="E1809" s="311">
        <v>0.24079764452470481</v>
      </c>
      <c r="F1809" s="312">
        <v>288.53425925925922</v>
      </c>
      <c r="G1809" s="311">
        <v>2.4476527769035309E-2</v>
      </c>
      <c r="H1809" s="312">
        <v>29.037037037037038</v>
      </c>
      <c r="I1809" s="311">
        <v>2.4632286134483915E-3</v>
      </c>
      <c r="J1809" s="312">
        <v>11788.202231211784</v>
      </c>
      <c r="K1809" s="311">
        <v>9.0106547573521725E-2</v>
      </c>
      <c r="L1809" s="307"/>
    </row>
    <row r="1810" spans="1:12">
      <c r="A1810" s="313" t="s">
        <v>305</v>
      </c>
      <c r="B1810" s="312">
        <v>11986.275424034829</v>
      </c>
      <c r="C1810" s="311">
        <v>0.57678661865301029</v>
      </c>
      <c r="D1810" s="312">
        <v>7728.3305105382906</v>
      </c>
      <c r="E1810" s="311">
        <v>0.37189180669650868</v>
      </c>
      <c r="F1810" s="312">
        <v>886.74547356232119</v>
      </c>
      <c r="G1810" s="311">
        <v>4.2670713395780172E-2</v>
      </c>
      <c r="H1810" s="312">
        <v>179.77463814282322</v>
      </c>
      <c r="I1810" s="311">
        <v>8.6508612547018179E-3</v>
      </c>
      <c r="J1810" s="312">
        <v>20781.126046278245</v>
      </c>
      <c r="K1810" s="311">
        <v>0.15884657269981653</v>
      </c>
      <c r="L1810" s="307"/>
    </row>
    <row r="1811" spans="1:12" ht="28.5">
      <c r="A1811" s="313" t="s">
        <v>304</v>
      </c>
      <c r="B1811" s="312">
        <v>19875.292990880054</v>
      </c>
      <c r="C1811" s="311">
        <v>0.51635253608455511</v>
      </c>
      <c r="D1811" s="312">
        <v>15893.485737057321</v>
      </c>
      <c r="E1811" s="311">
        <v>0.41290670136631141</v>
      </c>
      <c r="F1811" s="312">
        <v>2447.7969548558895</v>
      </c>
      <c r="G1811" s="311">
        <v>6.3592831866169361E-2</v>
      </c>
      <c r="H1811" s="312">
        <v>275.13608760318044</v>
      </c>
      <c r="I1811" s="311">
        <v>7.1479306829576438E-3</v>
      </c>
      <c r="J1811" s="312">
        <v>38491.711770396694</v>
      </c>
      <c r="K1811" s="311">
        <v>0.29422257862546031</v>
      </c>
      <c r="L1811" s="307"/>
    </row>
    <row r="1812" spans="1:12" ht="28.5">
      <c r="A1812" s="313" t="s">
        <v>303</v>
      </c>
      <c r="B1812" s="312">
        <v>19397.308274963114</v>
      </c>
      <c r="C1812" s="311">
        <v>0.57027626939069131</v>
      </c>
      <c r="D1812" s="312">
        <v>12057.394500169645</v>
      </c>
      <c r="E1812" s="311">
        <v>0.35448454273440466</v>
      </c>
      <c r="F1812" s="312">
        <v>2295.9424103112028</v>
      </c>
      <c r="G1812" s="311">
        <v>6.7500163111710643E-2</v>
      </c>
      <c r="H1812" s="312">
        <v>263.23425528378908</v>
      </c>
      <c r="I1812" s="311">
        <v>7.7390247631851676E-3</v>
      </c>
      <c r="J1812" s="312">
        <v>34013.879440728029</v>
      </c>
      <c r="K1812" s="311">
        <v>0.25999496665158034</v>
      </c>
      <c r="L1812" s="307"/>
    </row>
    <row r="1813" spans="1:12" ht="15.75" thickBot="1">
      <c r="A1813" s="310" t="s">
        <v>302</v>
      </c>
      <c r="B1813" s="309">
        <v>1741.5685952012379</v>
      </c>
      <c r="C1813" s="308">
        <v>0.72326046923156684</v>
      </c>
      <c r="D1813" s="309">
        <v>557.15731424148612</v>
      </c>
      <c r="E1813" s="308">
        <v>0.23138328380774098</v>
      </c>
      <c r="F1813" s="309">
        <v>90.068111455108351</v>
      </c>
      <c r="G1813" s="308">
        <v>3.7404616007269874E-2</v>
      </c>
      <c r="H1813" s="309">
        <v>19.147058823529413</v>
      </c>
      <c r="I1813" s="308">
        <v>7.9516309534222659E-3</v>
      </c>
      <c r="J1813" s="309">
        <v>2407.9410797213618</v>
      </c>
      <c r="K1813" s="308">
        <v>1.8405797016246669E-2</v>
      </c>
      <c r="L1813" s="307"/>
    </row>
    <row r="1819" spans="1:12" ht="15.75" thickBot="1"/>
    <row r="1820" spans="1:12" ht="30.75" customHeight="1">
      <c r="A1820" s="752" t="s">
        <v>310</v>
      </c>
      <c r="B1820" s="755" t="s">
        <v>362</v>
      </c>
      <c r="C1820" s="756"/>
      <c r="D1820" s="756"/>
      <c r="E1820" s="756"/>
      <c r="F1820" s="756"/>
      <c r="G1820" s="756"/>
      <c r="H1820" s="756"/>
      <c r="I1820" s="756"/>
      <c r="J1820" s="756"/>
      <c r="K1820" s="757"/>
      <c r="L1820" s="307"/>
    </row>
    <row r="1821" spans="1:12" ht="17.25" customHeight="1">
      <c r="A1821" s="753"/>
      <c r="B1821" s="758" t="s">
        <v>83</v>
      </c>
      <c r="C1821" s="759"/>
      <c r="D1821" s="760" t="s">
        <v>82</v>
      </c>
      <c r="E1821" s="759"/>
      <c r="F1821" s="760" t="s">
        <v>81</v>
      </c>
      <c r="G1821" s="759"/>
      <c r="H1821" s="760" t="s">
        <v>80</v>
      </c>
      <c r="I1821" s="759"/>
      <c r="J1821" s="761" t="s">
        <v>9</v>
      </c>
      <c r="K1821" s="762"/>
      <c r="L1821" s="307"/>
    </row>
    <row r="1822" spans="1:12" ht="15.75" customHeight="1" thickBot="1">
      <c r="A1822" s="754"/>
      <c r="B1822" s="324" t="s">
        <v>7</v>
      </c>
      <c r="C1822" s="318" t="s">
        <v>8</v>
      </c>
      <c r="D1822" s="324" t="s">
        <v>7</v>
      </c>
      <c r="E1822" s="318" t="s">
        <v>8</v>
      </c>
      <c r="F1822" s="324" t="s">
        <v>7</v>
      </c>
      <c r="G1822" s="318" t="s">
        <v>8</v>
      </c>
      <c r="H1822" s="324" t="s">
        <v>7</v>
      </c>
      <c r="I1822" s="318" t="s">
        <v>8</v>
      </c>
      <c r="J1822" s="324" t="s">
        <v>7</v>
      </c>
      <c r="K1822" s="317" t="s">
        <v>6</v>
      </c>
      <c r="L1822" s="307"/>
    </row>
    <row r="1823" spans="1:12" ht="15" customHeight="1">
      <c r="A1823" s="316" t="s">
        <v>5</v>
      </c>
      <c r="B1823" s="315">
        <v>115225.41995469894</v>
      </c>
      <c r="C1823" s="314">
        <v>0.57577247305814805</v>
      </c>
      <c r="D1823" s="315">
        <v>75551.609290699547</v>
      </c>
      <c r="E1823" s="314">
        <v>0.37752552294390718</v>
      </c>
      <c r="F1823" s="315">
        <v>8674.8484660000086</v>
      </c>
      <c r="G1823" s="314">
        <v>4.3347543941581614E-2</v>
      </c>
      <c r="H1823" s="315">
        <v>671.3052234999999</v>
      </c>
      <c r="I1823" s="314">
        <v>3.3544600563261851E-3</v>
      </c>
      <c r="J1823" s="315">
        <v>200123.1829349059</v>
      </c>
      <c r="K1823" s="314">
        <v>1</v>
      </c>
      <c r="L1823" s="307"/>
    </row>
    <row r="1824" spans="1:12">
      <c r="A1824" s="313" t="s">
        <v>309</v>
      </c>
      <c r="B1824" s="312">
        <v>2002.1662531999996</v>
      </c>
      <c r="C1824" s="311">
        <v>0.50785060012520222</v>
      </c>
      <c r="D1824" s="312">
        <v>1615.2341091999999</v>
      </c>
      <c r="E1824" s="311">
        <v>0.40970504341927666</v>
      </c>
      <c r="F1824" s="312">
        <v>325.03123600000004</v>
      </c>
      <c r="G1824" s="311">
        <v>8.2444356455521284E-2</v>
      </c>
      <c r="H1824" s="312">
        <v>0</v>
      </c>
      <c r="I1824" s="311">
        <v>0</v>
      </c>
      <c r="J1824" s="312">
        <v>3942.4315983999991</v>
      </c>
      <c r="K1824" s="311">
        <v>1.9700024457847819E-2</v>
      </c>
      <c r="L1824" s="307"/>
    </row>
    <row r="1825" spans="1:12">
      <c r="A1825" s="313" t="s">
        <v>308</v>
      </c>
      <c r="B1825" s="312">
        <v>4108.0714540000054</v>
      </c>
      <c r="C1825" s="311">
        <v>0.49982201596492992</v>
      </c>
      <c r="D1825" s="312">
        <v>3354.3533830000047</v>
      </c>
      <c r="E1825" s="311">
        <v>0.40811842951693778</v>
      </c>
      <c r="F1825" s="312">
        <v>709.38297799999987</v>
      </c>
      <c r="G1825" s="311">
        <v>8.6309411636432798E-2</v>
      </c>
      <c r="H1825" s="312">
        <v>47.260818999999998</v>
      </c>
      <c r="I1825" s="311">
        <v>5.750142881700138E-3</v>
      </c>
      <c r="J1825" s="312">
        <v>8219.0686340000047</v>
      </c>
      <c r="K1825" s="311">
        <v>4.1070047525045721E-2</v>
      </c>
      <c r="L1825" s="307"/>
    </row>
    <row r="1826" spans="1:12">
      <c r="A1826" s="313" t="s">
        <v>307</v>
      </c>
      <c r="B1826" s="312">
        <v>10083.440276999992</v>
      </c>
      <c r="C1826" s="311">
        <v>0.65691678767914641</v>
      </c>
      <c r="D1826" s="312">
        <v>5086.7538679999998</v>
      </c>
      <c r="E1826" s="311">
        <v>0.33139225491353941</v>
      </c>
      <c r="F1826" s="312">
        <v>89.726029999999994</v>
      </c>
      <c r="G1826" s="311">
        <v>5.8454787036571997E-3</v>
      </c>
      <c r="H1826" s="312">
        <v>89.726029999999994</v>
      </c>
      <c r="I1826" s="311">
        <v>5.8454787036571997E-3</v>
      </c>
      <c r="J1826" s="312">
        <v>15349.64620499999</v>
      </c>
      <c r="K1826" s="311">
        <v>7.6700989759855925E-2</v>
      </c>
      <c r="L1826" s="307"/>
    </row>
    <row r="1827" spans="1:12">
      <c r="A1827" s="313" t="s">
        <v>306</v>
      </c>
      <c r="B1827" s="312">
        <v>11808.83810549999</v>
      </c>
      <c r="C1827" s="311">
        <v>0.68812604546167444</v>
      </c>
      <c r="D1827" s="312">
        <v>4924.5098824999995</v>
      </c>
      <c r="E1827" s="311">
        <v>0.28696163678485642</v>
      </c>
      <c r="F1827" s="312">
        <v>349.17180999999999</v>
      </c>
      <c r="G1827" s="311">
        <v>2.0346982036284076E-2</v>
      </c>
      <c r="H1827" s="312">
        <v>78.345109499999992</v>
      </c>
      <c r="I1827" s="311">
        <v>4.5653357171852125E-3</v>
      </c>
      <c r="J1827" s="312">
        <v>17160.864907499985</v>
      </c>
      <c r="K1827" s="311">
        <v>8.575150892479011E-2</v>
      </c>
      <c r="L1827" s="307"/>
    </row>
    <row r="1828" spans="1:12">
      <c r="A1828" s="313" t="s">
        <v>305</v>
      </c>
      <c r="B1828" s="312">
        <v>16767.532568999959</v>
      </c>
      <c r="C1828" s="311">
        <v>0.63741429524793591</v>
      </c>
      <c r="D1828" s="312">
        <v>8591.8922290000028</v>
      </c>
      <c r="E1828" s="311">
        <v>0.32661901251466524</v>
      </c>
      <c r="F1828" s="312">
        <v>810.37807099999986</v>
      </c>
      <c r="G1828" s="311">
        <v>3.08063553707267E-2</v>
      </c>
      <c r="H1828" s="312">
        <v>135.74549099999999</v>
      </c>
      <c r="I1828" s="311">
        <v>5.1603368666669949E-3</v>
      </c>
      <c r="J1828" s="312">
        <v>26305.548360000095</v>
      </c>
      <c r="K1828" s="311">
        <v>0.13144678179817132</v>
      </c>
      <c r="L1828" s="307"/>
    </row>
    <row r="1829" spans="1:12" ht="28.5">
      <c r="A1829" s="313" t="s">
        <v>304</v>
      </c>
      <c r="B1829" s="312">
        <v>39993.58072899947</v>
      </c>
      <c r="C1829" s="311">
        <v>0.53696615655767665</v>
      </c>
      <c r="D1829" s="312">
        <v>31388.479378000102</v>
      </c>
      <c r="E1829" s="311">
        <v>0.42143141035564541</v>
      </c>
      <c r="F1829" s="312">
        <v>2903.0944439999994</v>
      </c>
      <c r="G1829" s="311">
        <v>3.8977841876216106E-2</v>
      </c>
      <c r="H1829" s="312">
        <v>195.48122199999995</v>
      </c>
      <c r="I1829" s="311">
        <v>2.6245912104695878E-3</v>
      </c>
      <c r="J1829" s="312">
        <v>74480.635772998998</v>
      </c>
      <c r="K1829" s="311">
        <v>0.37217395146680893</v>
      </c>
      <c r="L1829" s="307"/>
    </row>
    <row r="1830" spans="1:12" ht="28.5">
      <c r="A1830" s="313" t="s">
        <v>303</v>
      </c>
      <c r="B1830" s="312">
        <v>28378.923913000108</v>
      </c>
      <c r="C1830" s="311">
        <v>0.54942142845178066</v>
      </c>
      <c r="D1830" s="312">
        <v>20041.978087000036</v>
      </c>
      <c r="E1830" s="311">
        <v>0.3880165528233645</v>
      </c>
      <c r="F1830" s="312">
        <v>3106.7305569999976</v>
      </c>
      <c r="G1830" s="311">
        <v>6.0146901470771369E-2</v>
      </c>
      <c r="H1830" s="312">
        <v>124.74655200000001</v>
      </c>
      <c r="I1830" s="311">
        <v>2.4151172540716939E-3</v>
      </c>
      <c r="J1830" s="312">
        <v>51652.379109000751</v>
      </c>
      <c r="K1830" s="311">
        <v>0.25810292616523961</v>
      </c>
      <c r="L1830" s="307"/>
    </row>
    <row r="1831" spans="1:12" ht="15.75" thickBot="1">
      <c r="A1831" s="313" t="s">
        <v>302</v>
      </c>
      <c r="B1831" s="312">
        <v>2082.8666540000004</v>
      </c>
      <c r="C1831" s="311">
        <v>0.69138315154134355</v>
      </c>
      <c r="D1831" s="312">
        <v>548.40835399999992</v>
      </c>
      <c r="E1831" s="311">
        <v>0.18203771969365865</v>
      </c>
      <c r="F1831" s="312">
        <v>381.33334000000002</v>
      </c>
      <c r="G1831" s="311">
        <v>0.12657912876499808</v>
      </c>
      <c r="H1831" s="312">
        <v>0</v>
      </c>
      <c r="I1831" s="311">
        <v>0</v>
      </c>
      <c r="J1831" s="312">
        <v>3012.6083479999993</v>
      </c>
      <c r="K1831" s="311">
        <v>1.5053769902210235E-2</v>
      </c>
      <c r="L1831" s="307"/>
    </row>
    <row r="1832" spans="1:12" ht="15" customHeight="1">
      <c r="A1832" s="316" t="s">
        <v>4</v>
      </c>
      <c r="B1832" s="315">
        <v>101369.20994137517</v>
      </c>
      <c r="C1832" s="314">
        <v>0.54207269940618852</v>
      </c>
      <c r="D1832" s="315">
        <v>76649.424167172663</v>
      </c>
      <c r="E1832" s="314">
        <v>0.40988343788275133</v>
      </c>
      <c r="F1832" s="315">
        <v>8104.8388875727342</v>
      </c>
      <c r="G1832" s="314">
        <v>4.3340693851512138E-2</v>
      </c>
      <c r="H1832" s="315">
        <v>879.5065902331188</v>
      </c>
      <c r="I1832" s="314">
        <v>4.7031688595474078E-3</v>
      </c>
      <c r="J1832" s="315">
        <v>187002.97958635382</v>
      </c>
      <c r="K1832" s="314">
        <v>1</v>
      </c>
      <c r="L1832" s="307"/>
    </row>
    <row r="1833" spans="1:12">
      <c r="A1833" s="313" t="s">
        <v>309</v>
      </c>
      <c r="B1833" s="312">
        <v>3056.1244216310024</v>
      </c>
      <c r="C1833" s="311">
        <v>0.52474951750388998</v>
      </c>
      <c r="D1833" s="312">
        <v>2528.8710960092544</v>
      </c>
      <c r="E1833" s="311">
        <v>0.43421788657157456</v>
      </c>
      <c r="F1833" s="312">
        <v>238.9725274725275</v>
      </c>
      <c r="G1833" s="311">
        <v>4.1032595924536876E-2</v>
      </c>
      <c r="H1833" s="312">
        <v>0</v>
      </c>
      <c r="I1833" s="311">
        <v>0</v>
      </c>
      <c r="J1833" s="312">
        <v>5823.9680451127761</v>
      </c>
      <c r="K1833" s="311">
        <v>3.1143717912919124E-2</v>
      </c>
      <c r="L1833" s="307"/>
    </row>
    <row r="1834" spans="1:12">
      <c r="A1834" s="313" t="s">
        <v>308</v>
      </c>
      <c r="B1834" s="312">
        <v>3973.8443652528099</v>
      </c>
      <c r="C1834" s="311">
        <v>0.48767967092154491</v>
      </c>
      <c r="D1834" s="312">
        <v>3470.8194136522052</v>
      </c>
      <c r="E1834" s="311">
        <v>0.42594724752647251</v>
      </c>
      <c r="F1834" s="312">
        <v>645.38066618009987</v>
      </c>
      <c r="G1834" s="311">
        <v>7.9202656665144783E-2</v>
      </c>
      <c r="H1834" s="312">
        <v>58.428009679370852</v>
      </c>
      <c r="I1834" s="311">
        <v>7.1704248868396893E-3</v>
      </c>
      <c r="J1834" s="312">
        <v>8148.4724547644701</v>
      </c>
      <c r="K1834" s="311">
        <v>4.3574024717620535E-2</v>
      </c>
      <c r="L1834" s="307"/>
    </row>
    <row r="1835" spans="1:12">
      <c r="A1835" s="313" t="s">
        <v>307</v>
      </c>
      <c r="B1835" s="312">
        <v>11556.108195709228</v>
      </c>
      <c r="C1835" s="311">
        <v>0.71017217533977384</v>
      </c>
      <c r="D1835" s="312">
        <v>4475.2422184493507</v>
      </c>
      <c r="E1835" s="311">
        <v>0.27502273668817251</v>
      </c>
      <c r="F1835" s="312">
        <v>240.91228070175438</v>
      </c>
      <c r="G1835" s="311">
        <v>1.4805087972052426E-2</v>
      </c>
      <c r="H1835" s="312">
        <v>0</v>
      </c>
      <c r="I1835" s="311">
        <v>0</v>
      </c>
      <c r="J1835" s="312">
        <v>16272.262694860352</v>
      </c>
      <c r="K1835" s="311">
        <v>8.701606108551968E-2</v>
      </c>
      <c r="L1835" s="307"/>
    </row>
    <row r="1836" spans="1:12">
      <c r="A1836" s="313" t="s">
        <v>306</v>
      </c>
      <c r="B1836" s="312">
        <v>10181.882277478626</v>
      </c>
      <c r="C1836" s="311">
        <v>0.60178335553639217</v>
      </c>
      <c r="D1836" s="312">
        <v>6477.3362646499918</v>
      </c>
      <c r="E1836" s="311">
        <v>0.38283227462770225</v>
      </c>
      <c r="F1836" s="312">
        <v>260.29607024073488</v>
      </c>
      <c r="G1836" s="311">
        <v>1.5384369835907748E-2</v>
      </c>
      <c r="H1836" s="312">
        <v>0</v>
      </c>
      <c r="I1836" s="311">
        <v>0</v>
      </c>
      <c r="J1836" s="312">
        <v>16919.514612369316</v>
      </c>
      <c r="K1836" s="311">
        <v>9.0477246136905845E-2</v>
      </c>
      <c r="L1836" s="307"/>
    </row>
    <row r="1837" spans="1:12" ht="15" customHeight="1">
      <c r="A1837" s="313" t="s">
        <v>305</v>
      </c>
      <c r="B1837" s="312">
        <v>13909.239922078794</v>
      </c>
      <c r="C1837" s="311">
        <v>0.59707319674519421</v>
      </c>
      <c r="D1837" s="312">
        <v>8819.1951500672349</v>
      </c>
      <c r="E1837" s="311">
        <v>0.37857604516633969</v>
      </c>
      <c r="F1837" s="312">
        <v>514.35685597433439</v>
      </c>
      <c r="G1837" s="311">
        <v>2.2079473356190739E-2</v>
      </c>
      <c r="H1837" s="312">
        <v>52.911174785100286</v>
      </c>
      <c r="I1837" s="311">
        <v>2.2712847322689657E-3</v>
      </c>
      <c r="J1837" s="312">
        <v>23295.703102905612</v>
      </c>
      <c r="K1837" s="311">
        <v>0.12457396750808547</v>
      </c>
      <c r="L1837" s="307"/>
    </row>
    <row r="1838" spans="1:12" ht="28.5">
      <c r="A1838" s="313" t="s">
        <v>304</v>
      </c>
      <c r="B1838" s="312">
        <v>32669.837642965718</v>
      </c>
      <c r="C1838" s="311">
        <v>0.50821635477482296</v>
      </c>
      <c r="D1838" s="312">
        <v>28440.09518831559</v>
      </c>
      <c r="E1838" s="311">
        <v>0.44241791661204738</v>
      </c>
      <c r="F1838" s="312">
        <v>2803.2710203006973</v>
      </c>
      <c r="G1838" s="311">
        <v>4.3608058140744095E-2</v>
      </c>
      <c r="H1838" s="312">
        <v>370.1222083224427</v>
      </c>
      <c r="I1838" s="311">
        <v>5.7576704723949108E-3</v>
      </c>
      <c r="J1838" s="312">
        <v>64283.326059903848</v>
      </c>
      <c r="K1838" s="311">
        <v>0.34375562465420095</v>
      </c>
      <c r="L1838" s="307"/>
    </row>
    <row r="1839" spans="1:12" ht="28.5">
      <c r="A1839" s="313" t="s">
        <v>303</v>
      </c>
      <c r="B1839" s="312">
        <v>24628.330655941591</v>
      </c>
      <c r="C1839" s="311">
        <v>0.49945808948537634</v>
      </c>
      <c r="D1839" s="312">
        <v>21308.651244759454</v>
      </c>
      <c r="E1839" s="311">
        <v>0.43213559168494314</v>
      </c>
      <c r="F1839" s="312">
        <v>2975.0775420994291</v>
      </c>
      <c r="G1839" s="311">
        <v>6.0334034247235921E-2</v>
      </c>
      <c r="H1839" s="312">
        <v>398.04519744620495</v>
      </c>
      <c r="I1839" s="311">
        <v>8.0722845824448414E-3</v>
      </c>
      <c r="J1839" s="312">
        <v>49310.104640246667</v>
      </c>
      <c r="K1839" s="311">
        <v>0.26368619767085777</v>
      </c>
      <c r="L1839" s="307"/>
    </row>
    <row r="1840" spans="1:12" ht="15.75" thickBot="1">
      <c r="A1840" s="313" t="s">
        <v>302</v>
      </c>
      <c r="B1840" s="312">
        <v>1393.8424603174606</v>
      </c>
      <c r="C1840" s="311">
        <v>0.47254856258776257</v>
      </c>
      <c r="D1840" s="312">
        <v>1129.2135912698413</v>
      </c>
      <c r="E1840" s="311">
        <v>0.38283254714998027</v>
      </c>
      <c r="F1840" s="312">
        <v>426.57192460317464</v>
      </c>
      <c r="G1840" s="311">
        <v>0.14461889026225735</v>
      </c>
      <c r="H1840" s="312">
        <v>0</v>
      </c>
      <c r="I1840" s="311">
        <v>0</v>
      </c>
      <c r="J1840" s="312">
        <v>2949.6279761904757</v>
      </c>
      <c r="K1840" s="311">
        <v>1.5773160313889024E-2</v>
      </c>
      <c r="L1840" s="307"/>
    </row>
    <row r="1841" spans="1:12">
      <c r="A1841" s="316" t="s">
        <v>3</v>
      </c>
      <c r="B1841" s="315">
        <v>67500.227265589958</v>
      </c>
      <c r="C1841" s="314">
        <v>0.51595759217859816</v>
      </c>
      <c r="D1841" s="315">
        <v>55808.643943474533</v>
      </c>
      <c r="E1841" s="314">
        <v>0.42658957929919133</v>
      </c>
      <c r="F1841" s="315">
        <v>6882.6828204094509</v>
      </c>
      <c r="G1841" s="314">
        <v>5.2609785175608853E-2</v>
      </c>
      <c r="H1841" s="315">
        <v>633.59185233300798</v>
      </c>
      <c r="I1841" s="314">
        <v>4.8430433466164942E-3</v>
      </c>
      <c r="J1841" s="315">
        <v>130825.14588180502</v>
      </c>
      <c r="K1841" s="314">
        <v>1</v>
      </c>
      <c r="L1841" s="307"/>
    </row>
    <row r="1842" spans="1:12">
      <c r="A1842" s="313" t="s">
        <v>309</v>
      </c>
      <c r="B1842" s="312">
        <v>1223.1977421271545</v>
      </c>
      <c r="C1842" s="311">
        <v>0.50753148512392943</v>
      </c>
      <c r="D1842" s="312">
        <v>946.78942364824741</v>
      </c>
      <c r="E1842" s="311">
        <v>0.39284363086559088</v>
      </c>
      <c r="F1842" s="312">
        <v>228.39928698752229</v>
      </c>
      <c r="G1842" s="311">
        <v>9.4767857504738248E-2</v>
      </c>
      <c r="H1842" s="312">
        <v>11.705882352941176</v>
      </c>
      <c r="I1842" s="311">
        <v>4.8570265057410796E-3</v>
      </c>
      <c r="J1842" s="312">
        <v>2410.0923351158663</v>
      </c>
      <c r="K1842" s="311">
        <v>1.8422240761674997E-2</v>
      </c>
      <c r="L1842" s="307"/>
    </row>
    <row r="1843" spans="1:12">
      <c r="A1843" s="313" t="s">
        <v>308</v>
      </c>
      <c r="B1843" s="312">
        <v>2881.3516947027406</v>
      </c>
      <c r="C1843" s="311">
        <v>0.44335269081003076</v>
      </c>
      <c r="D1843" s="312">
        <v>3009.1796364840084</v>
      </c>
      <c r="E1843" s="311">
        <v>0.46302153653046951</v>
      </c>
      <c r="F1843" s="312">
        <v>553.47291183934635</v>
      </c>
      <c r="G1843" s="311">
        <v>8.5162705130916866E-2</v>
      </c>
      <c r="H1843" s="312">
        <v>55.001524680769961</v>
      </c>
      <c r="I1843" s="311">
        <v>8.4630675285855394E-3</v>
      </c>
      <c r="J1843" s="312">
        <v>6499.005767706848</v>
      </c>
      <c r="K1843" s="311">
        <v>4.9677038186362307E-2</v>
      </c>
      <c r="L1843" s="307"/>
    </row>
    <row r="1844" spans="1:12">
      <c r="A1844" s="313" t="s">
        <v>307</v>
      </c>
      <c r="B1844" s="312">
        <v>7600.6796874999945</v>
      </c>
      <c r="C1844" s="311">
        <v>0.52661131436669473</v>
      </c>
      <c r="D1844" s="312">
        <v>6186.0601851851843</v>
      </c>
      <c r="E1844" s="311">
        <v>0.42859973302510668</v>
      </c>
      <c r="F1844" s="312">
        <v>646.44733796296293</v>
      </c>
      <c r="G1844" s="311">
        <v>4.4788952608197527E-2</v>
      </c>
      <c r="H1844" s="312">
        <v>0</v>
      </c>
      <c r="I1844" s="311">
        <v>0</v>
      </c>
      <c r="J1844" s="312">
        <v>14433.187210648157</v>
      </c>
      <c r="K1844" s="311">
        <v>0.11032425848535214</v>
      </c>
      <c r="L1844" s="307"/>
    </row>
    <row r="1845" spans="1:12">
      <c r="A1845" s="313" t="s">
        <v>306</v>
      </c>
      <c r="B1845" s="312">
        <v>7335.8149928083458</v>
      </c>
      <c r="C1845" s="311">
        <v>0.62230142043077674</v>
      </c>
      <c r="D1845" s="312">
        <v>4008.4445649047029</v>
      </c>
      <c r="E1845" s="311">
        <v>0.34003866631092305</v>
      </c>
      <c r="F1845" s="312">
        <v>393.32915498022288</v>
      </c>
      <c r="G1845" s="311">
        <v>3.336633926577879E-2</v>
      </c>
      <c r="H1845" s="312">
        <v>50.613518518518518</v>
      </c>
      <c r="I1845" s="311">
        <v>4.2935739925218123E-3</v>
      </c>
      <c r="J1845" s="312">
        <v>11788.202231211784</v>
      </c>
      <c r="K1845" s="311">
        <v>9.0106547573521725E-2</v>
      </c>
      <c r="L1845" s="307"/>
    </row>
    <row r="1846" spans="1:12" ht="15.75" customHeight="1">
      <c r="A1846" s="313" t="s">
        <v>305</v>
      </c>
      <c r="B1846" s="312">
        <v>11440.844392783414</v>
      </c>
      <c r="C1846" s="311">
        <v>0.55054015683776625</v>
      </c>
      <c r="D1846" s="312">
        <v>8651.7075488707451</v>
      </c>
      <c r="E1846" s="311">
        <v>0.41632525252019276</v>
      </c>
      <c r="F1846" s="312">
        <v>562.18963220986291</v>
      </c>
      <c r="G1846" s="311">
        <v>2.705289554367277E-2</v>
      </c>
      <c r="H1846" s="312">
        <v>126.38447241424286</v>
      </c>
      <c r="I1846" s="311">
        <v>6.0816950983691971E-3</v>
      </c>
      <c r="J1846" s="312">
        <v>20781.126046278245</v>
      </c>
      <c r="K1846" s="311">
        <v>0.15884657269981653</v>
      </c>
      <c r="L1846" s="307"/>
    </row>
    <row r="1847" spans="1:12" ht="28.5">
      <c r="A1847" s="313" t="s">
        <v>304</v>
      </c>
      <c r="B1847" s="312">
        <v>18986.199928791208</v>
      </c>
      <c r="C1847" s="311">
        <v>0.49325423722499045</v>
      </c>
      <c r="D1847" s="312">
        <v>17202.953759644221</v>
      </c>
      <c r="E1847" s="311">
        <v>0.44692618146628421</v>
      </c>
      <c r="F1847" s="312">
        <v>2118.0458289312546</v>
      </c>
      <c r="G1847" s="311">
        <v>5.5026023305105559E-2</v>
      </c>
      <c r="H1847" s="312">
        <v>184.51225302977022</v>
      </c>
      <c r="I1847" s="311">
        <v>4.7935580036135303E-3</v>
      </c>
      <c r="J1847" s="312">
        <v>38491.711770396694</v>
      </c>
      <c r="K1847" s="311">
        <v>0.29422257862546031</v>
      </c>
      <c r="L1847" s="307"/>
    </row>
    <row r="1848" spans="1:12" ht="28.5">
      <c r="A1848" s="313" t="s">
        <v>303</v>
      </c>
      <c r="B1848" s="312">
        <v>16615.548269601193</v>
      </c>
      <c r="C1848" s="311">
        <v>0.48849318404138953</v>
      </c>
      <c r="D1848" s="312">
        <v>15029.269563901353</v>
      </c>
      <c r="E1848" s="311">
        <v>0.44185696577454758</v>
      </c>
      <c r="F1848" s="312">
        <v>2163.6874058883868</v>
      </c>
      <c r="G1848" s="311">
        <v>6.3611897303828255E-2</v>
      </c>
      <c r="H1848" s="312">
        <v>205.3742013367654</v>
      </c>
      <c r="I1848" s="311">
        <v>6.0379528802248731E-3</v>
      </c>
      <c r="J1848" s="312">
        <v>34013.879440728029</v>
      </c>
      <c r="K1848" s="311">
        <v>0.25999496665158034</v>
      </c>
      <c r="L1848" s="307"/>
    </row>
    <row r="1849" spans="1:12" ht="15.75" thickBot="1">
      <c r="A1849" s="310" t="s">
        <v>302</v>
      </c>
      <c r="B1849" s="309">
        <v>1416.5905572755416</v>
      </c>
      <c r="C1849" s="308">
        <v>0.58829950998612657</v>
      </c>
      <c r="D1849" s="309">
        <v>774.23926083591323</v>
      </c>
      <c r="E1849" s="308">
        <v>0.32153579975698798</v>
      </c>
      <c r="F1849" s="309">
        <v>217.1112616099071</v>
      </c>
      <c r="G1849" s="308">
        <v>9.0164690256885546E-2</v>
      </c>
      <c r="H1849" s="309">
        <v>0</v>
      </c>
      <c r="I1849" s="308">
        <v>0</v>
      </c>
      <c r="J1849" s="309">
        <v>2407.9410797213618</v>
      </c>
      <c r="K1849" s="308">
        <v>1.8405797016246669E-2</v>
      </c>
      <c r="L1849" s="307"/>
    </row>
    <row r="1855" spans="1:12" ht="15.75" thickBot="1"/>
    <row r="1856" spans="1:12" ht="30.75" customHeight="1">
      <c r="A1856" s="752" t="s">
        <v>310</v>
      </c>
      <c r="B1856" s="755" t="s">
        <v>363</v>
      </c>
      <c r="C1856" s="756"/>
      <c r="D1856" s="756"/>
      <c r="E1856" s="756"/>
      <c r="F1856" s="756"/>
      <c r="G1856" s="757"/>
      <c r="H1856" s="307"/>
    </row>
    <row r="1857" spans="1:8" ht="15" customHeight="1">
      <c r="A1857" s="753"/>
      <c r="B1857" s="767" t="s">
        <v>27</v>
      </c>
      <c r="C1857" s="759"/>
      <c r="D1857" s="768" t="s">
        <v>26</v>
      </c>
      <c r="E1857" s="759"/>
      <c r="F1857" s="769" t="s">
        <v>9</v>
      </c>
      <c r="G1857" s="762"/>
      <c r="H1857" s="307"/>
    </row>
    <row r="1858" spans="1:8" ht="15.75" customHeight="1" thickBot="1">
      <c r="A1858" s="754"/>
      <c r="B1858" s="324" t="s">
        <v>7</v>
      </c>
      <c r="C1858" s="318" t="s">
        <v>8</v>
      </c>
      <c r="D1858" s="324" t="s">
        <v>7</v>
      </c>
      <c r="E1858" s="318" t="s">
        <v>8</v>
      </c>
      <c r="F1858" s="324" t="s">
        <v>7</v>
      </c>
      <c r="G1858" s="317" t="s">
        <v>6</v>
      </c>
      <c r="H1858" s="307"/>
    </row>
    <row r="1859" spans="1:8" ht="15.75" customHeight="1">
      <c r="A1859" s="316" t="s">
        <v>5</v>
      </c>
      <c r="B1859" s="315">
        <v>191782.07194940539</v>
      </c>
      <c r="C1859" s="314">
        <v>0.95832011632448588</v>
      </c>
      <c r="D1859" s="315">
        <v>8341.1109855000086</v>
      </c>
      <c r="E1859" s="314">
        <v>4.1679883675511613E-2</v>
      </c>
      <c r="F1859" s="315">
        <v>200123.1829349059</v>
      </c>
      <c r="G1859" s="314">
        <v>1</v>
      </c>
      <c r="H1859" s="307"/>
    </row>
    <row r="1860" spans="1:8">
      <c r="A1860" s="313" t="s">
        <v>309</v>
      </c>
      <c r="B1860" s="312">
        <v>3771.4167863999992</v>
      </c>
      <c r="C1860" s="311">
        <v>0.95662199641728607</v>
      </c>
      <c r="D1860" s="312">
        <v>171.01481200000001</v>
      </c>
      <c r="E1860" s="311">
        <v>4.3378003582713986E-2</v>
      </c>
      <c r="F1860" s="312">
        <v>3942.4315983999991</v>
      </c>
      <c r="G1860" s="311">
        <v>1.9700024457847819E-2</v>
      </c>
      <c r="H1860" s="307"/>
    </row>
    <row r="1861" spans="1:8">
      <c r="A1861" s="313" t="s">
        <v>308</v>
      </c>
      <c r="B1861" s="312">
        <v>7969.4891380000045</v>
      </c>
      <c r="C1861" s="311">
        <v>0.96963409029490777</v>
      </c>
      <c r="D1861" s="312">
        <v>249.57949599999998</v>
      </c>
      <c r="E1861" s="311">
        <v>3.0365909705092241E-2</v>
      </c>
      <c r="F1861" s="312">
        <v>8219.0686340000047</v>
      </c>
      <c r="G1861" s="311">
        <v>4.1070047525045721E-2</v>
      </c>
      <c r="H1861" s="307"/>
    </row>
    <row r="1862" spans="1:8">
      <c r="A1862" s="313" t="s">
        <v>307</v>
      </c>
      <c r="B1862" s="312">
        <v>15045.62944099999</v>
      </c>
      <c r="C1862" s="311">
        <v>0.98019389112037192</v>
      </c>
      <c r="D1862" s="312">
        <v>304.01676399999997</v>
      </c>
      <c r="E1862" s="311">
        <v>1.9806108879628092E-2</v>
      </c>
      <c r="F1862" s="312">
        <v>15349.64620499999</v>
      </c>
      <c r="G1862" s="311">
        <v>7.6700989759855925E-2</v>
      </c>
      <c r="H1862" s="307"/>
    </row>
    <row r="1863" spans="1:8">
      <c r="A1863" s="313" t="s">
        <v>306</v>
      </c>
      <c r="B1863" s="312">
        <v>16934.225593999989</v>
      </c>
      <c r="C1863" s="311">
        <v>0.98679324645222588</v>
      </c>
      <c r="D1863" s="312">
        <v>226.63931350000001</v>
      </c>
      <c r="E1863" s="311">
        <v>1.3206753547774248E-2</v>
      </c>
      <c r="F1863" s="312">
        <v>17160.864907499985</v>
      </c>
      <c r="G1863" s="311">
        <v>8.575150892479011E-2</v>
      </c>
      <c r="H1863" s="307"/>
    </row>
    <row r="1864" spans="1:8">
      <c r="A1864" s="313" t="s">
        <v>305</v>
      </c>
      <c r="B1864" s="312">
        <v>25511.442144000088</v>
      </c>
      <c r="C1864" s="311">
        <v>0.969812215843882</v>
      </c>
      <c r="D1864" s="312">
        <v>794.1062159999999</v>
      </c>
      <c r="E1864" s="311">
        <v>3.0187784156117739E-2</v>
      </c>
      <c r="F1864" s="312">
        <v>26305.548360000095</v>
      </c>
      <c r="G1864" s="311">
        <v>0.13144678179817132</v>
      </c>
      <c r="H1864" s="307"/>
    </row>
    <row r="1865" spans="1:8" ht="28.5">
      <c r="A1865" s="313" t="s">
        <v>304</v>
      </c>
      <c r="B1865" s="312">
        <v>70432.919567998819</v>
      </c>
      <c r="C1865" s="311">
        <v>0.94565411313973269</v>
      </c>
      <c r="D1865" s="312">
        <v>4047.7162049999997</v>
      </c>
      <c r="E1865" s="311">
        <v>5.4345886860264869E-2</v>
      </c>
      <c r="F1865" s="312">
        <v>74480.635772998998</v>
      </c>
      <c r="G1865" s="311">
        <v>0.37217395146680893</v>
      </c>
      <c r="H1865" s="307"/>
    </row>
    <row r="1866" spans="1:8" ht="28.5">
      <c r="A1866" s="313" t="s">
        <v>303</v>
      </c>
      <c r="B1866" s="312">
        <v>49104.340930000653</v>
      </c>
      <c r="C1866" s="311">
        <v>0.95066949048710736</v>
      </c>
      <c r="D1866" s="312">
        <v>2548.0381789999997</v>
      </c>
      <c r="E1866" s="311">
        <v>4.9330509512890724E-2</v>
      </c>
      <c r="F1866" s="312">
        <v>51652.379109000751</v>
      </c>
      <c r="G1866" s="311">
        <v>0.25810292616523961</v>
      </c>
      <c r="H1866" s="307"/>
    </row>
    <row r="1867" spans="1:8" ht="15.75" thickBot="1">
      <c r="A1867" s="313" t="s">
        <v>302</v>
      </c>
      <c r="B1867" s="312">
        <v>3012.6083479999993</v>
      </c>
      <c r="C1867" s="311">
        <v>1</v>
      </c>
      <c r="D1867" s="312">
        <v>0</v>
      </c>
      <c r="E1867" s="311">
        <v>0</v>
      </c>
      <c r="F1867" s="312">
        <v>3012.6083479999993</v>
      </c>
      <c r="G1867" s="311">
        <v>1.5053769902210235E-2</v>
      </c>
      <c r="H1867" s="307"/>
    </row>
    <row r="1868" spans="1:8" ht="15" customHeight="1">
      <c r="A1868" s="316" t="s">
        <v>4</v>
      </c>
      <c r="B1868" s="315">
        <v>180315.56162654073</v>
      </c>
      <c r="C1868" s="314">
        <v>0.96423897643446377</v>
      </c>
      <c r="D1868" s="315">
        <v>6687.417959813034</v>
      </c>
      <c r="E1868" s="314">
        <v>3.5761023565535933E-2</v>
      </c>
      <c r="F1868" s="315">
        <v>187002.97958635382</v>
      </c>
      <c r="G1868" s="314">
        <v>1</v>
      </c>
      <c r="H1868" s="307"/>
    </row>
    <row r="1869" spans="1:8">
      <c r="A1869" s="313" t="s">
        <v>309</v>
      </c>
      <c r="B1869" s="312">
        <v>5623.4607432041594</v>
      </c>
      <c r="C1869" s="311">
        <v>0.96557204635130622</v>
      </c>
      <c r="D1869" s="312">
        <v>200.50730190861771</v>
      </c>
      <c r="E1869" s="311">
        <v>3.4427953648694005E-2</v>
      </c>
      <c r="F1869" s="312">
        <v>5823.9680451127761</v>
      </c>
      <c r="G1869" s="311">
        <v>3.1143717912919124E-2</v>
      </c>
      <c r="H1869" s="307"/>
    </row>
    <row r="1870" spans="1:8">
      <c r="A1870" s="313" t="s">
        <v>308</v>
      </c>
      <c r="B1870" s="312">
        <v>7745.3744224518032</v>
      </c>
      <c r="C1870" s="311">
        <v>0.95053084678748934</v>
      </c>
      <c r="D1870" s="312">
        <v>403.09803231266824</v>
      </c>
      <c r="E1870" s="311">
        <v>4.9469153212510886E-2</v>
      </c>
      <c r="F1870" s="312">
        <v>8148.4724547644701</v>
      </c>
      <c r="G1870" s="311">
        <v>4.3574024717620535E-2</v>
      </c>
      <c r="H1870" s="307"/>
    </row>
    <row r="1871" spans="1:8">
      <c r="A1871" s="313" t="s">
        <v>307</v>
      </c>
      <c r="B1871" s="312">
        <v>15680.89586870405</v>
      </c>
      <c r="C1871" s="311">
        <v>0.96365798431074456</v>
      </c>
      <c r="D1871" s="312">
        <v>591.36682615629979</v>
      </c>
      <c r="E1871" s="311">
        <v>3.6342015689255366E-2</v>
      </c>
      <c r="F1871" s="312">
        <v>16272.262694860352</v>
      </c>
      <c r="G1871" s="311">
        <v>8.701606108551968E-2</v>
      </c>
      <c r="H1871" s="307"/>
    </row>
    <row r="1872" spans="1:8">
      <c r="A1872" s="313" t="s">
        <v>306</v>
      </c>
      <c r="B1872" s="312">
        <v>16494.118890560643</v>
      </c>
      <c r="C1872" s="311">
        <v>0.97485768761370495</v>
      </c>
      <c r="D1872" s="312">
        <v>425.39572180867913</v>
      </c>
      <c r="E1872" s="311">
        <v>2.5142312386295402E-2</v>
      </c>
      <c r="F1872" s="312">
        <v>16919.514612369316</v>
      </c>
      <c r="G1872" s="311">
        <v>9.0477246136905845E-2</v>
      </c>
      <c r="H1872" s="307"/>
    </row>
    <row r="1873" spans="1:8">
      <c r="A1873" s="313" t="s">
        <v>305</v>
      </c>
      <c r="B1873" s="312">
        <v>22944.591673424551</v>
      </c>
      <c r="C1873" s="311">
        <v>0.98492806042684888</v>
      </c>
      <c r="D1873" s="312">
        <v>351.11142948105692</v>
      </c>
      <c r="E1873" s="311">
        <v>1.5071939573150884E-2</v>
      </c>
      <c r="F1873" s="312">
        <v>23295.703102905612</v>
      </c>
      <c r="G1873" s="311">
        <v>0.12457396750808547</v>
      </c>
      <c r="H1873" s="307"/>
    </row>
    <row r="1874" spans="1:8" ht="28.5">
      <c r="A1874" s="313" t="s">
        <v>304</v>
      </c>
      <c r="B1874" s="312">
        <v>61726.830961715968</v>
      </c>
      <c r="C1874" s="311">
        <v>0.96023082104050506</v>
      </c>
      <c r="D1874" s="312">
        <v>2556.495098187936</v>
      </c>
      <c r="E1874" s="311">
        <v>3.9769178959495798E-2</v>
      </c>
      <c r="F1874" s="312">
        <v>64283.326059903848</v>
      </c>
      <c r="G1874" s="311">
        <v>0.34375562465420095</v>
      </c>
      <c r="H1874" s="307"/>
    </row>
    <row r="1875" spans="1:8" ht="28.5">
      <c r="A1875" s="313" t="s">
        <v>303</v>
      </c>
      <c r="B1875" s="312">
        <v>47292.562876003161</v>
      </c>
      <c r="C1875" s="311">
        <v>0.95908461807244283</v>
      </c>
      <c r="D1875" s="312">
        <v>2017.5417642435027</v>
      </c>
      <c r="E1875" s="311">
        <v>4.0915381927557198E-2</v>
      </c>
      <c r="F1875" s="312">
        <v>49310.104640246667</v>
      </c>
      <c r="G1875" s="311">
        <v>0.26368619767085777</v>
      </c>
      <c r="H1875" s="307"/>
    </row>
    <row r="1876" spans="1:8" ht="15.75" thickBot="1">
      <c r="A1876" s="313" t="s">
        <v>302</v>
      </c>
      <c r="B1876" s="312">
        <v>2807.7261904761899</v>
      </c>
      <c r="C1876" s="311">
        <v>0.95189163282294476</v>
      </c>
      <c r="D1876" s="312">
        <v>141.90178571428572</v>
      </c>
      <c r="E1876" s="311">
        <v>4.8108367177055224E-2</v>
      </c>
      <c r="F1876" s="312">
        <v>2949.6279761904757</v>
      </c>
      <c r="G1876" s="311">
        <v>1.5773160313889024E-2</v>
      </c>
      <c r="H1876" s="307"/>
    </row>
    <row r="1877" spans="1:8" ht="15.75" customHeight="1">
      <c r="A1877" s="316" t="s">
        <v>3</v>
      </c>
      <c r="B1877" s="315">
        <v>125014.74075368266</v>
      </c>
      <c r="C1877" s="314">
        <v>0.95558648080261421</v>
      </c>
      <c r="D1877" s="315">
        <v>5810.4051281225829</v>
      </c>
      <c r="E1877" s="314">
        <v>4.4413519197387619E-2</v>
      </c>
      <c r="F1877" s="315">
        <v>130825.14588180502</v>
      </c>
      <c r="G1877" s="314">
        <v>1</v>
      </c>
      <c r="H1877" s="307"/>
    </row>
    <row r="1878" spans="1:8">
      <c r="A1878" s="313" t="s">
        <v>309</v>
      </c>
      <c r="B1878" s="312">
        <v>2325.9218062982791</v>
      </c>
      <c r="C1878" s="311">
        <v>0.96507580743227395</v>
      </c>
      <c r="D1878" s="312">
        <v>84.170528817587638</v>
      </c>
      <c r="E1878" s="311">
        <v>3.4924192567726289E-2</v>
      </c>
      <c r="F1878" s="312">
        <v>2410.0923351158663</v>
      </c>
      <c r="G1878" s="311">
        <v>1.8422240761674997E-2</v>
      </c>
      <c r="H1878" s="307"/>
    </row>
    <row r="1879" spans="1:8">
      <c r="A1879" s="313" t="s">
        <v>308</v>
      </c>
      <c r="B1879" s="312">
        <v>6204.4825163251071</v>
      </c>
      <c r="C1879" s="311">
        <v>0.95468179873832271</v>
      </c>
      <c r="D1879" s="312">
        <v>294.52325138174183</v>
      </c>
      <c r="E1879" s="311">
        <v>4.5318201261677495E-2</v>
      </c>
      <c r="F1879" s="312">
        <v>6499.005767706848</v>
      </c>
      <c r="G1879" s="311">
        <v>4.9677038186362307E-2</v>
      </c>
      <c r="H1879" s="307"/>
    </row>
    <row r="1880" spans="1:8">
      <c r="A1880" s="313" t="s">
        <v>307</v>
      </c>
      <c r="B1880" s="312">
        <v>13667.874710648153</v>
      </c>
      <c r="C1880" s="311">
        <v>0.94697550244235795</v>
      </c>
      <c r="D1880" s="312">
        <v>765.3125</v>
      </c>
      <c r="E1880" s="311">
        <v>5.3024497557641798E-2</v>
      </c>
      <c r="F1880" s="312">
        <v>14433.187210648157</v>
      </c>
      <c r="G1880" s="311">
        <v>0.11032425848535214</v>
      </c>
      <c r="H1880" s="307"/>
    </row>
    <row r="1881" spans="1:8">
      <c r="A1881" s="313" t="s">
        <v>306</v>
      </c>
      <c r="B1881" s="312">
        <v>11226.86689859762</v>
      </c>
      <c r="C1881" s="311">
        <v>0.95238159970415937</v>
      </c>
      <c r="D1881" s="312">
        <v>561.33533261416767</v>
      </c>
      <c r="E1881" s="311">
        <v>4.7618400295840912E-2</v>
      </c>
      <c r="F1881" s="312">
        <v>11788.202231211784</v>
      </c>
      <c r="G1881" s="311">
        <v>9.0106547573521725E-2</v>
      </c>
      <c r="H1881" s="307"/>
    </row>
    <row r="1882" spans="1:8">
      <c r="A1882" s="313" t="s">
        <v>305</v>
      </c>
      <c r="B1882" s="312">
        <v>20175.50565074143</v>
      </c>
      <c r="C1882" s="311">
        <v>0.97085719059746156</v>
      </c>
      <c r="D1882" s="312">
        <v>605.62039553679995</v>
      </c>
      <c r="E1882" s="311">
        <v>2.9142809402537759E-2</v>
      </c>
      <c r="F1882" s="312">
        <v>20781.126046278245</v>
      </c>
      <c r="G1882" s="311">
        <v>0.15884657269981653</v>
      </c>
      <c r="H1882" s="307"/>
    </row>
    <row r="1883" spans="1:8" ht="28.5">
      <c r="A1883" s="313" t="s">
        <v>304</v>
      </c>
      <c r="B1883" s="312">
        <v>36518.720647125207</v>
      </c>
      <c r="C1883" s="311">
        <v>0.94874244265777552</v>
      </c>
      <c r="D1883" s="312">
        <v>1972.9911232714819</v>
      </c>
      <c r="E1883" s="311">
        <v>5.1257557342224383E-2</v>
      </c>
      <c r="F1883" s="312">
        <v>38491.711770396694</v>
      </c>
      <c r="G1883" s="311">
        <v>0.29422257862546031</v>
      </c>
      <c r="H1883" s="307"/>
    </row>
    <row r="1884" spans="1:8" ht="28.5">
      <c r="A1884" s="313" t="s">
        <v>303</v>
      </c>
      <c r="B1884" s="312">
        <v>32577.495555682293</v>
      </c>
      <c r="C1884" s="311">
        <v>0.95777065396057648</v>
      </c>
      <c r="D1884" s="312">
        <v>1436.3838850457096</v>
      </c>
      <c r="E1884" s="311">
        <v>4.2229346039422709E-2</v>
      </c>
      <c r="F1884" s="312">
        <v>34013.879440728029</v>
      </c>
      <c r="G1884" s="311">
        <v>0.25999496665158034</v>
      </c>
      <c r="H1884" s="307"/>
    </row>
    <row r="1885" spans="1:8" ht="15.75" thickBot="1">
      <c r="A1885" s="310" t="s">
        <v>302</v>
      </c>
      <c r="B1885" s="309">
        <v>2317.8729682662533</v>
      </c>
      <c r="C1885" s="308">
        <v>0.96259538399273015</v>
      </c>
      <c r="D1885" s="309">
        <v>90.068111455108351</v>
      </c>
      <c r="E1885" s="308">
        <v>3.7404616007269874E-2</v>
      </c>
      <c r="F1885" s="309">
        <v>2407.9410797213618</v>
      </c>
      <c r="G1885" s="308">
        <v>1.8405797016246669E-2</v>
      </c>
      <c r="H1885" s="307"/>
    </row>
    <row r="1891" spans="1:20" ht="15.75" thickBot="1"/>
    <row r="1892" spans="1:20" ht="15" customHeight="1">
      <c r="A1892" s="752" t="s">
        <v>310</v>
      </c>
      <c r="B1892" s="763" t="s">
        <v>364</v>
      </c>
      <c r="C1892" s="764"/>
      <c r="D1892" s="764"/>
      <c r="E1892" s="764"/>
      <c r="F1892" s="764"/>
      <c r="G1892" s="764"/>
      <c r="H1892" s="764"/>
      <c r="I1892" s="764"/>
      <c r="J1892" s="764"/>
      <c r="K1892" s="764"/>
      <c r="L1892" s="764"/>
      <c r="M1892" s="764"/>
      <c r="N1892" s="764"/>
      <c r="O1892" s="764"/>
      <c r="P1892" s="764"/>
      <c r="Q1892" s="764"/>
      <c r="R1892" s="764"/>
      <c r="S1892" s="765"/>
      <c r="T1892" s="307"/>
    </row>
    <row r="1893" spans="1:20" ht="15" customHeight="1">
      <c r="A1893" s="753"/>
      <c r="B1893" s="767" t="s">
        <v>79</v>
      </c>
      <c r="C1893" s="759"/>
      <c r="D1893" s="768" t="s">
        <v>78</v>
      </c>
      <c r="E1893" s="759"/>
      <c r="F1893" s="768" t="s">
        <v>77</v>
      </c>
      <c r="G1893" s="759"/>
      <c r="H1893" s="768" t="s">
        <v>76</v>
      </c>
      <c r="I1893" s="759"/>
      <c r="J1893" s="768" t="s">
        <v>0</v>
      </c>
      <c r="K1893" s="759"/>
      <c r="L1893" s="768" t="s">
        <v>75</v>
      </c>
      <c r="M1893" s="759"/>
      <c r="N1893" s="768" t="s">
        <v>74</v>
      </c>
      <c r="O1893" s="759"/>
      <c r="P1893" s="768" t="s">
        <v>73</v>
      </c>
      <c r="Q1893" s="759"/>
      <c r="R1893" s="769" t="s">
        <v>9</v>
      </c>
      <c r="S1893" s="766"/>
      <c r="T1893" s="307"/>
    </row>
    <row r="1894" spans="1:20" ht="15.75" customHeight="1" thickBot="1">
      <c r="A1894" s="754"/>
      <c r="B1894" s="324" t="s">
        <v>7</v>
      </c>
      <c r="C1894" s="318" t="s">
        <v>8</v>
      </c>
      <c r="D1894" s="324" t="s">
        <v>7</v>
      </c>
      <c r="E1894" s="318" t="s">
        <v>8</v>
      </c>
      <c r="F1894" s="324" t="s">
        <v>7</v>
      </c>
      <c r="G1894" s="318" t="s">
        <v>8</v>
      </c>
      <c r="H1894" s="324" t="s">
        <v>7</v>
      </c>
      <c r="I1894" s="318" t="s">
        <v>8</v>
      </c>
      <c r="J1894" s="324" t="s">
        <v>7</v>
      </c>
      <c r="K1894" s="318" t="s">
        <v>8</v>
      </c>
      <c r="L1894" s="324" t="s">
        <v>7</v>
      </c>
      <c r="M1894" s="318" t="s">
        <v>8</v>
      </c>
      <c r="N1894" s="324" t="s">
        <v>7</v>
      </c>
      <c r="O1894" s="318" t="s">
        <v>8</v>
      </c>
      <c r="P1894" s="324" t="s">
        <v>7</v>
      </c>
      <c r="Q1894" s="318" t="s">
        <v>8</v>
      </c>
      <c r="R1894" s="324" t="s">
        <v>7</v>
      </c>
      <c r="S1894" s="318" t="s">
        <v>6</v>
      </c>
      <c r="T1894" s="307"/>
    </row>
    <row r="1895" spans="1:20" ht="15.75" customHeight="1">
      <c r="A1895" s="316" t="s">
        <v>5</v>
      </c>
      <c r="B1895" s="315">
        <v>4368.0226924999979</v>
      </c>
      <c r="C1895" s="314">
        <v>2.1826670096091693E-2</v>
      </c>
      <c r="D1895" s="315">
        <v>7372.1666993000126</v>
      </c>
      <c r="E1895" s="314">
        <v>3.6838144342816889E-2</v>
      </c>
      <c r="F1895" s="315">
        <v>26997.155208500073</v>
      </c>
      <c r="G1895" s="314">
        <v>0.13490268749763712</v>
      </c>
      <c r="H1895" s="315">
        <v>34900.19238530007</v>
      </c>
      <c r="I1895" s="314">
        <v>0.17439355037967821</v>
      </c>
      <c r="J1895" s="315">
        <v>105374.04210399897</v>
      </c>
      <c r="K1895" s="314">
        <v>0.52654590317141825</v>
      </c>
      <c r="L1895" s="315">
        <v>16743.823334499983</v>
      </c>
      <c r="M1895" s="314">
        <v>8.3667584579375037E-2</v>
      </c>
      <c r="N1895" s="315">
        <v>3399.3584227999986</v>
      </c>
      <c r="O1895" s="314">
        <v>1.6986329984096389E-2</v>
      </c>
      <c r="P1895" s="315">
        <v>968.42208800000003</v>
      </c>
      <c r="Q1895" s="314">
        <v>4.8391299488525471E-3</v>
      </c>
      <c r="R1895" s="315">
        <v>200123.1829349059</v>
      </c>
      <c r="S1895" s="314">
        <v>1</v>
      </c>
      <c r="T1895" s="307"/>
    </row>
    <row r="1896" spans="1:20">
      <c r="A1896" s="313" t="s">
        <v>309</v>
      </c>
      <c r="B1896" s="312">
        <v>332.75707399999999</v>
      </c>
      <c r="C1896" s="311">
        <v>8.440401962460084E-2</v>
      </c>
      <c r="D1896" s="312">
        <v>220.87348680000002</v>
      </c>
      <c r="E1896" s="311">
        <v>5.6024684585431882E-2</v>
      </c>
      <c r="F1896" s="312">
        <v>665.26657900000021</v>
      </c>
      <c r="G1896" s="311">
        <v>0.16874524323262649</v>
      </c>
      <c r="H1896" s="312">
        <v>553.63056080000001</v>
      </c>
      <c r="I1896" s="311">
        <v>0.14042870421003273</v>
      </c>
      <c r="J1896" s="312">
        <v>1548.5215469999996</v>
      </c>
      <c r="K1896" s="311">
        <v>0.39278336436539651</v>
      </c>
      <c r="L1896" s="312">
        <v>572.286564</v>
      </c>
      <c r="M1896" s="311">
        <v>0.14516080995095956</v>
      </c>
      <c r="N1896" s="312">
        <v>49.095786799999999</v>
      </c>
      <c r="O1896" s="311">
        <v>1.2453174030952139E-2</v>
      </c>
      <c r="P1896" s="312">
        <v>0</v>
      </c>
      <c r="Q1896" s="311">
        <v>0</v>
      </c>
      <c r="R1896" s="312">
        <v>3942.4315983999991</v>
      </c>
      <c r="S1896" s="311">
        <v>1.9700024457847819E-2</v>
      </c>
      <c r="T1896" s="307"/>
    </row>
    <row r="1897" spans="1:20">
      <c r="A1897" s="313" t="s">
        <v>308</v>
      </c>
      <c r="B1897" s="312">
        <v>127.20137400000002</v>
      </c>
      <c r="C1897" s="311">
        <v>1.5476373256429962E-2</v>
      </c>
      <c r="D1897" s="312">
        <v>261.30206800000002</v>
      </c>
      <c r="E1897" s="311">
        <v>3.1792174957520847E-2</v>
      </c>
      <c r="F1897" s="312">
        <v>1242.0406390000007</v>
      </c>
      <c r="G1897" s="311">
        <v>0.15111695671478195</v>
      </c>
      <c r="H1897" s="312">
        <v>1513.363198</v>
      </c>
      <c r="I1897" s="311">
        <v>0.18412830764542307</v>
      </c>
      <c r="J1897" s="312">
        <v>4168.2624230000056</v>
      </c>
      <c r="K1897" s="311">
        <v>0.5071453480455268</v>
      </c>
      <c r="L1897" s="312">
        <v>685.32138599999996</v>
      </c>
      <c r="M1897" s="311">
        <v>8.3381878959498612E-2</v>
      </c>
      <c r="N1897" s="312">
        <v>131.26877299999998</v>
      </c>
      <c r="O1897" s="311">
        <v>1.5971246724595718E-2</v>
      </c>
      <c r="P1897" s="312">
        <v>90.308773000000002</v>
      </c>
      <c r="Q1897" s="311">
        <v>1.0987713696223155E-2</v>
      </c>
      <c r="R1897" s="312">
        <v>8219.0686340000047</v>
      </c>
      <c r="S1897" s="311">
        <v>4.1070047525045721E-2</v>
      </c>
      <c r="T1897" s="307"/>
    </row>
    <row r="1898" spans="1:20">
      <c r="A1898" s="313" t="s">
        <v>307</v>
      </c>
      <c r="B1898" s="312">
        <v>9.375</v>
      </c>
      <c r="C1898" s="311">
        <v>6.1076326286570626E-4</v>
      </c>
      <c r="D1898" s="312">
        <v>421.18647199999992</v>
      </c>
      <c r="E1898" s="311">
        <v>2.743949055078564E-2</v>
      </c>
      <c r="F1898" s="312">
        <v>733.25941899999998</v>
      </c>
      <c r="G1898" s="311">
        <v>4.7770444296048223E-2</v>
      </c>
      <c r="H1898" s="312">
        <v>347.05034799999999</v>
      </c>
      <c r="I1898" s="311">
        <v>2.2609664311803609E-2</v>
      </c>
      <c r="J1898" s="312">
        <v>11959.807160999995</v>
      </c>
      <c r="K1898" s="311">
        <v>0.77915849012234628</v>
      </c>
      <c r="L1898" s="312">
        <v>974.90255400000001</v>
      </c>
      <c r="M1898" s="311">
        <v>6.3513030918096056E-2</v>
      </c>
      <c r="N1898" s="312">
        <v>482.87877900000001</v>
      </c>
      <c r="O1898" s="311">
        <v>3.1458625987269152E-2</v>
      </c>
      <c r="P1898" s="312">
        <v>421.18647199999998</v>
      </c>
      <c r="Q1898" s="311">
        <v>2.7439490550785647E-2</v>
      </c>
      <c r="R1898" s="312">
        <v>15349.64620499999</v>
      </c>
      <c r="S1898" s="311">
        <v>7.6700989759855925E-2</v>
      </c>
      <c r="T1898" s="307"/>
    </row>
    <row r="1899" spans="1:20">
      <c r="A1899" s="313" t="s">
        <v>306</v>
      </c>
      <c r="B1899" s="312">
        <v>261.64840350000003</v>
      </c>
      <c r="C1899" s="311">
        <v>1.524680748379117E-2</v>
      </c>
      <c r="D1899" s="312">
        <v>270.68651249999999</v>
      </c>
      <c r="E1899" s="311">
        <v>1.5773477266970336E-2</v>
      </c>
      <c r="F1899" s="312">
        <v>1458.2992365</v>
      </c>
      <c r="G1899" s="311">
        <v>8.4978189873324214E-2</v>
      </c>
      <c r="H1899" s="312">
        <v>3070.2519194999959</v>
      </c>
      <c r="I1899" s="311">
        <v>0.17891009200580402</v>
      </c>
      <c r="J1899" s="312">
        <v>11064.511828000006</v>
      </c>
      <c r="K1899" s="311">
        <v>0.64475257439759759</v>
      </c>
      <c r="L1899" s="312">
        <v>1035.4670074999999</v>
      </c>
      <c r="M1899" s="311">
        <v>6.0338858972513634E-2</v>
      </c>
      <c r="N1899" s="312">
        <v>0</v>
      </c>
      <c r="O1899" s="311">
        <v>0</v>
      </c>
      <c r="P1899" s="312">
        <v>0</v>
      </c>
      <c r="Q1899" s="311">
        <v>0</v>
      </c>
      <c r="R1899" s="312">
        <v>17160.864907499985</v>
      </c>
      <c r="S1899" s="311">
        <v>8.575150892479011E-2</v>
      </c>
      <c r="T1899" s="307"/>
    </row>
    <row r="1900" spans="1:20">
      <c r="A1900" s="313" t="s">
        <v>305</v>
      </c>
      <c r="B1900" s="312">
        <v>553.72391899999991</v>
      </c>
      <c r="C1900" s="311">
        <v>2.1049700672348876E-2</v>
      </c>
      <c r="D1900" s="312">
        <v>563.50114700000006</v>
      </c>
      <c r="E1900" s="311">
        <v>2.1421379979930516E-2</v>
      </c>
      <c r="F1900" s="312">
        <v>1702.7711049999996</v>
      </c>
      <c r="G1900" s="311">
        <v>6.4730492658697555E-2</v>
      </c>
      <c r="H1900" s="312">
        <v>1184.6396859999998</v>
      </c>
      <c r="I1900" s="311">
        <v>4.5033833539138417E-2</v>
      </c>
      <c r="J1900" s="312">
        <v>15812.521576999952</v>
      </c>
      <c r="K1900" s="311">
        <v>0.60110974919056559</v>
      </c>
      <c r="L1900" s="312">
        <v>5123.1741350000011</v>
      </c>
      <c r="M1900" s="311">
        <v>0.19475640898595517</v>
      </c>
      <c r="N1900" s="312">
        <v>1202.42732</v>
      </c>
      <c r="O1900" s="311">
        <v>4.571002678006883E-2</v>
      </c>
      <c r="P1900" s="312">
        <v>162.78947099999999</v>
      </c>
      <c r="Q1900" s="311">
        <v>6.1884081932895851E-3</v>
      </c>
      <c r="R1900" s="312">
        <v>26305.548360000095</v>
      </c>
      <c r="S1900" s="311">
        <v>0.13144678179817132</v>
      </c>
      <c r="T1900" s="307"/>
    </row>
    <row r="1901" spans="1:20" ht="28.5">
      <c r="A1901" s="313" t="s">
        <v>304</v>
      </c>
      <c r="B1901" s="312">
        <v>1652.3510529999996</v>
      </c>
      <c r="C1901" s="311">
        <v>2.2184975139525009E-2</v>
      </c>
      <c r="D1901" s="312">
        <v>3250.4068960000009</v>
      </c>
      <c r="E1901" s="311">
        <v>4.3640966034534719E-2</v>
      </c>
      <c r="F1901" s="312">
        <v>13961.667268999983</v>
      </c>
      <c r="G1901" s="311">
        <v>0.1874536532093006</v>
      </c>
      <c r="H1901" s="312">
        <v>17030.60649799995</v>
      </c>
      <c r="I1901" s="311">
        <v>0.2286581783472631</v>
      </c>
      <c r="J1901" s="312">
        <v>33118.114025000104</v>
      </c>
      <c r="K1901" s="311">
        <v>0.444654018877296</v>
      </c>
      <c r="L1901" s="312">
        <v>4495.7265630000065</v>
      </c>
      <c r="M1901" s="311">
        <v>6.0361012179085273E-2</v>
      </c>
      <c r="N1901" s="312">
        <v>786.20120899999995</v>
      </c>
      <c r="O1901" s="311">
        <v>1.055578004726185E-2</v>
      </c>
      <c r="P1901" s="312">
        <v>185.56225999999998</v>
      </c>
      <c r="Q1901" s="311">
        <v>2.4914161657474828E-3</v>
      </c>
      <c r="R1901" s="312">
        <v>74480.635772998998</v>
      </c>
      <c r="S1901" s="311">
        <v>0.37217395146680893</v>
      </c>
      <c r="T1901" s="307"/>
    </row>
    <row r="1902" spans="1:20" ht="28.5">
      <c r="A1902" s="313" t="s">
        <v>303</v>
      </c>
      <c r="B1902" s="312">
        <v>1219.3408770000001</v>
      </c>
      <c r="C1902" s="311">
        <v>2.360667403967695E-2</v>
      </c>
      <c r="D1902" s="312">
        <v>2313.6684529999984</v>
      </c>
      <c r="E1902" s="311">
        <v>4.4793066513306591E-2</v>
      </c>
      <c r="F1902" s="312">
        <v>7092.7676330000013</v>
      </c>
      <c r="G1902" s="311">
        <v>0.1373173463710608</v>
      </c>
      <c r="H1902" s="312">
        <v>10329.691871000017</v>
      </c>
      <c r="I1902" s="311">
        <v>0.19998482256163885</v>
      </c>
      <c r="J1902" s="312">
        <v>26052.170153000017</v>
      </c>
      <c r="K1902" s="311">
        <v>0.50437502787669775</v>
      </c>
      <c r="L1902" s="312">
        <v>3856.9451249999993</v>
      </c>
      <c r="M1902" s="311">
        <v>7.4671199885309875E-2</v>
      </c>
      <c r="N1902" s="312">
        <v>679.21988499999986</v>
      </c>
      <c r="O1902" s="311">
        <v>1.3149827688801298E-2</v>
      </c>
      <c r="P1902" s="312">
        <v>108.575112</v>
      </c>
      <c r="Q1902" s="311">
        <v>2.1020350634939119E-3</v>
      </c>
      <c r="R1902" s="312">
        <v>51652.379109000751</v>
      </c>
      <c r="S1902" s="311">
        <v>0.25810292616523961</v>
      </c>
      <c r="T1902" s="307"/>
    </row>
    <row r="1903" spans="1:20" ht="15.75" thickBot="1">
      <c r="A1903" s="313" t="s">
        <v>302</v>
      </c>
      <c r="B1903" s="312">
        <v>211.62499199999999</v>
      </c>
      <c r="C1903" s="311">
        <v>7.024643350686223E-2</v>
      </c>
      <c r="D1903" s="312">
        <v>70.541663999999997</v>
      </c>
      <c r="E1903" s="311">
        <v>2.3415477835620743E-2</v>
      </c>
      <c r="F1903" s="312">
        <v>141.08332799999999</v>
      </c>
      <c r="G1903" s="311">
        <v>4.6830955671241487E-2</v>
      </c>
      <c r="H1903" s="312">
        <v>870.95830399999977</v>
      </c>
      <c r="I1903" s="311">
        <v>0.28910439174020369</v>
      </c>
      <c r="J1903" s="312">
        <v>1650.13339</v>
      </c>
      <c r="K1903" s="311">
        <v>0.54774242098063797</v>
      </c>
      <c r="L1903" s="312">
        <v>0</v>
      </c>
      <c r="M1903" s="311">
        <v>0</v>
      </c>
      <c r="N1903" s="312">
        <v>68.266670000000005</v>
      </c>
      <c r="O1903" s="311">
        <v>2.2660320265433992E-2</v>
      </c>
      <c r="P1903" s="312">
        <v>0</v>
      </c>
      <c r="Q1903" s="311">
        <v>0</v>
      </c>
      <c r="R1903" s="312">
        <v>3012.6083479999993</v>
      </c>
      <c r="S1903" s="311">
        <v>1.5053769902210235E-2</v>
      </c>
      <c r="T1903" s="307"/>
    </row>
    <row r="1904" spans="1:20" ht="15" customHeight="1">
      <c r="A1904" s="316" t="s">
        <v>4</v>
      </c>
      <c r="B1904" s="315">
        <v>2671.7484287123839</v>
      </c>
      <c r="C1904" s="314">
        <v>1.4287197105747879E-2</v>
      </c>
      <c r="D1904" s="315">
        <v>4928.38423165123</v>
      </c>
      <c r="E1904" s="314">
        <v>2.6354575967466935E-2</v>
      </c>
      <c r="F1904" s="315">
        <v>18802.4877557894</v>
      </c>
      <c r="G1904" s="314">
        <v>0.10054646079640045</v>
      </c>
      <c r="H1904" s="315">
        <v>28949.839009746396</v>
      </c>
      <c r="I1904" s="314">
        <v>0.15480950663878595</v>
      </c>
      <c r="J1904" s="315">
        <v>97003.052683450718</v>
      </c>
      <c r="K1904" s="314">
        <v>0.51872463689091575</v>
      </c>
      <c r="L1904" s="315">
        <v>26948.211689649379</v>
      </c>
      <c r="M1904" s="314">
        <v>0.14410578777545785</v>
      </c>
      <c r="N1904" s="315">
        <v>6258.0940073967467</v>
      </c>
      <c r="O1904" s="314">
        <v>3.3465210133226238E-2</v>
      </c>
      <c r="P1904" s="315">
        <v>1441.1617799570736</v>
      </c>
      <c r="Q1904" s="314">
        <v>7.7066246919962958E-3</v>
      </c>
      <c r="R1904" s="315">
        <v>187002.97958635382</v>
      </c>
      <c r="S1904" s="314">
        <v>1</v>
      </c>
      <c r="T1904" s="307"/>
    </row>
    <row r="1905" spans="1:20">
      <c r="A1905" s="313" t="s">
        <v>309</v>
      </c>
      <c r="B1905" s="312">
        <v>119.51785714285714</v>
      </c>
      <c r="C1905" s="311">
        <v>2.0521722684098753E-2</v>
      </c>
      <c r="D1905" s="312">
        <v>474.91895604395609</v>
      </c>
      <c r="E1905" s="311">
        <v>8.1545597840717493E-2</v>
      </c>
      <c r="F1905" s="312">
        <v>780.16801619433181</v>
      </c>
      <c r="G1905" s="311">
        <v>0.13395815535921687</v>
      </c>
      <c r="H1905" s="312">
        <v>1450.0232793522266</v>
      </c>
      <c r="I1905" s="311">
        <v>0.24897514342803168</v>
      </c>
      <c r="J1905" s="312">
        <v>2316.7653990746103</v>
      </c>
      <c r="K1905" s="311">
        <v>0.39779843933359843</v>
      </c>
      <c r="L1905" s="312">
        <v>561.68262001156745</v>
      </c>
      <c r="M1905" s="311">
        <v>9.6443286718049123E-2</v>
      </c>
      <c r="N1905" s="312">
        <v>81.05263157894737</v>
      </c>
      <c r="O1905" s="311">
        <v>1.3917080408255891E-2</v>
      </c>
      <c r="P1905" s="312">
        <v>39.839285714285715</v>
      </c>
      <c r="Q1905" s="311">
        <v>6.8405742280329184E-3</v>
      </c>
      <c r="R1905" s="312">
        <v>5823.9680451127761</v>
      </c>
      <c r="S1905" s="311">
        <v>3.1143717912919124E-2</v>
      </c>
      <c r="T1905" s="307"/>
    </row>
    <row r="1906" spans="1:20">
      <c r="A1906" s="313" t="s">
        <v>308</v>
      </c>
      <c r="B1906" s="312">
        <v>83.379781594519812</v>
      </c>
      <c r="C1906" s="311">
        <v>1.0232565926607146E-2</v>
      </c>
      <c r="D1906" s="312">
        <v>326.86045773745121</v>
      </c>
      <c r="E1906" s="311">
        <v>4.0113095988479855E-2</v>
      </c>
      <c r="F1906" s="312">
        <v>862.20310795440673</v>
      </c>
      <c r="G1906" s="311">
        <v>0.1058116245395504</v>
      </c>
      <c r="H1906" s="312">
        <v>1095.4919990936417</v>
      </c>
      <c r="I1906" s="311">
        <v>0.13444139440553665</v>
      </c>
      <c r="J1906" s="312">
        <v>4383.5493317524888</v>
      </c>
      <c r="K1906" s="311">
        <v>0.53795964287630327</v>
      </c>
      <c r="L1906" s="312">
        <v>1068.2726351887698</v>
      </c>
      <c r="M1906" s="311">
        <v>0.13110096906128008</v>
      </c>
      <c r="N1906" s="312">
        <v>257.10858406615745</v>
      </c>
      <c r="O1906" s="311">
        <v>3.1552979468663998E-2</v>
      </c>
      <c r="P1906" s="312">
        <v>71.606557377049185</v>
      </c>
      <c r="Q1906" s="311">
        <v>8.7877277335803375E-3</v>
      </c>
      <c r="R1906" s="312">
        <v>8148.4724547644701</v>
      </c>
      <c r="S1906" s="311">
        <v>4.3574024717620535E-2</v>
      </c>
      <c r="T1906" s="307"/>
    </row>
    <row r="1907" spans="1:20">
      <c r="A1907" s="313" t="s">
        <v>307</v>
      </c>
      <c r="B1907" s="312">
        <v>116.81818181818181</v>
      </c>
      <c r="C1907" s="311">
        <v>7.1789759057343163E-3</v>
      </c>
      <c r="D1907" s="312">
        <v>534.1615475639245</v>
      </c>
      <c r="E1907" s="311">
        <v>3.2826507141667592E-2</v>
      </c>
      <c r="F1907" s="312">
        <v>1162.6107423985181</v>
      </c>
      <c r="G1907" s="311">
        <v>7.1447392670580021E-2</v>
      </c>
      <c r="H1907" s="312">
        <v>507.94001131861916</v>
      </c>
      <c r="I1907" s="311">
        <v>3.1215081813978685E-2</v>
      </c>
      <c r="J1907" s="312">
        <v>11210.574985851737</v>
      </c>
      <c r="K1907" s="311">
        <v>0.68893768470150329</v>
      </c>
      <c r="L1907" s="312">
        <v>884.61609301846988</v>
      </c>
      <c r="M1907" s="311">
        <v>5.4363434858870539E-2</v>
      </c>
      <c r="N1907" s="312">
        <v>1614.6288521891233</v>
      </c>
      <c r="O1907" s="311">
        <v>9.9225834935611573E-2</v>
      </c>
      <c r="P1907" s="312">
        <v>240.91228070175438</v>
      </c>
      <c r="Q1907" s="311">
        <v>1.4805087972052426E-2</v>
      </c>
      <c r="R1907" s="312">
        <v>16272.262694860352</v>
      </c>
      <c r="S1907" s="311">
        <v>8.701606108551968E-2</v>
      </c>
      <c r="T1907" s="307"/>
    </row>
    <row r="1908" spans="1:20">
      <c r="A1908" s="313" t="s">
        <v>306</v>
      </c>
      <c r="B1908" s="312">
        <v>93.807808045612916</v>
      </c>
      <c r="C1908" s="311">
        <v>5.5443557451129851E-3</v>
      </c>
      <c r="D1908" s="312">
        <v>239.00870090275581</v>
      </c>
      <c r="E1908" s="311">
        <v>1.412621498775291E-2</v>
      </c>
      <c r="F1908" s="312">
        <v>1136.1624881216344</v>
      </c>
      <c r="G1908" s="311">
        <v>6.7151009597581621E-2</v>
      </c>
      <c r="H1908" s="312">
        <v>2312.4742932372501</v>
      </c>
      <c r="I1908" s="311">
        <v>0.13667497834404033</v>
      </c>
      <c r="J1908" s="312">
        <v>10132.561395312006</v>
      </c>
      <c r="K1908" s="311">
        <v>0.59886832615779739</v>
      </c>
      <c r="L1908" s="312">
        <v>2630.8984657111187</v>
      </c>
      <c r="M1908" s="311">
        <v>0.15549491377180247</v>
      </c>
      <c r="N1908" s="312">
        <v>184.17840909090907</v>
      </c>
      <c r="O1908" s="311">
        <v>1.0885561040637782E-2</v>
      </c>
      <c r="P1908" s="312">
        <v>190.42305194805195</v>
      </c>
      <c r="Q1908" s="311">
        <v>1.1254640355275897E-2</v>
      </c>
      <c r="R1908" s="312">
        <v>16919.514612369316</v>
      </c>
      <c r="S1908" s="311">
        <v>9.0477246136905845E-2</v>
      </c>
      <c r="T1908" s="307"/>
    </row>
    <row r="1909" spans="1:20">
      <c r="A1909" s="313" t="s">
        <v>305</v>
      </c>
      <c r="B1909" s="312">
        <v>227.88387400565051</v>
      </c>
      <c r="C1909" s="311">
        <v>9.7822277781874356E-3</v>
      </c>
      <c r="D1909" s="312">
        <v>134.88075717386059</v>
      </c>
      <c r="E1909" s="311">
        <v>5.7899414573598885E-3</v>
      </c>
      <c r="F1909" s="312">
        <v>883.99855743176545</v>
      </c>
      <c r="G1909" s="311">
        <v>3.7946850263622503E-2</v>
      </c>
      <c r="H1909" s="312">
        <v>1517.0449571451938</v>
      </c>
      <c r="I1909" s="311">
        <v>6.5121235038232306E-2</v>
      </c>
      <c r="J1909" s="312">
        <v>13040.542386885563</v>
      </c>
      <c r="K1909" s="311">
        <v>0.55978316384273674</v>
      </c>
      <c r="L1909" s="312">
        <v>5962.2422695485575</v>
      </c>
      <c r="M1909" s="311">
        <v>0.25593742516425283</v>
      </c>
      <c r="N1909" s="312">
        <v>1114.8978611328178</v>
      </c>
      <c r="O1909" s="311">
        <v>4.785851949640272E-2</v>
      </c>
      <c r="P1909" s="312">
        <v>414.21243958206708</v>
      </c>
      <c r="Q1909" s="311">
        <v>1.7780636959199719E-2</v>
      </c>
      <c r="R1909" s="312">
        <v>23295.703102905612</v>
      </c>
      <c r="S1909" s="311">
        <v>0.12457396750808547</v>
      </c>
      <c r="T1909" s="307"/>
    </row>
    <row r="1910" spans="1:20" ht="28.5">
      <c r="A1910" s="313" t="s">
        <v>304</v>
      </c>
      <c r="B1910" s="312">
        <v>1019.0523709671788</v>
      </c>
      <c r="C1910" s="311">
        <v>1.5852514694363391E-2</v>
      </c>
      <c r="D1910" s="312">
        <v>1978.983655158979</v>
      </c>
      <c r="E1910" s="311">
        <v>3.0785333872034238E-2</v>
      </c>
      <c r="F1910" s="312">
        <v>8576.3105606615009</v>
      </c>
      <c r="G1910" s="311">
        <v>0.13341423175069494</v>
      </c>
      <c r="H1910" s="312">
        <v>12311.600068108755</v>
      </c>
      <c r="I1910" s="311">
        <v>0.19152089387278931</v>
      </c>
      <c r="J1910" s="312">
        <v>30224.331056573246</v>
      </c>
      <c r="K1910" s="311">
        <v>0.47017372791831014</v>
      </c>
      <c r="L1910" s="312">
        <v>8519.3809521314924</v>
      </c>
      <c r="M1910" s="311">
        <v>0.13252862716208116</v>
      </c>
      <c r="N1910" s="312">
        <v>1590.7648220936182</v>
      </c>
      <c r="O1910" s="311">
        <v>2.474614988980546E-2</v>
      </c>
      <c r="P1910" s="312">
        <v>62.902574209393286</v>
      </c>
      <c r="Q1910" s="311">
        <v>9.7852083992629939E-4</v>
      </c>
      <c r="R1910" s="312">
        <v>64283.326059903848</v>
      </c>
      <c r="S1910" s="311">
        <v>0.34375562465420095</v>
      </c>
      <c r="T1910" s="307"/>
    </row>
    <row r="1911" spans="1:20" ht="28.5">
      <c r="A1911" s="313" t="s">
        <v>303</v>
      </c>
      <c r="B1911" s="312">
        <v>997.85998370980997</v>
      </c>
      <c r="C1911" s="311">
        <v>2.023641991818775E-2</v>
      </c>
      <c r="D1911" s="312">
        <v>1167.3701570703024</v>
      </c>
      <c r="E1911" s="311">
        <v>2.3674055562995108E-2</v>
      </c>
      <c r="F1911" s="312">
        <v>5239.516822709752</v>
      </c>
      <c r="G1911" s="311">
        <v>0.10625645313340673</v>
      </c>
      <c r="H1911" s="312">
        <v>9304.0644014906829</v>
      </c>
      <c r="I1911" s="311">
        <v>0.1886847425972962</v>
      </c>
      <c r="J1911" s="312">
        <v>23789.710072446189</v>
      </c>
      <c r="K1911" s="311">
        <v>0.48245101579097321</v>
      </c>
      <c r="L1911" s="312">
        <v>7185.9311540392446</v>
      </c>
      <c r="M1911" s="311">
        <v>0.14572938359117013</v>
      </c>
      <c r="N1911" s="312">
        <v>1409.4628472451805</v>
      </c>
      <c r="O1911" s="311">
        <v>2.8583651515814948E-2</v>
      </c>
      <c r="P1911" s="312">
        <v>216.18920153558301</v>
      </c>
      <c r="Q1911" s="311">
        <v>4.3842778901574354E-3</v>
      </c>
      <c r="R1911" s="312">
        <v>49310.104640246667</v>
      </c>
      <c r="S1911" s="311">
        <v>0.26368619767085777</v>
      </c>
      <c r="T1911" s="307"/>
    </row>
    <row r="1912" spans="1:20" ht="15.75" thickBot="1">
      <c r="A1912" s="313" t="s">
        <v>302</v>
      </c>
      <c r="B1912" s="312">
        <v>13.428571428571429</v>
      </c>
      <c r="C1912" s="311">
        <v>4.5526322427666939E-3</v>
      </c>
      <c r="D1912" s="312">
        <v>72.2</v>
      </c>
      <c r="E1912" s="311">
        <v>2.4477663143556243E-2</v>
      </c>
      <c r="F1912" s="312">
        <v>161.51746031746035</v>
      </c>
      <c r="G1912" s="311">
        <v>5.4758587056142762E-2</v>
      </c>
      <c r="H1912" s="312">
        <v>451.2</v>
      </c>
      <c r="I1912" s="311">
        <v>0.15296844335696089</v>
      </c>
      <c r="J1912" s="312">
        <v>1905.0180555555555</v>
      </c>
      <c r="K1912" s="311">
        <v>0.64585028041941006</v>
      </c>
      <c r="L1912" s="312">
        <v>135.1875</v>
      </c>
      <c r="M1912" s="311">
        <v>4.5832051055671882E-2</v>
      </c>
      <c r="N1912" s="312">
        <v>6</v>
      </c>
      <c r="O1912" s="311">
        <v>2.0341548318744801E-3</v>
      </c>
      <c r="P1912" s="312">
        <v>205.07638888888889</v>
      </c>
      <c r="Q1912" s="311">
        <v>6.9526187893617211E-2</v>
      </c>
      <c r="R1912" s="312">
        <v>2949.6279761904757</v>
      </c>
      <c r="S1912" s="311">
        <v>1.5773160313889024E-2</v>
      </c>
      <c r="T1912" s="307"/>
    </row>
    <row r="1913" spans="1:20" ht="15.75" customHeight="1">
      <c r="A1913" s="316" t="s">
        <v>3</v>
      </c>
      <c r="B1913" s="315">
        <v>1331.6099241273023</v>
      </c>
      <c r="C1913" s="314">
        <v>1.0178547213930536E-2</v>
      </c>
      <c r="D1913" s="315">
        <v>2051.7380531687304</v>
      </c>
      <c r="E1913" s="314">
        <v>1.5683055725558975E-2</v>
      </c>
      <c r="F1913" s="315">
        <v>7799.4096619887068</v>
      </c>
      <c r="G1913" s="314">
        <v>5.9617053047547476E-2</v>
      </c>
      <c r="H1913" s="315">
        <v>10261.049289837752</v>
      </c>
      <c r="I1913" s="314">
        <v>7.8433310512859483E-2</v>
      </c>
      <c r="J1913" s="315">
        <v>70081.036155699083</v>
      </c>
      <c r="K1913" s="314">
        <v>0.53568475451205944</v>
      </c>
      <c r="L1913" s="315">
        <v>29112.392160629119</v>
      </c>
      <c r="M1913" s="314">
        <v>0.22252902501580951</v>
      </c>
      <c r="N1913" s="315">
        <v>8766.253167287814</v>
      </c>
      <c r="O1913" s="314">
        <v>6.7007402194741314E-2</v>
      </c>
      <c r="P1913" s="315">
        <v>1421.6574690683819</v>
      </c>
      <c r="Q1913" s="314">
        <v>1.0866851777507585E-2</v>
      </c>
      <c r="R1913" s="315">
        <v>130825.14588180502</v>
      </c>
      <c r="S1913" s="314">
        <v>1</v>
      </c>
      <c r="T1913" s="307"/>
    </row>
    <row r="1914" spans="1:20">
      <c r="A1914" s="313" t="s">
        <v>309</v>
      </c>
      <c r="B1914" s="312">
        <v>17.90909090909091</v>
      </c>
      <c r="C1914" s="311">
        <v>7.4308733520908532E-3</v>
      </c>
      <c r="D1914" s="312">
        <v>102.07961972667854</v>
      </c>
      <c r="E1914" s="311">
        <v>4.2355065919817143E-2</v>
      </c>
      <c r="F1914" s="312">
        <v>149.31693404634581</v>
      </c>
      <c r="G1914" s="311">
        <v>6.1954860347359822E-2</v>
      </c>
      <c r="H1914" s="312">
        <v>433.97765894236477</v>
      </c>
      <c r="I1914" s="311">
        <v>0.1800668184447386</v>
      </c>
      <c r="J1914" s="312">
        <v>1202.5462863933458</v>
      </c>
      <c r="K1914" s="311">
        <v>0.49896274465166202</v>
      </c>
      <c r="L1914" s="312">
        <v>371.7398692810458</v>
      </c>
      <c r="M1914" s="311">
        <v>0.15424299885306023</v>
      </c>
      <c r="N1914" s="312">
        <v>120.81699346405229</v>
      </c>
      <c r="O1914" s="311">
        <v>5.0129611925529796E-2</v>
      </c>
      <c r="P1914" s="312">
        <v>11.705882352941176</v>
      </c>
      <c r="Q1914" s="311">
        <v>4.8570265057410796E-3</v>
      </c>
      <c r="R1914" s="312">
        <v>2410.0923351158663</v>
      </c>
      <c r="S1914" s="311">
        <v>1.8422240761674997E-2</v>
      </c>
      <c r="T1914" s="307"/>
    </row>
    <row r="1915" spans="1:20">
      <c r="A1915" s="313" t="s">
        <v>308</v>
      </c>
      <c r="B1915" s="312">
        <v>50.424242424242429</v>
      </c>
      <c r="C1915" s="311">
        <v>7.7587625286928228E-3</v>
      </c>
      <c r="D1915" s="312">
        <v>172.70891637326594</v>
      </c>
      <c r="E1915" s="311">
        <v>2.6574667348572868E-2</v>
      </c>
      <c r="F1915" s="312">
        <v>823.9259326131214</v>
      </c>
      <c r="G1915" s="311">
        <v>0.12677722748103373</v>
      </c>
      <c r="H1915" s="312">
        <v>585.17648179912248</v>
      </c>
      <c r="I1915" s="311">
        <v>9.0040923598933814E-2</v>
      </c>
      <c r="J1915" s="312">
        <v>3234.1454465208217</v>
      </c>
      <c r="K1915" s="311">
        <v>0.49763695588501977</v>
      </c>
      <c r="L1915" s="312">
        <v>1285.6985896702874</v>
      </c>
      <c r="M1915" s="311">
        <v>0.19783004287499531</v>
      </c>
      <c r="N1915" s="312">
        <v>331.03142146389411</v>
      </c>
      <c r="O1915" s="311">
        <v>5.0935702059039321E-2</v>
      </c>
      <c r="P1915" s="312">
        <v>15.894736842105264</v>
      </c>
      <c r="Q1915" s="311">
        <v>2.4457182237143434E-3</v>
      </c>
      <c r="R1915" s="312">
        <v>6499.005767706848</v>
      </c>
      <c r="S1915" s="311">
        <v>4.9677038186362307E-2</v>
      </c>
      <c r="T1915" s="307"/>
    </row>
    <row r="1916" spans="1:20">
      <c r="A1916" s="313" t="s">
        <v>307</v>
      </c>
      <c r="B1916" s="312">
        <v>286.9921875</v>
      </c>
      <c r="C1916" s="311">
        <v>1.9884186584115674E-2</v>
      </c>
      <c r="D1916" s="312">
        <v>168.12702546296296</v>
      </c>
      <c r="E1916" s="311">
        <v>1.1648641634671403E-2</v>
      </c>
      <c r="F1916" s="312">
        <v>359.45515046296293</v>
      </c>
      <c r="G1916" s="311">
        <v>2.4904766024081853E-2</v>
      </c>
      <c r="H1916" s="312">
        <v>455.11921296296293</v>
      </c>
      <c r="I1916" s="311">
        <v>3.1532828218787078E-2</v>
      </c>
      <c r="J1916" s="312">
        <v>8467.3755787036989</v>
      </c>
      <c r="K1916" s="311">
        <v>0.58666013647053994</v>
      </c>
      <c r="L1916" s="312">
        <v>2061.0668402777783</v>
      </c>
      <c r="M1916" s="311">
        <v>0.14280053394978592</v>
      </c>
      <c r="N1916" s="312">
        <v>2156.7309027777778</v>
      </c>
      <c r="O1916" s="311">
        <v>0.14942859614449111</v>
      </c>
      <c r="P1916" s="312">
        <v>478.3203125</v>
      </c>
      <c r="Q1916" s="311">
        <v>3.314031097352612E-2</v>
      </c>
      <c r="R1916" s="312">
        <v>14433.187210648157</v>
      </c>
      <c r="S1916" s="311">
        <v>0.11032425848535214</v>
      </c>
      <c r="T1916" s="307"/>
    </row>
    <row r="1917" spans="1:20">
      <c r="A1917" s="313" t="s">
        <v>306</v>
      </c>
      <c r="B1917" s="312">
        <v>45.028333333333336</v>
      </c>
      <c r="C1917" s="311">
        <v>3.8197795092207699E-3</v>
      </c>
      <c r="D1917" s="312">
        <v>59.666666666666664</v>
      </c>
      <c r="E1917" s="311">
        <v>5.0615577758486721E-3</v>
      </c>
      <c r="F1917" s="312">
        <v>372.70265911542606</v>
      </c>
      <c r="G1917" s="311">
        <v>3.1616581714946843E-2</v>
      </c>
      <c r="H1917" s="312">
        <v>400.28759259259266</v>
      </c>
      <c r="I1917" s="311">
        <v>3.3956627545186302E-2</v>
      </c>
      <c r="J1917" s="312">
        <v>6759.716902193456</v>
      </c>
      <c r="K1917" s="311">
        <v>0.57343068685194942</v>
      </c>
      <c r="L1917" s="312">
        <v>3671.0451815893493</v>
      </c>
      <c r="M1917" s="311">
        <v>0.31141688186087213</v>
      </c>
      <c r="N1917" s="312">
        <v>271.44587378640779</v>
      </c>
      <c r="O1917" s="311">
        <v>2.3026910165122282E-2</v>
      </c>
      <c r="P1917" s="312">
        <v>208.30902193455591</v>
      </c>
      <c r="Q1917" s="311">
        <v>1.7670974576853904E-2</v>
      </c>
      <c r="R1917" s="312">
        <v>11788.202231211784</v>
      </c>
      <c r="S1917" s="311">
        <v>9.0106547573521725E-2</v>
      </c>
      <c r="T1917" s="307"/>
    </row>
    <row r="1918" spans="1:20">
      <c r="A1918" s="313" t="s">
        <v>305</v>
      </c>
      <c r="B1918" s="312">
        <v>68.261960600375232</v>
      </c>
      <c r="C1918" s="311">
        <v>3.2848056668517479E-3</v>
      </c>
      <c r="D1918" s="312">
        <v>262.15032428463837</v>
      </c>
      <c r="E1918" s="311">
        <v>1.2614827690320837E-2</v>
      </c>
      <c r="F1918" s="312">
        <v>724.36613525703865</v>
      </c>
      <c r="G1918" s="311">
        <v>3.4856924193805539E-2</v>
      </c>
      <c r="H1918" s="312">
        <v>604.67490863489263</v>
      </c>
      <c r="I1918" s="311">
        <v>2.9097312017083196E-2</v>
      </c>
      <c r="J1918" s="312">
        <v>11228.080889729341</v>
      </c>
      <c r="K1918" s="311">
        <v>0.54030185201346259</v>
      </c>
      <c r="L1918" s="312">
        <v>5445.2429370721165</v>
      </c>
      <c r="M1918" s="311">
        <v>0.26202829071658135</v>
      </c>
      <c r="N1918" s="312">
        <v>2106.0452911719335</v>
      </c>
      <c r="O1918" s="311">
        <v>0.1013441372946733</v>
      </c>
      <c r="P1918" s="312">
        <v>342.30359952793071</v>
      </c>
      <c r="Q1918" s="311">
        <v>1.6471850407222516E-2</v>
      </c>
      <c r="R1918" s="312">
        <v>20781.126046278245</v>
      </c>
      <c r="S1918" s="311">
        <v>0.15884657269981653</v>
      </c>
      <c r="T1918" s="307"/>
    </row>
    <row r="1919" spans="1:20" ht="28.5">
      <c r="A1919" s="313" t="s">
        <v>304</v>
      </c>
      <c r="B1919" s="312">
        <v>491.05948222288401</v>
      </c>
      <c r="C1919" s="311">
        <v>1.2757538172166958E-2</v>
      </c>
      <c r="D1919" s="312">
        <v>922.29925468218335</v>
      </c>
      <c r="E1919" s="311">
        <v>2.3960983086013535E-2</v>
      </c>
      <c r="F1919" s="312">
        <v>3400.2935351724977</v>
      </c>
      <c r="G1919" s="311">
        <v>8.8338329961921952E-2</v>
      </c>
      <c r="H1919" s="312">
        <v>3785.5279876675895</v>
      </c>
      <c r="I1919" s="311">
        <v>9.8346574198837619E-2</v>
      </c>
      <c r="J1919" s="312">
        <v>19856.88837713877</v>
      </c>
      <c r="K1919" s="311">
        <v>0.51587439123479972</v>
      </c>
      <c r="L1919" s="312">
        <v>8153.4160786964694</v>
      </c>
      <c r="M1919" s="311">
        <v>0.21182264190617578</v>
      </c>
      <c r="N1919" s="312">
        <v>1612.5380074308885</v>
      </c>
      <c r="O1919" s="311">
        <v>4.1893122785748992E-2</v>
      </c>
      <c r="P1919" s="312">
        <v>269.68904738532302</v>
      </c>
      <c r="Q1919" s="311">
        <v>7.0064186543331696E-3</v>
      </c>
      <c r="R1919" s="312">
        <v>38491.711770396694</v>
      </c>
      <c r="S1919" s="311">
        <v>0.29422257862546031</v>
      </c>
      <c r="T1919" s="307"/>
    </row>
    <row r="1920" spans="1:20" ht="28.5">
      <c r="A1920" s="313" t="s">
        <v>303</v>
      </c>
      <c r="B1920" s="312">
        <v>260.67079199805664</v>
      </c>
      <c r="C1920" s="311">
        <v>7.6636595496934381E-3</v>
      </c>
      <c r="D1920" s="312">
        <v>348.95624597233029</v>
      </c>
      <c r="E1920" s="311">
        <v>1.0259230987762366E-2</v>
      </c>
      <c r="F1920" s="312">
        <v>1942.055197674307</v>
      </c>
      <c r="G1920" s="311">
        <v>5.7095962871818173E-2</v>
      </c>
      <c r="H1920" s="312">
        <v>3761.9876531206296</v>
      </c>
      <c r="I1920" s="311">
        <v>0.11060154604464337</v>
      </c>
      <c r="J1920" s="312">
        <v>18340.972690499242</v>
      </c>
      <c r="K1920" s="311">
        <v>0.53922025338097324</v>
      </c>
      <c r="L1920" s="312">
        <v>7559.6777298314055</v>
      </c>
      <c r="M1920" s="311">
        <v>0.22225273488737923</v>
      </c>
      <c r="N1920" s="312">
        <v>1704.12426310617</v>
      </c>
      <c r="O1920" s="311">
        <v>5.0100849745050288E-2</v>
      </c>
      <c r="P1920" s="312">
        <v>95.434868525525559</v>
      </c>
      <c r="Q1920" s="311">
        <v>2.8057625326693074E-3</v>
      </c>
      <c r="R1920" s="312">
        <v>34013.879440728029</v>
      </c>
      <c r="S1920" s="311">
        <v>0.25999496665158034</v>
      </c>
      <c r="T1920" s="307"/>
    </row>
    <row r="1921" spans="1:20" ht="15.75" thickBot="1">
      <c r="A1921" s="310" t="s">
        <v>302</v>
      </c>
      <c r="B1921" s="309">
        <v>111.26383513931889</v>
      </c>
      <c r="C1921" s="308">
        <v>4.6207042222226609E-2</v>
      </c>
      <c r="D1921" s="309">
        <v>15.75</v>
      </c>
      <c r="E1921" s="308">
        <v>6.5408577197505731E-3</v>
      </c>
      <c r="F1921" s="309">
        <v>27.294117647058822</v>
      </c>
      <c r="G1921" s="308">
        <v>1.1335043816860004E-2</v>
      </c>
      <c r="H1921" s="309">
        <v>234.29779411764707</v>
      </c>
      <c r="I1921" s="308">
        <v>9.7302129230155077E-2</v>
      </c>
      <c r="J1921" s="309">
        <v>991.30998452012375</v>
      </c>
      <c r="K1921" s="308">
        <v>0.41168365491519188</v>
      </c>
      <c r="L1921" s="309">
        <v>564.50493421052636</v>
      </c>
      <c r="M1921" s="308">
        <v>0.23443469566782291</v>
      </c>
      <c r="N1921" s="309">
        <v>463.52041408668731</v>
      </c>
      <c r="O1921" s="308">
        <v>0.19249657642799309</v>
      </c>
      <c r="P1921" s="309">
        <v>0</v>
      </c>
      <c r="Q1921" s="308">
        <v>0</v>
      </c>
      <c r="R1921" s="309">
        <v>2407.9410797213618</v>
      </c>
      <c r="S1921" s="308">
        <v>1.8405797016246669E-2</v>
      </c>
      <c r="T1921" s="307"/>
    </row>
    <row r="1927" spans="1:20" ht="15.75" thickBot="1"/>
    <row r="1928" spans="1:20" ht="20.25" customHeight="1">
      <c r="A1928" s="752" t="s">
        <v>310</v>
      </c>
      <c r="B1928" s="873" t="s">
        <v>365</v>
      </c>
      <c r="C1928" s="756"/>
      <c r="D1928" s="756"/>
      <c r="E1928" s="756"/>
      <c r="F1928" s="756"/>
      <c r="G1928" s="756"/>
      <c r="H1928" s="756"/>
      <c r="I1928" s="757"/>
      <c r="J1928" s="307"/>
    </row>
    <row r="1929" spans="1:20" ht="15" customHeight="1">
      <c r="A1929" s="753"/>
      <c r="B1929" s="767" t="s">
        <v>72</v>
      </c>
      <c r="C1929" s="759"/>
      <c r="D1929" s="768" t="s">
        <v>71</v>
      </c>
      <c r="E1929" s="759"/>
      <c r="F1929" s="768" t="s">
        <v>70</v>
      </c>
      <c r="G1929" s="759"/>
      <c r="H1929" s="769" t="s">
        <v>9</v>
      </c>
      <c r="I1929" s="762"/>
      <c r="J1929" s="307"/>
    </row>
    <row r="1930" spans="1:20" ht="15.75" customHeight="1" thickBot="1">
      <c r="A1930" s="754"/>
      <c r="B1930" s="324" t="s">
        <v>7</v>
      </c>
      <c r="C1930" s="318" t="s">
        <v>8</v>
      </c>
      <c r="D1930" s="324" t="s">
        <v>7</v>
      </c>
      <c r="E1930" s="318" t="s">
        <v>8</v>
      </c>
      <c r="F1930" s="324" t="s">
        <v>7</v>
      </c>
      <c r="G1930" s="318" t="s">
        <v>8</v>
      </c>
      <c r="H1930" s="324" t="s">
        <v>7</v>
      </c>
      <c r="I1930" s="317" t="s">
        <v>6</v>
      </c>
      <c r="J1930" s="307"/>
    </row>
    <row r="1931" spans="1:20" ht="15.75" customHeight="1">
      <c r="A1931" s="316" t="s">
        <v>5</v>
      </c>
      <c r="B1931" s="315">
        <v>52085.540292899794</v>
      </c>
      <c r="C1931" s="314">
        <v>0.26026739895418144</v>
      </c>
      <c r="D1931" s="315">
        <v>135034.68781349887</v>
      </c>
      <c r="E1931" s="314">
        <v>0.67475784580850695</v>
      </c>
      <c r="F1931" s="315">
        <v>13002.95482849998</v>
      </c>
      <c r="G1931" s="314">
        <v>6.4974755237275306E-2</v>
      </c>
      <c r="H1931" s="315">
        <v>200123.1829349059</v>
      </c>
      <c r="I1931" s="314">
        <v>1</v>
      </c>
      <c r="J1931" s="307"/>
    </row>
    <row r="1932" spans="1:20">
      <c r="A1932" s="313" t="s">
        <v>309</v>
      </c>
      <c r="B1932" s="312">
        <v>1053.6074244000001</v>
      </c>
      <c r="C1932" s="311">
        <v>0.26724811784371794</v>
      </c>
      <c r="D1932" s="312">
        <v>2631.541678999999</v>
      </c>
      <c r="E1932" s="311">
        <v>0.66749203209206898</v>
      </c>
      <c r="F1932" s="312">
        <v>257.28249499999998</v>
      </c>
      <c r="G1932" s="311">
        <v>6.5259850064213115E-2</v>
      </c>
      <c r="H1932" s="312">
        <v>3942.4315983999991</v>
      </c>
      <c r="I1932" s="311">
        <v>1.9700024457847819E-2</v>
      </c>
      <c r="J1932" s="307"/>
    </row>
    <row r="1933" spans="1:20">
      <c r="A1933" s="313" t="s">
        <v>308</v>
      </c>
      <c r="B1933" s="312">
        <v>1883.6118650000008</v>
      </c>
      <c r="C1933" s="311">
        <v>0.22917582865873898</v>
      </c>
      <c r="D1933" s="312">
        <v>5909.200203000004</v>
      </c>
      <c r="E1933" s="311">
        <v>0.7189622652079195</v>
      </c>
      <c r="F1933" s="312">
        <v>426.25656599999996</v>
      </c>
      <c r="G1933" s="311">
        <v>5.1861906133341545E-2</v>
      </c>
      <c r="H1933" s="312">
        <v>8219.0686340000047</v>
      </c>
      <c r="I1933" s="311">
        <v>4.1070047525045721E-2</v>
      </c>
      <c r="J1933" s="307"/>
    </row>
    <row r="1934" spans="1:20">
      <c r="A1934" s="313" t="s">
        <v>307</v>
      </c>
      <c r="B1934" s="312">
        <v>3989.9551159999992</v>
      </c>
      <c r="C1934" s="311">
        <v>0.25993792056916026</v>
      </c>
      <c r="D1934" s="312">
        <v>10828.278586999993</v>
      </c>
      <c r="E1934" s="311">
        <v>0.70544157450826406</v>
      </c>
      <c r="F1934" s="312">
        <v>531.41250200000002</v>
      </c>
      <c r="G1934" s="311">
        <v>3.4620504922575859E-2</v>
      </c>
      <c r="H1934" s="312">
        <v>15349.64620499999</v>
      </c>
      <c r="I1934" s="311">
        <v>7.6700989759855925E-2</v>
      </c>
      <c r="J1934" s="307"/>
    </row>
    <row r="1935" spans="1:20">
      <c r="A1935" s="313" t="s">
        <v>306</v>
      </c>
      <c r="B1935" s="312">
        <v>5320.2146244999976</v>
      </c>
      <c r="C1935" s="311">
        <v>0.3100201914750142</v>
      </c>
      <c r="D1935" s="312">
        <v>11161.708833499997</v>
      </c>
      <c r="E1935" s="311">
        <v>0.65041645008357851</v>
      </c>
      <c r="F1935" s="312">
        <v>678.94144949999998</v>
      </c>
      <c r="G1935" s="311">
        <v>3.9563358441407889E-2</v>
      </c>
      <c r="H1935" s="312">
        <v>17160.864907499985</v>
      </c>
      <c r="I1935" s="311">
        <v>8.575150892479011E-2</v>
      </c>
      <c r="J1935" s="307"/>
    </row>
    <row r="1936" spans="1:20">
      <c r="A1936" s="313" t="s">
        <v>305</v>
      </c>
      <c r="B1936" s="312">
        <v>8494.2862970000078</v>
      </c>
      <c r="C1936" s="311">
        <v>0.32290854312378897</v>
      </c>
      <c r="D1936" s="312">
        <v>16452.00010699996</v>
      </c>
      <c r="E1936" s="311">
        <v>0.62541939372823252</v>
      </c>
      <c r="F1936" s="312">
        <v>1359.2619560000003</v>
      </c>
      <c r="G1936" s="311">
        <v>5.1672063147973679E-2</v>
      </c>
      <c r="H1936" s="312">
        <v>26305.548360000095</v>
      </c>
      <c r="I1936" s="311">
        <v>0.13144678179817132</v>
      </c>
      <c r="J1936" s="307"/>
    </row>
    <row r="1937" spans="1:10" ht="28.5">
      <c r="A1937" s="313" t="s">
        <v>304</v>
      </c>
      <c r="B1937" s="312">
        <v>18152.30753199997</v>
      </c>
      <c r="C1937" s="311">
        <v>0.24371848257746226</v>
      </c>
      <c r="D1937" s="312">
        <v>50439.160708999021</v>
      </c>
      <c r="E1937" s="311">
        <v>0.67721173678923419</v>
      </c>
      <c r="F1937" s="312">
        <v>5889.1675320000113</v>
      </c>
      <c r="G1937" s="311">
        <v>7.9069780633303555E-2</v>
      </c>
      <c r="H1937" s="312">
        <v>74480.635772998998</v>
      </c>
      <c r="I1937" s="311">
        <v>0.37217395146680893</v>
      </c>
      <c r="J1937" s="307"/>
    </row>
    <row r="1938" spans="1:10" ht="28.5">
      <c r="A1938" s="313" t="s">
        <v>303</v>
      </c>
      <c r="B1938" s="312">
        <v>11831.740774000022</v>
      </c>
      <c r="C1938" s="311">
        <v>0.22906477839155848</v>
      </c>
      <c r="D1938" s="312">
        <v>35960.006007000207</v>
      </c>
      <c r="E1938" s="311">
        <v>0.6961926367634429</v>
      </c>
      <c r="F1938" s="312">
        <v>3860.632327999997</v>
      </c>
      <c r="G1938" s="311">
        <v>7.4742584844988441E-2</v>
      </c>
      <c r="H1938" s="312">
        <v>51652.379109000751</v>
      </c>
      <c r="I1938" s="311">
        <v>0.25810292616523961</v>
      </c>
      <c r="J1938" s="307"/>
    </row>
    <row r="1939" spans="1:10" ht="15.75" thickBot="1">
      <c r="A1939" s="313" t="s">
        <v>302</v>
      </c>
      <c r="B1939" s="312">
        <v>1359.8166600000002</v>
      </c>
      <c r="C1939" s="311">
        <v>0.45137518818294148</v>
      </c>
      <c r="D1939" s="312">
        <v>1652.791688</v>
      </c>
      <c r="E1939" s="311">
        <v>0.5486248118170588</v>
      </c>
      <c r="F1939" s="312">
        <v>0</v>
      </c>
      <c r="G1939" s="311">
        <v>0</v>
      </c>
      <c r="H1939" s="312">
        <v>3012.6083479999993</v>
      </c>
      <c r="I1939" s="311">
        <v>1.5053769902210235E-2</v>
      </c>
      <c r="J1939" s="307"/>
    </row>
    <row r="1940" spans="1:10" ht="15" customHeight="1">
      <c r="A1940" s="316" t="s">
        <v>4</v>
      </c>
      <c r="B1940" s="315">
        <v>49889.807032995603</v>
      </c>
      <c r="C1940" s="314">
        <v>0.26678616107267744</v>
      </c>
      <c r="D1940" s="315">
        <v>126949.4778963947</v>
      </c>
      <c r="E1940" s="314">
        <v>0.67886339660043904</v>
      </c>
      <c r="F1940" s="315">
        <v>10163.694656963602</v>
      </c>
      <c r="G1940" s="314">
        <v>5.4350442326884067E-2</v>
      </c>
      <c r="H1940" s="315">
        <v>187002.97958635382</v>
      </c>
      <c r="I1940" s="314">
        <v>1</v>
      </c>
      <c r="J1940" s="307"/>
    </row>
    <row r="1941" spans="1:10">
      <c r="A1941" s="313" t="s">
        <v>309</v>
      </c>
      <c r="B1941" s="312">
        <v>1342.1918016194329</v>
      </c>
      <c r="C1941" s="311">
        <v>0.23046002162490276</v>
      </c>
      <c r="D1941" s="312">
        <v>3959.8065355696967</v>
      </c>
      <c r="E1941" s="311">
        <v>0.67991556699776123</v>
      </c>
      <c r="F1941" s="312">
        <v>521.96970792365528</v>
      </c>
      <c r="G1941" s="311">
        <v>8.9624411377337468E-2</v>
      </c>
      <c r="H1941" s="312">
        <v>5823.9680451127761</v>
      </c>
      <c r="I1941" s="311">
        <v>3.1143717912919124E-2</v>
      </c>
      <c r="J1941" s="307"/>
    </row>
    <row r="1942" spans="1:10">
      <c r="A1942" s="313" t="s">
        <v>308</v>
      </c>
      <c r="B1942" s="312">
        <v>2313.396116599401</v>
      </c>
      <c r="C1942" s="311">
        <v>0.2839054963297743</v>
      </c>
      <c r="D1942" s="312">
        <v>5329.0941793792972</v>
      </c>
      <c r="E1942" s="311">
        <v>0.65399916474692599</v>
      </c>
      <c r="F1942" s="312">
        <v>505.98215878577787</v>
      </c>
      <c r="G1942" s="311">
        <v>6.2095338923300464E-2</v>
      </c>
      <c r="H1942" s="312">
        <v>8148.4724547644701</v>
      </c>
      <c r="I1942" s="311">
        <v>4.3574024717620535E-2</v>
      </c>
      <c r="J1942" s="307"/>
    </row>
    <row r="1943" spans="1:10">
      <c r="A1943" s="313" t="s">
        <v>307</v>
      </c>
      <c r="B1943" s="312">
        <v>4685.1177136389379</v>
      </c>
      <c r="C1943" s="311">
        <v>0.28792048171141854</v>
      </c>
      <c r="D1943" s="312">
        <v>11112.596336883276</v>
      </c>
      <c r="E1943" s="311">
        <v>0.68291647850505921</v>
      </c>
      <c r="F1943" s="312">
        <v>474.54864433811798</v>
      </c>
      <c r="G1943" s="311">
        <v>2.9163039783521055E-2</v>
      </c>
      <c r="H1943" s="312">
        <v>16272.262694860352</v>
      </c>
      <c r="I1943" s="311">
        <v>8.701606108551968E-2</v>
      </c>
      <c r="J1943" s="307"/>
    </row>
    <row r="1944" spans="1:10">
      <c r="A1944" s="313" t="s">
        <v>306</v>
      </c>
      <c r="B1944" s="312">
        <v>4853.2502831010479</v>
      </c>
      <c r="C1944" s="311">
        <v>0.28684335185082627</v>
      </c>
      <c r="D1944" s="312">
        <v>11347.114808362374</v>
      </c>
      <c r="E1944" s="311">
        <v>0.67065250205622684</v>
      </c>
      <c r="F1944" s="312">
        <v>719.1495209059234</v>
      </c>
      <c r="G1944" s="311">
        <v>4.2504146092948565E-2</v>
      </c>
      <c r="H1944" s="312">
        <v>16919.514612369316</v>
      </c>
      <c r="I1944" s="311">
        <v>9.0477246136905845E-2</v>
      </c>
      <c r="J1944" s="307"/>
    </row>
    <row r="1945" spans="1:10">
      <c r="A1945" s="313" t="s">
        <v>305</v>
      </c>
      <c r="B1945" s="312">
        <v>6657.5678642351359</v>
      </c>
      <c r="C1945" s="311">
        <v>0.28578522978363141</v>
      </c>
      <c r="D1945" s="312">
        <v>15474.318702096214</v>
      </c>
      <c r="E1945" s="311">
        <v>0.66425634949675083</v>
      </c>
      <c r="F1945" s="312">
        <v>1163.8165365741195</v>
      </c>
      <c r="G1945" s="311">
        <v>4.9958420719611575E-2</v>
      </c>
      <c r="H1945" s="312">
        <v>23295.703102905612</v>
      </c>
      <c r="I1945" s="311">
        <v>0.12457396750808547</v>
      </c>
      <c r="J1945" s="307"/>
    </row>
    <row r="1946" spans="1:10" ht="28.5">
      <c r="A1946" s="313" t="s">
        <v>304</v>
      </c>
      <c r="B1946" s="312">
        <v>16761.826992553226</v>
      </c>
      <c r="C1946" s="311">
        <v>0.2607492178754619</v>
      </c>
      <c r="D1946" s="312">
        <v>43456.522151177182</v>
      </c>
      <c r="E1946" s="311">
        <v>0.67601545866934842</v>
      </c>
      <c r="F1946" s="312">
        <v>4064.9769161737509</v>
      </c>
      <c r="G1946" s="311">
        <v>6.3235323455194462E-2</v>
      </c>
      <c r="H1946" s="312">
        <v>64283.326059903848</v>
      </c>
      <c r="I1946" s="311">
        <v>0.34375562465420095</v>
      </c>
      <c r="J1946" s="307"/>
    </row>
    <row r="1947" spans="1:10" ht="28.5">
      <c r="A1947" s="313" t="s">
        <v>303</v>
      </c>
      <c r="B1947" s="312">
        <v>12210.92848347057</v>
      </c>
      <c r="C1947" s="311">
        <v>0.24763542021575979</v>
      </c>
      <c r="D1947" s="312">
        <v>34604.429944831303</v>
      </c>
      <c r="E1947" s="311">
        <v>0.7017715780020336</v>
      </c>
      <c r="F1947" s="312">
        <v>2494.7462119448096</v>
      </c>
      <c r="G1947" s="311">
        <v>5.059300178220693E-2</v>
      </c>
      <c r="H1947" s="312">
        <v>49310.104640246667</v>
      </c>
      <c r="I1947" s="311">
        <v>0.26368619767085777</v>
      </c>
      <c r="J1947" s="307"/>
    </row>
    <row r="1948" spans="1:10" ht="15.75" thickBot="1">
      <c r="A1948" s="313" t="s">
        <v>302</v>
      </c>
      <c r="B1948" s="312">
        <v>1065.5277777777778</v>
      </c>
      <c r="C1948" s="311">
        <v>0.36124141294385737</v>
      </c>
      <c r="D1948" s="312">
        <v>1665.5952380952383</v>
      </c>
      <c r="E1948" s="311">
        <v>0.56467976691975896</v>
      </c>
      <c r="F1948" s="312">
        <v>218.5049603174603</v>
      </c>
      <c r="G1948" s="311">
        <v>7.4078820136383894E-2</v>
      </c>
      <c r="H1948" s="312">
        <v>2949.6279761904757</v>
      </c>
      <c r="I1948" s="311">
        <v>1.5773160313889024E-2</v>
      </c>
      <c r="J1948" s="307"/>
    </row>
    <row r="1949" spans="1:10" ht="15.75" customHeight="1">
      <c r="A1949" s="316" t="s">
        <v>3</v>
      </c>
      <c r="B1949" s="315">
        <v>38104.184627110968</v>
      </c>
      <c r="C1949" s="314">
        <v>0.2912604023506038</v>
      </c>
      <c r="D1949" s="315">
        <v>86551.7604821977</v>
      </c>
      <c r="E1949" s="314">
        <v>0.66158351973399332</v>
      </c>
      <c r="F1949" s="315">
        <v>6169.2007724977029</v>
      </c>
      <c r="G1949" s="314">
        <v>4.715607791541325E-2</v>
      </c>
      <c r="H1949" s="315">
        <v>130825.14588180502</v>
      </c>
      <c r="I1949" s="314">
        <v>1</v>
      </c>
      <c r="J1949" s="307"/>
    </row>
    <row r="1950" spans="1:10">
      <c r="A1950" s="313" t="s">
        <v>309</v>
      </c>
      <c r="B1950" s="312">
        <v>497.70516934046339</v>
      </c>
      <c r="C1950" s="311">
        <v>0.20650875573882777</v>
      </c>
      <c r="D1950" s="312">
        <v>1785.3669637552009</v>
      </c>
      <c r="E1950" s="311">
        <v>0.7407877854892928</v>
      </c>
      <c r="F1950" s="312">
        <v>127.02020202020202</v>
      </c>
      <c r="G1950" s="311">
        <v>5.2703458771879569E-2</v>
      </c>
      <c r="H1950" s="312">
        <v>2410.0923351158663</v>
      </c>
      <c r="I1950" s="311">
        <v>1.8422240761674997E-2</v>
      </c>
      <c r="J1950" s="307"/>
    </row>
    <row r="1951" spans="1:10">
      <c r="A1951" s="313" t="s">
        <v>308</v>
      </c>
      <c r="B1951" s="312">
        <v>1797.0428314926851</v>
      </c>
      <c r="C1951" s="311">
        <v>0.27651042262834696</v>
      </c>
      <c r="D1951" s="312">
        <v>4415.0103919031435</v>
      </c>
      <c r="E1951" s="311">
        <v>0.6793362784567839</v>
      </c>
      <c r="F1951" s="312">
        <v>286.95254431103473</v>
      </c>
      <c r="G1951" s="311">
        <v>4.4153298914871547E-2</v>
      </c>
      <c r="H1951" s="312">
        <v>6499.005767706848</v>
      </c>
      <c r="I1951" s="311">
        <v>4.9677038186362307E-2</v>
      </c>
      <c r="J1951" s="307"/>
    </row>
    <row r="1952" spans="1:10">
      <c r="A1952" s="313" t="s">
        <v>307</v>
      </c>
      <c r="B1952" s="312">
        <v>5612.0758101851834</v>
      </c>
      <c r="C1952" s="311">
        <v>0.38883135985687534</v>
      </c>
      <c r="D1952" s="312">
        <v>8055.798900462959</v>
      </c>
      <c r="E1952" s="311">
        <v>0.55814414258548195</v>
      </c>
      <c r="F1952" s="312">
        <v>765.3125</v>
      </c>
      <c r="G1952" s="311">
        <v>5.3024497557641798E-2</v>
      </c>
      <c r="H1952" s="312">
        <v>14433.187210648157</v>
      </c>
      <c r="I1952" s="311">
        <v>0.11032425848535214</v>
      </c>
      <c r="J1952" s="307"/>
    </row>
    <row r="1953" spans="1:10">
      <c r="A1953" s="313" t="s">
        <v>306</v>
      </c>
      <c r="B1953" s="312">
        <v>3172.7926411362773</v>
      </c>
      <c r="C1953" s="311">
        <v>0.26914983123852687</v>
      </c>
      <c r="D1953" s="312">
        <v>8023.118450197775</v>
      </c>
      <c r="E1953" s="311">
        <v>0.68060576946625961</v>
      </c>
      <c r="F1953" s="312">
        <v>592.29113987774178</v>
      </c>
      <c r="G1953" s="311">
        <v>5.0244399295214369E-2</v>
      </c>
      <c r="H1953" s="312">
        <v>11788.202231211784</v>
      </c>
      <c r="I1953" s="311">
        <v>9.0106547573521725E-2</v>
      </c>
      <c r="J1953" s="307"/>
    </row>
    <row r="1954" spans="1:10">
      <c r="A1954" s="313" t="s">
        <v>305</v>
      </c>
      <c r="B1954" s="312">
        <v>6378.655319333956</v>
      </c>
      <c r="C1954" s="311">
        <v>0.30694464318868464</v>
      </c>
      <c r="D1954" s="312">
        <v>13638.363805050281</v>
      </c>
      <c r="E1954" s="311">
        <v>0.65628608260584698</v>
      </c>
      <c r="F1954" s="312">
        <v>764.10692189399902</v>
      </c>
      <c r="G1954" s="311">
        <v>3.6769274205468057E-2</v>
      </c>
      <c r="H1954" s="312">
        <v>20781.126046278245</v>
      </c>
      <c r="I1954" s="311">
        <v>0.15884657269981653</v>
      </c>
      <c r="J1954" s="307"/>
    </row>
    <row r="1955" spans="1:10" ht="28.5">
      <c r="A1955" s="313" t="s">
        <v>304</v>
      </c>
      <c r="B1955" s="312">
        <v>10452.404353789621</v>
      </c>
      <c r="C1955" s="311">
        <v>0.27154948099316234</v>
      </c>
      <c r="D1955" s="312">
        <v>26298.047582757252</v>
      </c>
      <c r="E1955" s="311">
        <v>0.68321325223531948</v>
      </c>
      <c r="F1955" s="312">
        <v>1741.2598338497646</v>
      </c>
      <c r="G1955" s="311">
        <v>4.5237266771516696E-2</v>
      </c>
      <c r="H1955" s="312">
        <v>38491.711770396694</v>
      </c>
      <c r="I1955" s="311">
        <v>0.29422257862546031</v>
      </c>
      <c r="J1955" s="307"/>
    </row>
    <row r="1956" spans="1:10" ht="28.5">
      <c r="A1956" s="313" t="s">
        <v>303</v>
      </c>
      <c r="B1956" s="312">
        <v>9629.5863849596026</v>
      </c>
      <c r="C1956" s="311">
        <v>0.28310755912861824</v>
      </c>
      <c r="D1956" s="312">
        <v>22492.035425223203</v>
      </c>
      <c r="E1956" s="311">
        <v>0.66126051467952707</v>
      </c>
      <c r="F1956" s="312">
        <v>1892.2576305449693</v>
      </c>
      <c r="G1956" s="311">
        <v>5.5631926191847161E-2</v>
      </c>
      <c r="H1956" s="312">
        <v>34013.879440728029</v>
      </c>
      <c r="I1956" s="311">
        <v>0.25999496665158034</v>
      </c>
      <c r="J1956" s="307"/>
    </row>
    <row r="1957" spans="1:10" ht="15.75" thickBot="1">
      <c r="A1957" s="310" t="s">
        <v>302</v>
      </c>
      <c r="B1957" s="309">
        <v>563.92211687306508</v>
      </c>
      <c r="C1957" s="308">
        <v>0.23419265596744587</v>
      </c>
      <c r="D1957" s="309">
        <v>1844.0189628482967</v>
      </c>
      <c r="E1957" s="308">
        <v>0.76580734403255402</v>
      </c>
      <c r="F1957" s="309">
        <v>0</v>
      </c>
      <c r="G1957" s="308">
        <v>0</v>
      </c>
      <c r="H1957" s="309">
        <v>2407.9410797213618</v>
      </c>
      <c r="I1957" s="308">
        <v>1.8405797016246669E-2</v>
      </c>
      <c r="J1957" s="307"/>
    </row>
    <row r="1963" spans="1:10" ht="15.75" thickBot="1"/>
    <row r="1964" spans="1:10" ht="29.25" customHeight="1">
      <c r="A1964" s="752" t="s">
        <v>310</v>
      </c>
      <c r="B1964" s="755" t="s">
        <v>366</v>
      </c>
      <c r="C1964" s="756"/>
      <c r="D1964" s="756"/>
      <c r="E1964" s="756"/>
      <c r="F1964" s="756"/>
      <c r="G1964" s="756"/>
      <c r="H1964" s="756"/>
      <c r="I1964" s="757"/>
      <c r="J1964" s="307"/>
    </row>
    <row r="1965" spans="1:10" ht="15" customHeight="1">
      <c r="A1965" s="753"/>
      <c r="B1965" s="767" t="s">
        <v>72</v>
      </c>
      <c r="C1965" s="759"/>
      <c r="D1965" s="768" t="s">
        <v>71</v>
      </c>
      <c r="E1965" s="759"/>
      <c r="F1965" s="768" t="s">
        <v>70</v>
      </c>
      <c r="G1965" s="759"/>
      <c r="H1965" s="769" t="s">
        <v>9</v>
      </c>
      <c r="I1965" s="762"/>
      <c r="J1965" s="307"/>
    </row>
    <row r="1966" spans="1:10" ht="15.75" customHeight="1" thickBot="1">
      <c r="A1966" s="754"/>
      <c r="B1966" s="324" t="s">
        <v>7</v>
      </c>
      <c r="C1966" s="318" t="s">
        <v>8</v>
      </c>
      <c r="D1966" s="324" t="s">
        <v>7</v>
      </c>
      <c r="E1966" s="318" t="s">
        <v>8</v>
      </c>
      <c r="F1966" s="324" t="s">
        <v>7</v>
      </c>
      <c r="G1966" s="318" t="s">
        <v>8</v>
      </c>
      <c r="H1966" s="324" t="s">
        <v>7</v>
      </c>
      <c r="I1966" s="317" t="s">
        <v>6</v>
      </c>
      <c r="J1966" s="307"/>
    </row>
    <row r="1967" spans="1:10" ht="15.75" customHeight="1">
      <c r="A1967" s="316" t="s">
        <v>5</v>
      </c>
      <c r="B1967" s="315">
        <v>39390.379708299981</v>
      </c>
      <c r="C1967" s="314">
        <v>0.19683066764489998</v>
      </c>
      <c r="D1967" s="315">
        <v>137609.37355909901</v>
      </c>
      <c r="E1967" s="314">
        <v>0.68762335048338319</v>
      </c>
      <c r="F1967" s="315">
        <v>23123.429667500019</v>
      </c>
      <c r="G1967" s="314">
        <v>0.1155459818716824</v>
      </c>
      <c r="H1967" s="315">
        <v>200123.1829349059</v>
      </c>
      <c r="I1967" s="314">
        <v>1</v>
      </c>
      <c r="J1967" s="307"/>
    </row>
    <row r="1968" spans="1:10">
      <c r="A1968" s="313" t="s">
        <v>309</v>
      </c>
      <c r="B1968" s="312">
        <v>686.61471280000012</v>
      </c>
      <c r="C1968" s="311">
        <v>0.17416020941965274</v>
      </c>
      <c r="D1968" s="312">
        <v>2743.6495365999995</v>
      </c>
      <c r="E1968" s="311">
        <v>0.69592825344477394</v>
      </c>
      <c r="F1968" s="312">
        <v>512.16734900000006</v>
      </c>
      <c r="G1968" s="311">
        <v>0.12991153713557355</v>
      </c>
      <c r="H1968" s="312">
        <v>3942.4315983999991</v>
      </c>
      <c r="I1968" s="311">
        <v>1.9700024457847819E-2</v>
      </c>
      <c r="J1968" s="307"/>
    </row>
    <row r="1969" spans="1:10">
      <c r="A1969" s="313" t="s">
        <v>308</v>
      </c>
      <c r="B1969" s="312">
        <v>1621.5496070000002</v>
      </c>
      <c r="C1969" s="311">
        <v>0.19729116268625618</v>
      </c>
      <c r="D1969" s="312">
        <v>5547.5776740000038</v>
      </c>
      <c r="E1969" s="311">
        <v>0.67496427162698391</v>
      </c>
      <c r="F1969" s="312">
        <v>1049.9413529999999</v>
      </c>
      <c r="G1969" s="311">
        <v>0.12774456568675968</v>
      </c>
      <c r="H1969" s="312">
        <v>8219.0686340000047</v>
      </c>
      <c r="I1969" s="311">
        <v>4.1070047525045721E-2</v>
      </c>
      <c r="J1969" s="307"/>
    </row>
    <row r="1970" spans="1:10">
      <c r="A1970" s="313" t="s">
        <v>307</v>
      </c>
      <c r="B1970" s="312">
        <v>2671.5083439999994</v>
      </c>
      <c r="C1970" s="311">
        <v>0.17404364298180258</v>
      </c>
      <c r="D1970" s="312">
        <v>10361.783497999993</v>
      </c>
      <c r="E1970" s="311">
        <v>0.67505031449029418</v>
      </c>
      <c r="F1970" s="312">
        <v>2316.3543629999999</v>
      </c>
      <c r="G1970" s="311">
        <v>0.15090604252790343</v>
      </c>
      <c r="H1970" s="312">
        <v>15349.64620499999</v>
      </c>
      <c r="I1970" s="311">
        <v>7.6700989759855925E-2</v>
      </c>
      <c r="J1970" s="307"/>
    </row>
    <row r="1971" spans="1:10">
      <c r="A1971" s="313" t="s">
        <v>306</v>
      </c>
      <c r="B1971" s="312">
        <v>3705.2819954999995</v>
      </c>
      <c r="C1971" s="311">
        <v>0.21591464156801579</v>
      </c>
      <c r="D1971" s="312">
        <v>10846.552700499991</v>
      </c>
      <c r="E1971" s="311">
        <v>0.63205163370056094</v>
      </c>
      <c r="F1971" s="312">
        <v>2609.0302115</v>
      </c>
      <c r="G1971" s="311">
        <v>0.1520337247314236</v>
      </c>
      <c r="H1971" s="312">
        <v>17160.864907499985</v>
      </c>
      <c r="I1971" s="311">
        <v>8.575150892479011E-2</v>
      </c>
      <c r="J1971" s="307"/>
    </row>
    <row r="1972" spans="1:10">
      <c r="A1972" s="313" t="s">
        <v>305</v>
      </c>
      <c r="B1972" s="312">
        <v>5841.3067270000074</v>
      </c>
      <c r="C1972" s="311">
        <v>0.22205607148194748</v>
      </c>
      <c r="D1972" s="312">
        <v>18198.207900999983</v>
      </c>
      <c r="E1972" s="311">
        <v>0.69180112316806752</v>
      </c>
      <c r="F1972" s="312">
        <v>2266.0337320000003</v>
      </c>
      <c r="G1972" s="311">
        <v>8.6142805349981005E-2</v>
      </c>
      <c r="H1972" s="312">
        <v>26305.548360000095</v>
      </c>
      <c r="I1972" s="311">
        <v>0.13144678179817132</v>
      </c>
      <c r="J1972" s="307"/>
    </row>
    <row r="1973" spans="1:10" ht="28.5">
      <c r="A1973" s="313" t="s">
        <v>304</v>
      </c>
      <c r="B1973" s="312">
        <v>13883.611082999978</v>
      </c>
      <c r="C1973" s="311">
        <v>0.18640564676856741</v>
      </c>
      <c r="D1973" s="312">
        <v>52110.708962998986</v>
      </c>
      <c r="E1973" s="311">
        <v>0.69965445947348315</v>
      </c>
      <c r="F1973" s="312">
        <v>8486.3157270000174</v>
      </c>
      <c r="G1973" s="311">
        <v>0.11393989375794922</v>
      </c>
      <c r="H1973" s="312">
        <v>74480.635772998998</v>
      </c>
      <c r="I1973" s="311">
        <v>0.37217395146680893</v>
      </c>
      <c r="J1973" s="307"/>
    </row>
    <row r="1974" spans="1:10" ht="28.5">
      <c r="A1974" s="313" t="s">
        <v>303</v>
      </c>
      <c r="B1974" s="312">
        <v>10109.932239000011</v>
      </c>
      <c r="C1974" s="311">
        <v>0.19573023379359292</v>
      </c>
      <c r="D1974" s="312">
        <v>35936.476606000229</v>
      </c>
      <c r="E1974" s="311">
        <v>0.69573710303187308</v>
      </c>
      <c r="F1974" s="312">
        <v>5605.9702639999996</v>
      </c>
      <c r="G1974" s="311">
        <v>0.10853266317452402</v>
      </c>
      <c r="H1974" s="312">
        <v>51652.379109000751</v>
      </c>
      <c r="I1974" s="311">
        <v>0.25810292616523961</v>
      </c>
      <c r="J1974" s="307"/>
    </row>
    <row r="1975" spans="1:10" ht="15.75" thickBot="1">
      <c r="A1975" s="313" t="s">
        <v>302</v>
      </c>
      <c r="B1975" s="312">
        <v>870.57499999999982</v>
      </c>
      <c r="C1975" s="311">
        <v>0.28897715847396971</v>
      </c>
      <c r="D1975" s="312">
        <v>1864.41668</v>
      </c>
      <c r="E1975" s="311">
        <v>0.61887124532392102</v>
      </c>
      <c r="F1975" s="312">
        <v>277.616668</v>
      </c>
      <c r="G1975" s="311">
        <v>9.215159620210947E-2</v>
      </c>
      <c r="H1975" s="312">
        <v>3012.6083479999993</v>
      </c>
      <c r="I1975" s="311">
        <v>1.5053769902210235E-2</v>
      </c>
      <c r="J1975" s="307"/>
    </row>
    <row r="1976" spans="1:10" ht="15" customHeight="1">
      <c r="A1976" s="316" t="s">
        <v>4</v>
      </c>
      <c r="B1976" s="315">
        <v>38428.386664326354</v>
      </c>
      <c r="C1976" s="314">
        <v>0.2054961196304414</v>
      </c>
      <c r="D1976" s="315">
        <v>128351.07015889417</v>
      </c>
      <c r="E1976" s="314">
        <v>0.68635842296632776</v>
      </c>
      <c r="F1976" s="315">
        <v>20223.522763133387</v>
      </c>
      <c r="G1976" s="314">
        <v>0.10814545740323146</v>
      </c>
      <c r="H1976" s="315">
        <v>187002.97958635382</v>
      </c>
      <c r="I1976" s="314">
        <v>1</v>
      </c>
      <c r="J1976" s="307"/>
    </row>
    <row r="1977" spans="1:10">
      <c r="A1977" s="313" t="s">
        <v>309</v>
      </c>
      <c r="B1977" s="312">
        <v>1197.7371312897631</v>
      </c>
      <c r="C1977" s="311">
        <v>0.20565654241438577</v>
      </c>
      <c r="D1977" s="312">
        <v>3919.9040630422246</v>
      </c>
      <c r="E1977" s="311">
        <v>0.67306414332606779</v>
      </c>
      <c r="F1977" s="312">
        <v>706.32685078079805</v>
      </c>
      <c r="G1977" s="311">
        <v>0.12127931425954804</v>
      </c>
      <c r="H1977" s="312">
        <v>5823.9680451127761</v>
      </c>
      <c r="I1977" s="311">
        <v>3.1143717912919124E-2</v>
      </c>
      <c r="J1977" s="307"/>
    </row>
    <row r="1978" spans="1:10">
      <c r="A1978" s="313" t="s">
        <v>308</v>
      </c>
      <c r="B1978" s="312">
        <v>2057.9890690467546</v>
      </c>
      <c r="C1978" s="311">
        <v>0.25256133348569321</v>
      </c>
      <c r="D1978" s="312">
        <v>5147.155210154664</v>
      </c>
      <c r="E1978" s="311">
        <v>0.63167117993325061</v>
      </c>
      <c r="F1978" s="312">
        <v>943.32817556305849</v>
      </c>
      <c r="G1978" s="311">
        <v>0.11576748658105701</v>
      </c>
      <c r="H1978" s="312">
        <v>8148.4724547644701</v>
      </c>
      <c r="I1978" s="311">
        <v>4.3574024717620535E-2</v>
      </c>
      <c r="J1978" s="307"/>
    </row>
    <row r="1979" spans="1:10">
      <c r="A1979" s="313" t="s">
        <v>307</v>
      </c>
      <c r="B1979" s="312">
        <v>3213.4755363482036</v>
      </c>
      <c r="C1979" s="311">
        <v>0.19748178828032259</v>
      </c>
      <c r="D1979" s="312">
        <v>11531.170036528283</v>
      </c>
      <c r="E1979" s="311">
        <v>0.70863961901072559</v>
      </c>
      <c r="F1979" s="312">
        <v>1527.617121983845</v>
      </c>
      <c r="G1979" s="311">
        <v>9.3878592708950548E-2</v>
      </c>
      <c r="H1979" s="312">
        <v>16272.262694860352</v>
      </c>
      <c r="I1979" s="311">
        <v>8.701606108551968E-2</v>
      </c>
      <c r="J1979" s="307"/>
    </row>
    <row r="1980" spans="1:10">
      <c r="A1980" s="313" t="s">
        <v>306</v>
      </c>
      <c r="B1980" s="312">
        <v>2685.6219789356978</v>
      </c>
      <c r="C1980" s="311">
        <v>0.15872925674666372</v>
      </c>
      <c r="D1980" s="312">
        <v>12146.080020589168</v>
      </c>
      <c r="E1980" s="311">
        <v>0.71787402291727431</v>
      </c>
      <c r="F1980" s="312">
        <v>2087.8126128444719</v>
      </c>
      <c r="G1980" s="311">
        <v>0.12339672033606325</v>
      </c>
      <c r="H1980" s="312">
        <v>16919.514612369316</v>
      </c>
      <c r="I1980" s="311">
        <v>9.0477246136905845E-2</v>
      </c>
      <c r="J1980" s="307"/>
    </row>
    <row r="1981" spans="1:10">
      <c r="A1981" s="313" t="s">
        <v>305</v>
      </c>
      <c r="B1981" s="312">
        <v>5574.5380888529262</v>
      </c>
      <c r="C1981" s="311">
        <v>0.23929469156728861</v>
      </c>
      <c r="D1981" s="312">
        <v>15412.526007646224</v>
      </c>
      <c r="E1981" s="311">
        <v>0.66160381335405405</v>
      </c>
      <c r="F1981" s="312">
        <v>2308.6390064063216</v>
      </c>
      <c r="G1981" s="311">
        <v>9.9101495078651264E-2</v>
      </c>
      <c r="H1981" s="312">
        <v>23295.703102905612</v>
      </c>
      <c r="I1981" s="311">
        <v>0.12457396750808547</v>
      </c>
      <c r="J1981" s="307"/>
    </row>
    <row r="1982" spans="1:10" ht="28.5">
      <c r="A1982" s="313" t="s">
        <v>304</v>
      </c>
      <c r="B1982" s="312">
        <v>13526.054604615416</v>
      </c>
      <c r="C1982" s="311">
        <v>0.21041311073435839</v>
      </c>
      <c r="D1982" s="312">
        <v>44774.724914158731</v>
      </c>
      <c r="E1982" s="311">
        <v>0.69652159678910208</v>
      </c>
      <c r="F1982" s="312">
        <v>5982.5465411299692</v>
      </c>
      <c r="G1982" s="311">
        <v>9.3065292476543604E-2</v>
      </c>
      <c r="H1982" s="312">
        <v>64283.326059903848</v>
      </c>
      <c r="I1982" s="311">
        <v>0.34375562465420095</v>
      </c>
      <c r="J1982" s="307"/>
    </row>
    <row r="1983" spans="1:10" ht="28.5">
      <c r="A1983" s="313" t="s">
        <v>303</v>
      </c>
      <c r="B1983" s="312">
        <v>9353.1251163485977</v>
      </c>
      <c r="C1983" s="311">
        <v>0.18967968501763477</v>
      </c>
      <c r="D1983" s="312">
        <v>33593.825779790663</v>
      </c>
      <c r="E1983" s="311">
        <v>0.68127670839237164</v>
      </c>
      <c r="F1983" s="312">
        <v>6363.1537441074224</v>
      </c>
      <c r="G1983" s="311">
        <v>0.12904360658999386</v>
      </c>
      <c r="H1983" s="312">
        <v>49310.104640246667</v>
      </c>
      <c r="I1983" s="311">
        <v>0.26368619767085777</v>
      </c>
      <c r="J1983" s="307"/>
    </row>
    <row r="1984" spans="1:10" ht="15.75" thickBot="1">
      <c r="A1984" s="313" t="s">
        <v>302</v>
      </c>
      <c r="B1984" s="312">
        <v>819.84513888888887</v>
      </c>
      <c r="C1984" s="311">
        <v>0.27794865844327288</v>
      </c>
      <c r="D1984" s="312">
        <v>1825.6841269841273</v>
      </c>
      <c r="E1984" s="311">
        <v>0.6189540313968841</v>
      </c>
      <c r="F1984" s="312">
        <v>304.09871031746036</v>
      </c>
      <c r="G1984" s="311">
        <v>0.1030973101598433</v>
      </c>
      <c r="H1984" s="312">
        <v>2949.6279761904757</v>
      </c>
      <c r="I1984" s="311">
        <v>1.5773160313889024E-2</v>
      </c>
      <c r="J1984" s="307"/>
    </row>
    <row r="1985" spans="1:10" ht="15.75" customHeight="1">
      <c r="A1985" s="316" t="s">
        <v>3</v>
      </c>
      <c r="B1985" s="315">
        <v>26660.222228565483</v>
      </c>
      <c r="C1985" s="314">
        <v>0.20378515192065497</v>
      </c>
      <c r="D1985" s="315">
        <v>90378.428297211343</v>
      </c>
      <c r="E1985" s="314">
        <v>0.69083376661291429</v>
      </c>
      <c r="F1985" s="315">
        <v>13786.495356029443</v>
      </c>
      <c r="G1985" s="314">
        <v>0.1053810814664404</v>
      </c>
      <c r="H1985" s="315">
        <v>130825.14588180502</v>
      </c>
      <c r="I1985" s="314">
        <v>1</v>
      </c>
      <c r="J1985" s="307"/>
    </row>
    <row r="1986" spans="1:10">
      <c r="A1986" s="313" t="s">
        <v>309</v>
      </c>
      <c r="B1986" s="312">
        <v>382.62804515745682</v>
      </c>
      <c r="C1986" s="311">
        <v>0.15876074106474505</v>
      </c>
      <c r="D1986" s="312">
        <v>1711.8087938205601</v>
      </c>
      <c r="E1986" s="311">
        <v>0.71026689263266929</v>
      </c>
      <c r="F1986" s="312">
        <v>315.65549613784913</v>
      </c>
      <c r="G1986" s="311">
        <v>0.1309723663025856</v>
      </c>
      <c r="H1986" s="312">
        <v>2410.0923351158663</v>
      </c>
      <c r="I1986" s="311">
        <v>1.8422240761674997E-2</v>
      </c>
      <c r="J1986" s="307"/>
    </row>
    <row r="1987" spans="1:10">
      <c r="A1987" s="313" t="s">
        <v>308</v>
      </c>
      <c r="B1987" s="312">
        <v>1100.3076996378879</v>
      </c>
      <c r="C1987" s="311">
        <v>0.16930400417633845</v>
      </c>
      <c r="D1987" s="312">
        <v>4434.9042460353294</v>
      </c>
      <c r="E1987" s="311">
        <v>0.68239733961648275</v>
      </c>
      <c r="F1987" s="312">
        <v>963.79382203364253</v>
      </c>
      <c r="G1987" s="311">
        <v>0.14829865620718072</v>
      </c>
      <c r="H1987" s="312">
        <v>6499.005767706848</v>
      </c>
      <c r="I1987" s="311">
        <v>4.9677038186362307E-2</v>
      </c>
      <c r="J1987" s="307"/>
    </row>
    <row r="1988" spans="1:10">
      <c r="A1988" s="313" t="s">
        <v>307</v>
      </c>
      <c r="B1988" s="312">
        <v>3548.1493055555561</v>
      </c>
      <c r="C1988" s="311">
        <v>0.24583269473134048</v>
      </c>
      <c r="D1988" s="312">
        <v>9305.1510416666642</v>
      </c>
      <c r="E1988" s="311">
        <v>0.64470521346814802</v>
      </c>
      <c r="F1988" s="312">
        <v>1579.8868634259259</v>
      </c>
      <c r="G1988" s="311">
        <v>0.10946209180051072</v>
      </c>
      <c r="H1988" s="312">
        <v>14433.187210648157</v>
      </c>
      <c r="I1988" s="311">
        <v>0.11032425848535214</v>
      </c>
      <c r="J1988" s="307"/>
    </row>
    <row r="1989" spans="1:10">
      <c r="A1989" s="313" t="s">
        <v>306</v>
      </c>
      <c r="B1989" s="312">
        <v>1910.7562873067245</v>
      </c>
      <c r="C1989" s="311">
        <v>0.16209055883411883</v>
      </c>
      <c r="D1989" s="312">
        <v>7920.9955393743303</v>
      </c>
      <c r="E1989" s="311">
        <v>0.67194262399077287</v>
      </c>
      <c r="F1989" s="312">
        <v>1956.4504045307449</v>
      </c>
      <c r="G1989" s="311">
        <v>0.16596681717510958</v>
      </c>
      <c r="H1989" s="312">
        <v>11788.202231211784</v>
      </c>
      <c r="I1989" s="311">
        <v>9.0106547573521725E-2</v>
      </c>
      <c r="J1989" s="307"/>
    </row>
    <row r="1990" spans="1:10">
      <c r="A1990" s="313" t="s">
        <v>305</v>
      </c>
      <c r="B1990" s="312">
        <v>4841.7162107958911</v>
      </c>
      <c r="C1990" s="311">
        <v>0.2329862299094716</v>
      </c>
      <c r="D1990" s="312">
        <v>14002.519969530345</v>
      </c>
      <c r="E1990" s="311">
        <v>0.67380949128298551</v>
      </c>
      <c r="F1990" s="312">
        <v>1936.8898659519921</v>
      </c>
      <c r="G1990" s="311">
        <v>9.3204278807542076E-2</v>
      </c>
      <c r="H1990" s="312">
        <v>20781.126046278245</v>
      </c>
      <c r="I1990" s="311">
        <v>0.15884657269981653</v>
      </c>
      <c r="J1990" s="307"/>
    </row>
    <row r="1991" spans="1:10" ht="28.5">
      <c r="A1991" s="313" t="s">
        <v>304</v>
      </c>
      <c r="B1991" s="312">
        <v>7858.9495206852771</v>
      </c>
      <c r="C1991" s="311">
        <v>0.20417251297016772</v>
      </c>
      <c r="D1991" s="312">
        <v>27286.613449500124</v>
      </c>
      <c r="E1991" s="311">
        <v>0.7088958166439816</v>
      </c>
      <c r="F1991" s="312">
        <v>3346.1488002112583</v>
      </c>
      <c r="G1991" s="311">
        <v>8.6931670385849744E-2</v>
      </c>
      <c r="H1991" s="312">
        <v>38491.711770396694</v>
      </c>
      <c r="I1991" s="311">
        <v>0.29422257862546031</v>
      </c>
      <c r="J1991" s="307"/>
    </row>
    <row r="1992" spans="1:10" ht="28.5">
      <c r="A1992" s="313" t="s">
        <v>303</v>
      </c>
      <c r="B1992" s="312">
        <v>6572.6055425535142</v>
      </c>
      <c r="C1992" s="311">
        <v>0.19323304635117608</v>
      </c>
      <c r="D1992" s="312">
        <v>23821.211379575529</v>
      </c>
      <c r="E1992" s="311">
        <v>0.70033797294677724</v>
      </c>
      <c r="F1992" s="312">
        <v>3620.0625185987651</v>
      </c>
      <c r="G1992" s="311">
        <v>0.1064289807020402</v>
      </c>
      <c r="H1992" s="312">
        <v>34013.879440728029</v>
      </c>
      <c r="I1992" s="311">
        <v>0.25999496665158034</v>
      </c>
      <c r="J1992" s="307"/>
    </row>
    <row r="1993" spans="1:10" ht="15.75" thickBot="1">
      <c r="A1993" s="310" t="s">
        <v>302</v>
      </c>
      <c r="B1993" s="309">
        <v>445.10961687306502</v>
      </c>
      <c r="C1993" s="308">
        <v>0.18485070943869253</v>
      </c>
      <c r="D1993" s="309">
        <v>1895.2238777089776</v>
      </c>
      <c r="E1993" s="308">
        <v>0.78707236388370694</v>
      </c>
      <c r="F1993" s="309">
        <v>67.607585139318886</v>
      </c>
      <c r="G1993" s="308">
        <v>2.8076926677600512E-2</v>
      </c>
      <c r="H1993" s="309">
        <v>2407.9410797213618</v>
      </c>
      <c r="I1993" s="308">
        <v>1.8405797016246669E-2</v>
      </c>
      <c r="J1993" s="307"/>
    </row>
    <row r="1999" spans="1:10" ht="15.75" thickBot="1"/>
    <row r="2000" spans="1:10" ht="30" customHeight="1">
      <c r="A2000" s="752" t="s">
        <v>310</v>
      </c>
      <c r="B2000" s="763" t="s">
        <v>367</v>
      </c>
      <c r="C2000" s="764"/>
      <c r="D2000" s="764"/>
      <c r="E2000" s="764"/>
      <c r="F2000" s="764"/>
      <c r="G2000" s="764"/>
      <c r="H2000" s="764"/>
      <c r="I2000" s="765"/>
      <c r="J2000" s="307"/>
    </row>
    <row r="2001" spans="1:10" ht="15" customHeight="1">
      <c r="A2001" s="753"/>
      <c r="B2001" s="767" t="s">
        <v>72</v>
      </c>
      <c r="C2001" s="759"/>
      <c r="D2001" s="768" t="s">
        <v>71</v>
      </c>
      <c r="E2001" s="759"/>
      <c r="F2001" s="768" t="s">
        <v>70</v>
      </c>
      <c r="G2001" s="759"/>
      <c r="H2001" s="769" t="s">
        <v>9</v>
      </c>
      <c r="I2001" s="766"/>
      <c r="J2001" s="307"/>
    </row>
    <row r="2002" spans="1:10" ht="15.75" customHeight="1" thickBot="1">
      <c r="A2002" s="754"/>
      <c r="B2002" s="324" t="s">
        <v>7</v>
      </c>
      <c r="C2002" s="318" t="s">
        <v>8</v>
      </c>
      <c r="D2002" s="324" t="s">
        <v>7</v>
      </c>
      <c r="E2002" s="318" t="s">
        <v>8</v>
      </c>
      <c r="F2002" s="324" t="s">
        <v>7</v>
      </c>
      <c r="G2002" s="318" t="s">
        <v>8</v>
      </c>
      <c r="H2002" s="324" t="s">
        <v>7</v>
      </c>
      <c r="I2002" s="318" t="s">
        <v>6</v>
      </c>
      <c r="J2002" s="307"/>
    </row>
    <row r="2003" spans="1:10" ht="15.75" customHeight="1">
      <c r="A2003" s="316" t="s">
        <v>5</v>
      </c>
      <c r="B2003" s="315">
        <v>61967.518104299736</v>
      </c>
      <c r="C2003" s="314">
        <v>0.30964687446759187</v>
      </c>
      <c r="D2003" s="315">
        <v>122931.1779125985</v>
      </c>
      <c r="E2003" s="314">
        <v>0.61427754700755655</v>
      </c>
      <c r="F2003" s="315">
        <v>15224.486917999991</v>
      </c>
      <c r="G2003" s="314">
        <v>7.6075578524813198E-2</v>
      </c>
      <c r="H2003" s="315">
        <v>200123.1829349059</v>
      </c>
      <c r="I2003" s="314">
        <v>1</v>
      </c>
      <c r="J2003" s="307"/>
    </row>
    <row r="2004" spans="1:10">
      <c r="A2004" s="313" t="s">
        <v>309</v>
      </c>
      <c r="B2004" s="312">
        <v>1467.8168197999998</v>
      </c>
      <c r="C2004" s="311">
        <v>0.37231256476223967</v>
      </c>
      <c r="D2004" s="312">
        <v>2241.6960095999993</v>
      </c>
      <c r="E2004" s="311">
        <v>0.5686074580240712</v>
      </c>
      <c r="F2004" s="312">
        <v>232.918769</v>
      </c>
      <c r="G2004" s="311">
        <v>5.9079977213689142E-2</v>
      </c>
      <c r="H2004" s="312">
        <v>3942.4315983999991</v>
      </c>
      <c r="I2004" s="311">
        <v>1.9700024457847819E-2</v>
      </c>
      <c r="J2004" s="307"/>
    </row>
    <row r="2005" spans="1:10">
      <c r="A2005" s="313" t="s">
        <v>308</v>
      </c>
      <c r="B2005" s="312">
        <v>1813.986348000001</v>
      </c>
      <c r="C2005" s="311">
        <v>0.2207046112860091</v>
      </c>
      <c r="D2005" s="312">
        <v>5600.1716810000053</v>
      </c>
      <c r="E2005" s="311">
        <v>0.68136329435596266</v>
      </c>
      <c r="F2005" s="312">
        <v>804.9106049999998</v>
      </c>
      <c r="G2005" s="311">
        <v>9.7932094358028368E-2</v>
      </c>
      <c r="H2005" s="312">
        <v>8219.0686340000047</v>
      </c>
      <c r="I2005" s="311">
        <v>4.1070047525045721E-2</v>
      </c>
      <c r="J2005" s="307"/>
    </row>
    <row r="2006" spans="1:10">
      <c r="A2006" s="313" t="s">
        <v>307</v>
      </c>
      <c r="B2006" s="312">
        <v>7301.0508459999974</v>
      </c>
      <c r="C2006" s="311">
        <v>0.4756494546188143</v>
      </c>
      <c r="D2006" s="312">
        <v>7645.4775649999974</v>
      </c>
      <c r="E2006" s="311">
        <v>0.49808819453503506</v>
      </c>
      <c r="F2006" s="312">
        <v>403.11779399999995</v>
      </c>
      <c r="G2006" s="311">
        <v>2.6262350846150997E-2</v>
      </c>
      <c r="H2006" s="312">
        <v>15349.64620499999</v>
      </c>
      <c r="I2006" s="311">
        <v>7.6700989759855925E-2</v>
      </c>
      <c r="J2006" s="307"/>
    </row>
    <row r="2007" spans="1:10">
      <c r="A2007" s="313" t="s">
        <v>306</v>
      </c>
      <c r="B2007" s="312">
        <v>6670.8393724999987</v>
      </c>
      <c r="C2007" s="311">
        <v>0.38872396050297991</v>
      </c>
      <c r="D2007" s="312">
        <v>9729.8888319999969</v>
      </c>
      <c r="E2007" s="311">
        <v>0.56698126140178673</v>
      </c>
      <c r="F2007" s="312">
        <v>760.1367029999999</v>
      </c>
      <c r="G2007" s="311">
        <v>4.429477809523398E-2</v>
      </c>
      <c r="H2007" s="312">
        <v>17160.864907499985</v>
      </c>
      <c r="I2007" s="311">
        <v>8.575150892479011E-2</v>
      </c>
      <c r="J2007" s="307"/>
    </row>
    <row r="2008" spans="1:10">
      <c r="A2008" s="313" t="s">
        <v>305</v>
      </c>
      <c r="B2008" s="312">
        <v>9477.7920489999997</v>
      </c>
      <c r="C2008" s="311">
        <v>0.36029631161051251</v>
      </c>
      <c r="D2008" s="312">
        <v>15005.215906999963</v>
      </c>
      <c r="E2008" s="311">
        <v>0.57042019051071047</v>
      </c>
      <c r="F2008" s="312">
        <v>1822.5404039999999</v>
      </c>
      <c r="G2008" s="311">
        <v>6.9283497878771957E-2</v>
      </c>
      <c r="H2008" s="312">
        <v>26305.548360000095</v>
      </c>
      <c r="I2008" s="311">
        <v>0.13144678179817132</v>
      </c>
      <c r="J2008" s="307"/>
    </row>
    <row r="2009" spans="1:10" ht="28.5">
      <c r="A2009" s="313" t="s">
        <v>304</v>
      </c>
      <c r="B2009" s="312">
        <v>19069.399411999981</v>
      </c>
      <c r="C2009" s="311">
        <v>0.25603164116535498</v>
      </c>
      <c r="D2009" s="312">
        <v>48742.723878999161</v>
      </c>
      <c r="E2009" s="311">
        <v>0.65443485240320087</v>
      </c>
      <c r="F2009" s="312">
        <v>6668.5124820000165</v>
      </c>
      <c r="G2009" s="311">
        <v>8.9533506431446308E-2</v>
      </c>
      <c r="H2009" s="312">
        <v>74480.635772998998</v>
      </c>
      <c r="I2009" s="311">
        <v>0.37217395146680893</v>
      </c>
      <c r="J2009" s="307"/>
    </row>
    <row r="2010" spans="1:10" ht="28.5">
      <c r="A2010" s="313" t="s">
        <v>303</v>
      </c>
      <c r="B2010" s="312">
        <v>15186.924917000031</v>
      </c>
      <c r="C2010" s="311">
        <v>0.29402178910193927</v>
      </c>
      <c r="D2010" s="312">
        <v>31933.104031000028</v>
      </c>
      <c r="E2010" s="311">
        <v>0.61823103953474012</v>
      </c>
      <c r="F2010" s="312">
        <v>4532.3501609999985</v>
      </c>
      <c r="G2010" s="311">
        <v>8.7747171363307216E-2</v>
      </c>
      <c r="H2010" s="312">
        <v>51652.379109000751</v>
      </c>
      <c r="I2010" s="311">
        <v>0.25810292616523961</v>
      </c>
      <c r="J2010" s="307"/>
    </row>
    <row r="2011" spans="1:10" ht="15.75" thickBot="1">
      <c r="A2011" s="313" t="s">
        <v>302</v>
      </c>
      <c r="B2011" s="312">
        <v>979.70833999999979</v>
      </c>
      <c r="C2011" s="311">
        <v>0.32520269043614825</v>
      </c>
      <c r="D2011" s="312">
        <v>2032.9000080000003</v>
      </c>
      <c r="E2011" s="311">
        <v>0.67479730956385198</v>
      </c>
      <c r="F2011" s="312">
        <v>0</v>
      </c>
      <c r="G2011" s="311">
        <v>0</v>
      </c>
      <c r="H2011" s="312">
        <v>3012.6083479999993</v>
      </c>
      <c r="I2011" s="311">
        <v>1.5053769902210235E-2</v>
      </c>
      <c r="J2011" s="307"/>
    </row>
    <row r="2012" spans="1:10" ht="15" customHeight="1">
      <c r="A2012" s="316" t="s">
        <v>4</v>
      </c>
      <c r="B2012" s="315">
        <v>61117.134174040584</v>
      </c>
      <c r="C2012" s="314">
        <v>0.326824387019021</v>
      </c>
      <c r="D2012" s="315">
        <v>115473.81168411479</v>
      </c>
      <c r="E2012" s="314">
        <v>0.61749717539014692</v>
      </c>
      <c r="F2012" s="315">
        <v>10412.033728198339</v>
      </c>
      <c r="G2012" s="314">
        <v>5.5678437590831506E-2</v>
      </c>
      <c r="H2012" s="315">
        <v>187002.97958635382</v>
      </c>
      <c r="I2012" s="314">
        <v>1</v>
      </c>
      <c r="J2012" s="307"/>
    </row>
    <row r="2013" spans="1:10">
      <c r="A2013" s="313" t="s">
        <v>309</v>
      </c>
      <c r="B2013" s="312">
        <v>1610.2865095430886</v>
      </c>
      <c r="C2013" s="311">
        <v>0.27649301937608878</v>
      </c>
      <c r="D2013" s="312">
        <v>3973.2717611336066</v>
      </c>
      <c r="E2013" s="311">
        <v>0.68222760330352528</v>
      </c>
      <c r="F2013" s="312">
        <v>240.40977443609023</v>
      </c>
      <c r="G2013" s="311">
        <v>4.127937732038757E-2</v>
      </c>
      <c r="H2013" s="312">
        <v>5823.9680451127761</v>
      </c>
      <c r="I2013" s="311">
        <v>3.1143717912919124E-2</v>
      </c>
      <c r="J2013" s="307"/>
    </row>
    <row r="2014" spans="1:10">
      <c r="A2014" s="313" t="s">
        <v>308</v>
      </c>
      <c r="B2014" s="312">
        <v>2995.7564902462236</v>
      </c>
      <c r="C2014" s="311">
        <v>0.36764639101094138</v>
      </c>
      <c r="D2014" s="312">
        <v>4492.394242869299</v>
      </c>
      <c r="E2014" s="311">
        <v>0.55131735031423756</v>
      </c>
      <c r="F2014" s="312">
        <v>660.32172164896076</v>
      </c>
      <c r="G2014" s="311">
        <v>8.103625867482267E-2</v>
      </c>
      <c r="H2014" s="312">
        <v>8148.4724547644701</v>
      </c>
      <c r="I2014" s="311">
        <v>4.3574024717620535E-2</v>
      </c>
      <c r="J2014" s="307"/>
    </row>
    <row r="2015" spans="1:10">
      <c r="A2015" s="313" t="s">
        <v>307</v>
      </c>
      <c r="B2015" s="312">
        <v>7551.7766630652877</v>
      </c>
      <c r="C2015" s="311">
        <v>0.4640889103548298</v>
      </c>
      <c r="D2015" s="312">
        <v>7610.2122755569271</v>
      </c>
      <c r="E2015" s="311">
        <v>0.46768002817215076</v>
      </c>
      <c r="F2015" s="312">
        <v>1110.2737562381024</v>
      </c>
      <c r="G2015" s="311">
        <v>6.8231061473017274E-2</v>
      </c>
      <c r="H2015" s="312">
        <v>16272.262694860352</v>
      </c>
      <c r="I2015" s="311">
        <v>8.701606108551968E-2</v>
      </c>
      <c r="J2015" s="307"/>
    </row>
    <row r="2016" spans="1:10">
      <c r="A2016" s="313" t="s">
        <v>306</v>
      </c>
      <c r="B2016" s="312">
        <v>6802.4284546246536</v>
      </c>
      <c r="C2016" s="311">
        <v>0.40204631222999837</v>
      </c>
      <c r="D2016" s="312">
        <v>9890.5667425562369</v>
      </c>
      <c r="E2016" s="311">
        <v>0.58456563141152762</v>
      </c>
      <c r="F2016" s="312">
        <v>226.51941518847008</v>
      </c>
      <c r="G2016" s="311">
        <v>1.338805635847668E-2</v>
      </c>
      <c r="H2016" s="312">
        <v>16919.514612369316</v>
      </c>
      <c r="I2016" s="311">
        <v>9.0477246136905845E-2</v>
      </c>
      <c r="J2016" s="307"/>
    </row>
    <row r="2017" spans="1:10">
      <c r="A2017" s="313" t="s">
        <v>305</v>
      </c>
      <c r="B2017" s="312">
        <v>9200.6315160758295</v>
      </c>
      <c r="C2017" s="311">
        <v>0.39494972422310182</v>
      </c>
      <c r="D2017" s="312">
        <v>13079.946735717682</v>
      </c>
      <c r="E2017" s="311">
        <v>0.56147464954969539</v>
      </c>
      <c r="F2017" s="312">
        <v>1015.124851111957</v>
      </c>
      <c r="G2017" s="311">
        <v>4.3575626227196518E-2</v>
      </c>
      <c r="H2017" s="312">
        <v>23295.703102905612</v>
      </c>
      <c r="I2017" s="311">
        <v>0.12457396750808547</v>
      </c>
      <c r="J2017" s="307"/>
    </row>
    <row r="2018" spans="1:10" ht="28.5">
      <c r="A2018" s="313" t="s">
        <v>304</v>
      </c>
      <c r="B2018" s="312">
        <v>16648.59124140022</v>
      </c>
      <c r="C2018" s="311">
        <v>0.25898770741709692</v>
      </c>
      <c r="D2018" s="312">
        <v>43579.205689841059</v>
      </c>
      <c r="E2018" s="311">
        <v>0.67792394017121649</v>
      </c>
      <c r="F2018" s="312">
        <v>4055.5291286628858</v>
      </c>
      <c r="G2018" s="311">
        <v>6.3088352411691501E-2</v>
      </c>
      <c r="H2018" s="312">
        <v>64283.326059903848</v>
      </c>
      <c r="I2018" s="311">
        <v>0.34375562465420095</v>
      </c>
      <c r="J2018" s="307"/>
    </row>
    <row r="2019" spans="1:10" ht="28.5">
      <c r="A2019" s="313" t="s">
        <v>303</v>
      </c>
      <c r="B2019" s="312">
        <v>15009.154271307501</v>
      </c>
      <c r="C2019" s="311">
        <v>0.30438293288587148</v>
      </c>
      <c r="D2019" s="312">
        <v>31270.6890380273</v>
      </c>
      <c r="E2019" s="311">
        <v>0.63416391561465713</v>
      </c>
      <c r="F2019" s="312">
        <v>3030.2613309118883</v>
      </c>
      <c r="G2019" s="311">
        <v>6.1453151499471857E-2</v>
      </c>
      <c r="H2019" s="312">
        <v>49310.104640246667</v>
      </c>
      <c r="I2019" s="311">
        <v>0.26368619767085777</v>
      </c>
      <c r="J2019" s="307"/>
    </row>
    <row r="2020" spans="1:10" ht="15.75" thickBot="1">
      <c r="A2020" s="313" t="s">
        <v>302</v>
      </c>
      <c r="B2020" s="312">
        <v>1298.5090277777779</v>
      </c>
      <c r="C2020" s="311">
        <v>0.44022806884780002</v>
      </c>
      <c r="D2020" s="312">
        <v>1577.5251984126987</v>
      </c>
      <c r="E2020" s="311">
        <v>0.53482175079248984</v>
      </c>
      <c r="F2020" s="312">
        <v>73.59375</v>
      </c>
      <c r="G2020" s="311">
        <v>2.495018035971042E-2</v>
      </c>
      <c r="H2020" s="312">
        <v>2949.6279761904757</v>
      </c>
      <c r="I2020" s="311">
        <v>1.5773160313889024E-2</v>
      </c>
      <c r="J2020" s="307"/>
    </row>
    <row r="2021" spans="1:10" ht="15.75" customHeight="1">
      <c r="A2021" s="316" t="s">
        <v>3</v>
      </c>
      <c r="B2021" s="315">
        <v>43367.158192104667</v>
      </c>
      <c r="C2021" s="314">
        <v>0.33148946939669427</v>
      </c>
      <c r="D2021" s="315">
        <v>81396.619310017937</v>
      </c>
      <c r="E2021" s="314">
        <v>0.62217870090170846</v>
      </c>
      <c r="F2021" s="315">
        <v>6061.3683796838504</v>
      </c>
      <c r="G2021" s="314">
        <v>4.633182970160829E-2</v>
      </c>
      <c r="H2021" s="315">
        <v>130825.14588180502</v>
      </c>
      <c r="I2021" s="314">
        <v>1</v>
      </c>
      <c r="J2021" s="307"/>
    </row>
    <row r="2022" spans="1:10">
      <c r="A2022" s="313" t="s">
        <v>309</v>
      </c>
      <c r="B2022" s="312">
        <v>338.9500891265597</v>
      </c>
      <c r="C2022" s="311">
        <v>0.14063780220697</v>
      </c>
      <c r="D2022" s="312">
        <v>1938.6193701723134</v>
      </c>
      <c r="E2022" s="311">
        <v>0.80437555936175931</v>
      </c>
      <c r="F2022" s="312">
        <v>132.52287581699346</v>
      </c>
      <c r="G2022" s="311">
        <v>5.4986638431270878E-2</v>
      </c>
      <c r="H2022" s="312">
        <v>2410.0923351158663</v>
      </c>
      <c r="I2022" s="311">
        <v>1.8422240761674997E-2</v>
      </c>
      <c r="J2022" s="307"/>
    </row>
    <row r="2023" spans="1:10">
      <c r="A2023" s="313" t="s">
        <v>308</v>
      </c>
      <c r="B2023" s="312">
        <v>2289.6646855847484</v>
      </c>
      <c r="C2023" s="311">
        <v>0.35230999439359612</v>
      </c>
      <c r="D2023" s="312">
        <v>3836.8753874394392</v>
      </c>
      <c r="E2023" s="311">
        <v>0.59037882478957515</v>
      </c>
      <c r="F2023" s="312">
        <v>372.46569468267563</v>
      </c>
      <c r="G2023" s="311">
        <v>5.7311180816831141E-2</v>
      </c>
      <c r="H2023" s="312">
        <v>6499.005767706848</v>
      </c>
      <c r="I2023" s="311">
        <v>4.9677038186362307E-2</v>
      </c>
      <c r="J2023" s="307"/>
    </row>
    <row r="2024" spans="1:10">
      <c r="A2024" s="313" t="s">
        <v>307</v>
      </c>
      <c r="B2024" s="312">
        <v>6186.0601851851825</v>
      </c>
      <c r="C2024" s="311">
        <v>0.42859973302510651</v>
      </c>
      <c r="D2024" s="312">
        <v>7409.3515624999964</v>
      </c>
      <c r="E2024" s="311">
        <v>0.51335518997728447</v>
      </c>
      <c r="F2024" s="312">
        <v>837.77546296296293</v>
      </c>
      <c r="G2024" s="311">
        <v>5.8045076997607976E-2</v>
      </c>
      <c r="H2024" s="312">
        <v>14433.187210648157</v>
      </c>
      <c r="I2024" s="311">
        <v>0.11032425848535214</v>
      </c>
      <c r="J2024" s="307"/>
    </row>
    <row r="2025" spans="1:10">
      <c r="A2025" s="313" t="s">
        <v>306</v>
      </c>
      <c r="B2025" s="312">
        <v>4126.1181067961079</v>
      </c>
      <c r="C2025" s="311">
        <v>0.35002098079648897</v>
      </c>
      <c r="D2025" s="312">
        <v>7256.6504063286593</v>
      </c>
      <c r="E2025" s="311">
        <v>0.61558584286203766</v>
      </c>
      <c r="F2025" s="312">
        <v>405.43371808701909</v>
      </c>
      <c r="G2025" s="311">
        <v>3.4393176341473569E-2</v>
      </c>
      <c r="H2025" s="312">
        <v>11788.202231211784</v>
      </c>
      <c r="I2025" s="311">
        <v>9.0106547573521725E-2</v>
      </c>
      <c r="J2025" s="307"/>
    </row>
    <row r="2026" spans="1:10">
      <c r="A2026" s="313" t="s">
        <v>305</v>
      </c>
      <c r="B2026" s="312">
        <v>8117.0059403232535</v>
      </c>
      <c r="C2026" s="311">
        <v>0.39059509683196175</v>
      </c>
      <c r="D2026" s="312">
        <v>11808.457105813583</v>
      </c>
      <c r="E2026" s="311">
        <v>0.56822989666281321</v>
      </c>
      <c r="F2026" s="312">
        <v>855.66300014143326</v>
      </c>
      <c r="G2026" s="311">
        <v>4.1175006505226236E-2</v>
      </c>
      <c r="H2026" s="312">
        <v>20781.126046278245</v>
      </c>
      <c r="I2026" s="311">
        <v>0.15884657269981653</v>
      </c>
      <c r="J2026" s="307"/>
    </row>
    <row r="2027" spans="1:10" ht="28.5">
      <c r="A2027" s="313" t="s">
        <v>304</v>
      </c>
      <c r="B2027" s="312">
        <v>11186.082883130306</v>
      </c>
      <c r="C2027" s="311">
        <v>0.29061016953092034</v>
      </c>
      <c r="D2027" s="312">
        <v>25607.104909250545</v>
      </c>
      <c r="E2027" s="311">
        <v>0.66526282494260303</v>
      </c>
      <c r="F2027" s="312">
        <v>1698.5239780157699</v>
      </c>
      <c r="G2027" s="311">
        <v>4.4127005526474798E-2</v>
      </c>
      <c r="H2027" s="312">
        <v>38491.711770396694</v>
      </c>
      <c r="I2027" s="311">
        <v>0.29422257862546031</v>
      </c>
      <c r="J2027" s="307"/>
    </row>
    <row r="2028" spans="1:10" ht="28.5">
      <c r="A2028" s="313" t="s">
        <v>303</v>
      </c>
      <c r="B2028" s="312">
        <v>10453.590349945931</v>
      </c>
      <c r="C2028" s="311">
        <v>0.30733308054913783</v>
      </c>
      <c r="D2028" s="312">
        <v>22064.175893591237</v>
      </c>
      <c r="E2028" s="311">
        <v>0.64868154578015336</v>
      </c>
      <c r="F2028" s="312">
        <v>1496.113197190627</v>
      </c>
      <c r="G2028" s="311">
        <v>4.3985373670701898E-2</v>
      </c>
      <c r="H2028" s="312">
        <v>34013.879440728029</v>
      </c>
      <c r="I2028" s="311">
        <v>0.25999496665158034</v>
      </c>
      <c r="J2028" s="307"/>
    </row>
    <row r="2029" spans="1:10" ht="15.75" thickBot="1">
      <c r="A2029" s="310" t="s">
        <v>302</v>
      </c>
      <c r="B2029" s="309">
        <v>669.68595201238384</v>
      </c>
      <c r="C2029" s="308">
        <v>0.27811558914468021</v>
      </c>
      <c r="D2029" s="309">
        <v>1475.3846749226002</v>
      </c>
      <c r="E2029" s="308">
        <v>0.61271626924248757</v>
      </c>
      <c r="F2029" s="309">
        <v>262.87045278637771</v>
      </c>
      <c r="G2029" s="308">
        <v>0.1091681416128322</v>
      </c>
      <c r="H2029" s="309">
        <v>2407.9410797213618</v>
      </c>
      <c r="I2029" s="308">
        <v>1.8405797016246669E-2</v>
      </c>
      <c r="J2029" s="307"/>
    </row>
    <row r="2033" spans="1:10" ht="15.75" thickBot="1"/>
    <row r="2034" spans="1:10" ht="34.5" customHeight="1">
      <c r="A2034" s="752" t="s">
        <v>310</v>
      </c>
      <c r="B2034" s="755" t="s">
        <v>368</v>
      </c>
      <c r="C2034" s="756"/>
      <c r="D2034" s="756"/>
      <c r="E2034" s="756"/>
      <c r="F2034" s="756"/>
      <c r="G2034" s="756"/>
      <c r="H2034" s="756"/>
      <c r="I2034" s="757"/>
      <c r="J2034" s="307"/>
    </row>
    <row r="2035" spans="1:10" ht="15" customHeight="1">
      <c r="A2035" s="753"/>
      <c r="B2035" s="767" t="s">
        <v>72</v>
      </c>
      <c r="C2035" s="759"/>
      <c r="D2035" s="768" t="s">
        <v>71</v>
      </c>
      <c r="E2035" s="759"/>
      <c r="F2035" s="768" t="s">
        <v>70</v>
      </c>
      <c r="G2035" s="759"/>
      <c r="H2035" s="769" t="s">
        <v>9</v>
      </c>
      <c r="I2035" s="762"/>
      <c r="J2035" s="307"/>
    </row>
    <row r="2036" spans="1:10" ht="15.75" customHeight="1" thickBot="1">
      <c r="A2036" s="754"/>
      <c r="B2036" s="324" t="s">
        <v>7</v>
      </c>
      <c r="C2036" s="318" t="s">
        <v>8</v>
      </c>
      <c r="D2036" s="324" t="s">
        <v>7</v>
      </c>
      <c r="E2036" s="318" t="s">
        <v>8</v>
      </c>
      <c r="F2036" s="324" t="s">
        <v>7</v>
      </c>
      <c r="G2036" s="318" t="s">
        <v>8</v>
      </c>
      <c r="H2036" s="324" t="s">
        <v>7</v>
      </c>
      <c r="I2036" s="317" t="s">
        <v>6</v>
      </c>
      <c r="J2036" s="307"/>
    </row>
    <row r="2037" spans="1:10" ht="15.75" customHeight="1">
      <c r="A2037" s="316" t="s">
        <v>5</v>
      </c>
      <c r="B2037" s="315">
        <v>20063.661772300034</v>
      </c>
      <c r="C2037" s="314">
        <v>0.10025655937536306</v>
      </c>
      <c r="D2037" s="315">
        <v>126804.05740579864</v>
      </c>
      <c r="E2037" s="314">
        <v>0.63363002499837418</v>
      </c>
      <c r="F2037" s="315">
        <v>53255.463756799923</v>
      </c>
      <c r="G2037" s="314">
        <v>0.26611341562622626</v>
      </c>
      <c r="H2037" s="315">
        <v>200123.1829349059</v>
      </c>
      <c r="I2037" s="314">
        <v>1</v>
      </c>
      <c r="J2037" s="307"/>
    </row>
    <row r="2038" spans="1:10">
      <c r="A2038" s="313" t="s">
        <v>309</v>
      </c>
      <c r="B2038" s="312">
        <v>555.71615680000014</v>
      </c>
      <c r="C2038" s="311">
        <v>0.14095771681252064</v>
      </c>
      <c r="D2038" s="312">
        <v>2881.4487837999991</v>
      </c>
      <c r="E2038" s="311">
        <v>0.73088111026946156</v>
      </c>
      <c r="F2038" s="312">
        <v>505.26665780000013</v>
      </c>
      <c r="G2038" s="311">
        <v>0.12816117291801793</v>
      </c>
      <c r="H2038" s="312">
        <v>3942.4315983999991</v>
      </c>
      <c r="I2038" s="311">
        <f t="shared" ref="I2038:I2045" si="0">+H2038/$H$2037</f>
        <v>1.9700024457847819E-2</v>
      </c>
      <c r="J2038" s="307"/>
    </row>
    <row r="2039" spans="1:10">
      <c r="A2039" s="313" t="s">
        <v>308</v>
      </c>
      <c r="B2039" s="312">
        <v>577.03224</v>
      </c>
      <c r="C2039" s="311">
        <v>7.0206524083881949E-2</v>
      </c>
      <c r="D2039" s="312">
        <v>4560.6178030000037</v>
      </c>
      <c r="E2039" s="311">
        <v>0.55488255495689554</v>
      </c>
      <c r="F2039" s="312">
        <v>3081.4185910000037</v>
      </c>
      <c r="G2039" s="311">
        <v>0.3749109209592229</v>
      </c>
      <c r="H2039" s="312">
        <v>8219.0686340000047</v>
      </c>
      <c r="I2039" s="311">
        <f t="shared" si="0"/>
        <v>4.1070047525045728E-2</v>
      </c>
      <c r="J2039" s="307"/>
    </row>
    <row r="2040" spans="1:10">
      <c r="A2040" s="313" t="s">
        <v>307</v>
      </c>
      <c r="B2040" s="312">
        <v>1325.2517230000001</v>
      </c>
      <c r="C2040" s="311">
        <v>8.633760708884046E-2</v>
      </c>
      <c r="D2040" s="312">
        <v>9844.0994899999932</v>
      </c>
      <c r="E2040" s="311">
        <v>0.64132419461195</v>
      </c>
      <c r="F2040" s="312">
        <v>4180.294992000001</v>
      </c>
      <c r="G2040" s="311">
        <v>0.2723381982992098</v>
      </c>
      <c r="H2040" s="312">
        <v>15349.64620499999</v>
      </c>
      <c r="I2040" s="311">
        <f t="shared" si="0"/>
        <v>7.6700989759855925E-2</v>
      </c>
      <c r="J2040" s="307"/>
    </row>
    <row r="2041" spans="1:10">
      <c r="A2041" s="313" t="s">
        <v>306</v>
      </c>
      <c r="B2041" s="312">
        <v>1838.7436375</v>
      </c>
      <c r="C2041" s="311">
        <v>0.10714749212298708</v>
      </c>
      <c r="D2041" s="312">
        <v>11470.258957999993</v>
      </c>
      <c r="E2041" s="311">
        <v>0.66839632033855312</v>
      </c>
      <c r="F2041" s="312">
        <v>3851.8623120000002</v>
      </c>
      <c r="G2041" s="311">
        <v>0.22445618753846039</v>
      </c>
      <c r="H2041" s="312">
        <v>17160.864907499985</v>
      </c>
      <c r="I2041" s="311">
        <f t="shared" si="0"/>
        <v>8.5751508924790096E-2</v>
      </c>
      <c r="J2041" s="307"/>
    </row>
    <row r="2042" spans="1:10">
      <c r="A2042" s="313" t="s">
        <v>305</v>
      </c>
      <c r="B2042" s="312">
        <v>3107.9454229999988</v>
      </c>
      <c r="C2042" s="311">
        <v>0.11814790478672947</v>
      </c>
      <c r="D2042" s="312">
        <v>16560.007430999965</v>
      </c>
      <c r="E2042" s="311">
        <v>0.62952526989252644</v>
      </c>
      <c r="F2042" s="312">
        <v>6637.5955060000078</v>
      </c>
      <c r="G2042" s="311">
        <v>0.25232682532073947</v>
      </c>
      <c r="H2042" s="312">
        <v>26305.548360000095</v>
      </c>
      <c r="I2042" s="311">
        <f t="shared" si="0"/>
        <v>0.13144678179817132</v>
      </c>
      <c r="J2042" s="307"/>
    </row>
    <row r="2043" spans="1:10" ht="28.5">
      <c r="A2043" s="313" t="s">
        <v>304</v>
      </c>
      <c r="B2043" s="312">
        <v>7193.2014910000198</v>
      </c>
      <c r="C2043" s="311">
        <v>9.657814298099382E-2</v>
      </c>
      <c r="D2043" s="312">
        <v>46234.677993999132</v>
      </c>
      <c r="E2043" s="311">
        <v>0.62076105438885509</v>
      </c>
      <c r="F2043" s="312">
        <v>21052.756288000004</v>
      </c>
      <c r="G2043" s="311">
        <v>0.28266080263015331</v>
      </c>
      <c r="H2043" s="312">
        <v>74480.635772998998</v>
      </c>
      <c r="I2043" s="311">
        <f t="shared" si="0"/>
        <v>0.37217395146680898</v>
      </c>
      <c r="J2043" s="307"/>
    </row>
    <row r="2044" spans="1:10" ht="28.5">
      <c r="A2044" s="313" t="s">
        <v>303</v>
      </c>
      <c r="B2044" s="312">
        <v>4831.9460989999989</v>
      </c>
      <c r="C2044" s="311">
        <v>9.3547406379931919E-2</v>
      </c>
      <c r="D2044" s="312">
        <v>33601.380278000091</v>
      </c>
      <c r="E2044" s="311">
        <v>0.65052918873479026</v>
      </c>
      <c r="F2044" s="312">
        <v>13219.052732000026</v>
      </c>
      <c r="G2044" s="311">
        <v>0.25592340488526544</v>
      </c>
      <c r="H2044" s="312">
        <v>51652.379109000751</v>
      </c>
      <c r="I2044" s="311">
        <f t="shared" si="0"/>
        <v>0.25810292616523961</v>
      </c>
      <c r="J2044" s="307"/>
    </row>
    <row r="2045" spans="1:10" ht="15.75" thickBot="1">
      <c r="A2045" s="313" t="s">
        <v>302</v>
      </c>
      <c r="B2045" s="312">
        <v>633.82500199999993</v>
      </c>
      <c r="C2045" s="311">
        <v>0.21039077396860484</v>
      </c>
      <c r="D2045" s="312">
        <v>1651.5666680000002</v>
      </c>
      <c r="E2045" s="311">
        <v>0.54821818079885387</v>
      </c>
      <c r="F2045" s="312">
        <v>727.21667799999989</v>
      </c>
      <c r="G2045" s="311">
        <v>0.24139104523254148</v>
      </c>
      <c r="H2045" s="312">
        <v>3012.6083479999993</v>
      </c>
      <c r="I2045" s="311">
        <f t="shared" si="0"/>
        <v>1.5053769902210235E-2</v>
      </c>
      <c r="J2045" s="307"/>
    </row>
    <row r="2046" spans="1:10" ht="15" customHeight="1">
      <c r="A2046" s="316" t="s">
        <v>4</v>
      </c>
      <c r="B2046" s="315">
        <v>18991.35729979198</v>
      </c>
      <c r="C2046" s="314">
        <v>0.10155644226525382</v>
      </c>
      <c r="D2046" s="315">
        <v>122129.25437723055</v>
      </c>
      <c r="E2046" s="314">
        <v>0.6530872109491388</v>
      </c>
      <c r="F2046" s="315">
        <v>45882.367909331413</v>
      </c>
      <c r="G2046" s="314">
        <v>0.24535634678560808</v>
      </c>
      <c r="H2046" s="315">
        <v>187002.97958635382</v>
      </c>
      <c r="I2046" s="314">
        <v>1</v>
      </c>
      <c r="J2046" s="307"/>
    </row>
    <row r="2047" spans="1:10">
      <c r="A2047" s="313" t="s">
        <v>309</v>
      </c>
      <c r="B2047" s="312">
        <v>663.67625795257368</v>
      </c>
      <c r="C2047" s="311">
        <v>0.11395602668347438</v>
      </c>
      <c r="D2047" s="312">
        <v>4096.9749855407781</v>
      </c>
      <c r="E2047" s="311">
        <v>0.70346797128785488</v>
      </c>
      <c r="F2047" s="312">
        <v>1063.3168016194329</v>
      </c>
      <c r="G2047" s="311">
        <v>0.1825760020286723</v>
      </c>
      <c r="H2047" s="312">
        <v>5823.9680451127761</v>
      </c>
      <c r="I2047" s="311">
        <v>3.1143717912919124E-2</v>
      </c>
      <c r="J2047" s="307"/>
    </row>
    <row r="2048" spans="1:10">
      <c r="A2048" s="313" t="s">
        <v>308</v>
      </c>
      <c r="B2048" s="312">
        <v>554.46717980729932</v>
      </c>
      <c r="C2048" s="311">
        <v>6.8045536495996664E-2</v>
      </c>
      <c r="D2048" s="312">
        <v>4947.289173157943</v>
      </c>
      <c r="E2048" s="311">
        <v>0.60714314254878876</v>
      </c>
      <c r="F2048" s="312">
        <v>2646.7161017992362</v>
      </c>
      <c r="G2048" s="311">
        <v>0.32481132095521564</v>
      </c>
      <c r="H2048" s="312">
        <v>8148.4724547644701</v>
      </c>
      <c r="I2048" s="311">
        <v>4.3574024717620535E-2</v>
      </c>
      <c r="J2048" s="307"/>
    </row>
    <row r="2049" spans="1:10">
      <c r="A2049" s="313" t="s">
        <v>307</v>
      </c>
      <c r="B2049" s="312">
        <v>1099.3598806400162</v>
      </c>
      <c r="C2049" s="311">
        <v>6.7560357232141571E-2</v>
      </c>
      <c r="D2049" s="312">
        <v>10475.640891084025</v>
      </c>
      <c r="E2049" s="311">
        <v>0.64377284754582975</v>
      </c>
      <c r="F2049" s="312">
        <v>4697.2619231362887</v>
      </c>
      <c r="G2049" s="311">
        <v>0.28866679522202737</v>
      </c>
      <c r="H2049" s="312">
        <v>16272.262694860352</v>
      </c>
      <c r="I2049" s="311">
        <v>8.701606108551968E-2</v>
      </c>
      <c r="J2049" s="307"/>
    </row>
    <row r="2050" spans="1:10">
      <c r="A2050" s="313" t="s">
        <v>306</v>
      </c>
      <c r="B2050" s="312">
        <v>2047.7652914159007</v>
      </c>
      <c r="C2050" s="311">
        <v>0.12102978946682341</v>
      </c>
      <c r="D2050" s="312">
        <v>9954.5814578714071</v>
      </c>
      <c r="E2050" s="311">
        <v>0.58834911555878389</v>
      </c>
      <c r="F2050" s="312">
        <v>4917.1678630820461</v>
      </c>
      <c r="G2050" s="311">
        <v>0.29062109497439492</v>
      </c>
      <c r="H2050" s="312">
        <v>16919.514612369316</v>
      </c>
      <c r="I2050" s="311">
        <v>9.0477246136905845E-2</v>
      </c>
      <c r="J2050" s="307"/>
    </row>
    <row r="2051" spans="1:10">
      <c r="A2051" s="313" t="s">
        <v>305</v>
      </c>
      <c r="B2051" s="312">
        <v>2325.8108649521055</v>
      </c>
      <c r="C2051" s="311">
        <v>9.9838620653695281E-2</v>
      </c>
      <c r="D2051" s="312">
        <v>14929.443763599502</v>
      </c>
      <c r="E2051" s="311">
        <v>0.6408668456002683</v>
      </c>
      <c r="F2051" s="312">
        <v>6040.4484743538633</v>
      </c>
      <c r="G2051" s="311">
        <v>0.25929453374603034</v>
      </c>
      <c r="H2051" s="312">
        <v>23295.703102905612</v>
      </c>
      <c r="I2051" s="311">
        <v>0.12457396750808547</v>
      </c>
      <c r="J2051" s="307"/>
    </row>
    <row r="2052" spans="1:10" ht="28.5">
      <c r="A2052" s="313" t="s">
        <v>304</v>
      </c>
      <c r="B2052" s="312">
        <v>6452.6783848969535</v>
      </c>
      <c r="C2052" s="311">
        <v>0.10037872618607011</v>
      </c>
      <c r="D2052" s="312">
        <v>43391.477992806678</v>
      </c>
      <c r="E2052" s="311">
        <v>0.67500362306037742</v>
      </c>
      <c r="F2052" s="312">
        <v>14439.169682200507</v>
      </c>
      <c r="G2052" s="311">
        <v>0.22461765075355694</v>
      </c>
      <c r="H2052" s="312">
        <v>64283.326059903848</v>
      </c>
      <c r="I2052" s="311">
        <v>0.34375562465420095</v>
      </c>
      <c r="J2052" s="307"/>
    </row>
    <row r="2053" spans="1:10" ht="28.5">
      <c r="A2053" s="313" t="s">
        <v>303</v>
      </c>
      <c r="B2053" s="312">
        <v>5368.935551238219</v>
      </c>
      <c r="C2053" s="311">
        <v>0.10888104153111287</v>
      </c>
      <c r="D2053" s="312">
        <v>32840.114763963822</v>
      </c>
      <c r="E2053" s="311">
        <v>0.66599158536686376</v>
      </c>
      <c r="F2053" s="312">
        <v>11101.054325044657</v>
      </c>
      <c r="G2053" s="311">
        <v>0.22512737310202399</v>
      </c>
      <c r="H2053" s="312">
        <v>49310.104640246667</v>
      </c>
      <c r="I2053" s="311">
        <v>0.26368619767085777</v>
      </c>
      <c r="J2053" s="307"/>
    </row>
    <row r="2054" spans="1:10" ht="15.75" thickBot="1">
      <c r="A2054" s="313" t="s">
        <v>302</v>
      </c>
      <c r="B2054" s="312">
        <v>478.66388888888883</v>
      </c>
      <c r="C2054" s="311">
        <v>0.16227941040452709</v>
      </c>
      <c r="D2054" s="312">
        <v>1493.7313492063495</v>
      </c>
      <c r="E2054" s="311">
        <v>0.50641347358508038</v>
      </c>
      <c r="F2054" s="312">
        <v>977.23273809523812</v>
      </c>
      <c r="G2054" s="311">
        <v>0.33130711601039281</v>
      </c>
      <c r="H2054" s="312">
        <v>2949.6279761904757</v>
      </c>
      <c r="I2054" s="311">
        <v>1.5773160313889024E-2</v>
      </c>
      <c r="J2054" s="307"/>
    </row>
    <row r="2055" spans="1:10" ht="15.75" customHeight="1">
      <c r="A2055" s="316" t="s">
        <v>3</v>
      </c>
      <c r="B2055" s="315">
        <v>15346.262426036334</v>
      </c>
      <c r="C2055" s="314">
        <v>0.11730361409190426</v>
      </c>
      <c r="D2055" s="315">
        <v>85471.807904225367</v>
      </c>
      <c r="E2055" s="314">
        <v>0.65332858853790643</v>
      </c>
      <c r="F2055" s="315">
        <v>30007.075551544684</v>
      </c>
      <c r="G2055" s="314">
        <v>0.22936779737019983</v>
      </c>
      <c r="H2055" s="315">
        <v>130825.14588180502</v>
      </c>
      <c r="I2055" s="314">
        <v>1</v>
      </c>
      <c r="J2055" s="307"/>
    </row>
    <row r="2056" spans="1:10">
      <c r="A2056" s="313" t="s">
        <v>309</v>
      </c>
      <c r="B2056" s="312">
        <v>134.28817587641117</v>
      </c>
      <c r="C2056" s="311">
        <v>5.5719100019441872E-2</v>
      </c>
      <c r="D2056" s="312">
        <v>1761.9551990493187</v>
      </c>
      <c r="E2056" s="311">
        <v>0.7310737324778106</v>
      </c>
      <c r="F2056" s="312">
        <v>513.84896019013661</v>
      </c>
      <c r="G2056" s="311">
        <v>0.2132071675027476</v>
      </c>
      <c r="H2056" s="312">
        <v>2410.0923351158663</v>
      </c>
      <c r="I2056" s="311">
        <v>1.8422240761674997E-2</v>
      </c>
      <c r="J2056" s="307"/>
    </row>
    <row r="2057" spans="1:10">
      <c r="A2057" s="313" t="s">
        <v>308</v>
      </c>
      <c r="B2057" s="312">
        <v>672.67638650657477</v>
      </c>
      <c r="C2057" s="311">
        <v>0.1035045067737994</v>
      </c>
      <c r="D2057" s="312">
        <v>4043.4961230979125</v>
      </c>
      <c r="E2057" s="311">
        <v>0.62217149324436538</v>
      </c>
      <c r="F2057" s="312">
        <v>1782.833258102376</v>
      </c>
      <c r="G2057" s="311">
        <v>0.2743239999818376</v>
      </c>
      <c r="H2057" s="312">
        <v>6499.005767706848</v>
      </c>
      <c r="I2057" s="311">
        <v>4.9677038186362307E-2</v>
      </c>
      <c r="J2057" s="307"/>
    </row>
    <row r="2058" spans="1:10">
      <c r="A2058" s="313" t="s">
        <v>307</v>
      </c>
      <c r="B2058" s="312">
        <v>1774.0746527777778</v>
      </c>
      <c r="C2058" s="311">
        <v>0.12291634736567023</v>
      </c>
      <c r="D2058" s="312">
        <v>9113.8229166666624</v>
      </c>
      <c r="E2058" s="311">
        <v>0.63144908907873754</v>
      </c>
      <c r="F2058" s="312">
        <v>3545.2896412037039</v>
      </c>
      <c r="G2058" s="311">
        <v>0.24563456355559143</v>
      </c>
      <c r="H2058" s="312">
        <v>14433.187210648157</v>
      </c>
      <c r="I2058" s="311">
        <v>0.11032425848535214</v>
      </c>
      <c r="J2058" s="307"/>
    </row>
    <row r="2059" spans="1:10">
      <c r="A2059" s="313" t="s">
        <v>306</v>
      </c>
      <c r="B2059" s="312">
        <v>1077.5363915857608</v>
      </c>
      <c r="C2059" s="311">
        <v>9.1408034104874206E-2</v>
      </c>
      <c r="D2059" s="312">
        <v>7645.87318410644</v>
      </c>
      <c r="E2059" s="311">
        <v>0.64860383577933178</v>
      </c>
      <c r="F2059" s="312">
        <v>3064.7926555195932</v>
      </c>
      <c r="G2059" s="311">
        <v>0.25998813011579491</v>
      </c>
      <c r="H2059" s="312">
        <v>11788.202231211784</v>
      </c>
      <c r="I2059" s="311">
        <v>9.0106547573521725E-2</v>
      </c>
      <c r="J2059" s="307"/>
    </row>
    <row r="2060" spans="1:10">
      <c r="A2060" s="313" t="s">
        <v>305</v>
      </c>
      <c r="B2060" s="312">
        <v>2847.2305512285966</v>
      </c>
      <c r="C2060" s="311">
        <v>0.13701040765971947</v>
      </c>
      <c r="D2060" s="312">
        <v>12921.529094160605</v>
      </c>
      <c r="E2060" s="311">
        <v>0.62179157497939153</v>
      </c>
      <c r="F2060" s="312">
        <v>5012.3664008890401</v>
      </c>
      <c r="G2060" s="311">
        <v>0.24119801736088889</v>
      </c>
      <c r="H2060" s="312">
        <v>20781.126046278245</v>
      </c>
      <c r="I2060" s="311">
        <v>0.15884657269981653</v>
      </c>
      <c r="J2060" s="307"/>
    </row>
    <row r="2061" spans="1:10" ht="28.5">
      <c r="A2061" s="313" t="s">
        <v>304</v>
      </c>
      <c r="B2061" s="312">
        <v>4564.0136451531462</v>
      </c>
      <c r="C2061" s="311">
        <v>0.11857133484677211</v>
      </c>
      <c r="D2061" s="312">
        <v>26095.131191593435</v>
      </c>
      <c r="E2061" s="311">
        <v>0.67794156173804521</v>
      </c>
      <c r="F2061" s="312">
        <v>7832.5669336500641</v>
      </c>
      <c r="G2061" s="311">
        <v>0.20348710341518131</v>
      </c>
      <c r="H2061" s="312">
        <v>38491.711770396694</v>
      </c>
      <c r="I2061" s="311">
        <v>0.29422257862546031</v>
      </c>
      <c r="J2061" s="307"/>
    </row>
    <row r="2062" spans="1:10" ht="28.5">
      <c r="A2062" s="313" t="s">
        <v>303</v>
      </c>
      <c r="B2062" s="312">
        <v>3988.3560323508459</v>
      </c>
      <c r="C2062" s="311">
        <v>0.11725672278285348</v>
      </c>
      <c r="D2062" s="312">
        <v>22486.428988121046</v>
      </c>
      <c r="E2062" s="311">
        <v>0.66109568675650454</v>
      </c>
      <c r="F2062" s="312">
        <v>7539.0944202558821</v>
      </c>
      <c r="G2062" s="311">
        <v>0.22164759046063451</v>
      </c>
      <c r="H2062" s="312">
        <v>34013.879440728029</v>
      </c>
      <c r="I2062" s="311">
        <v>0.25999496665158034</v>
      </c>
      <c r="J2062" s="307"/>
    </row>
    <row r="2063" spans="1:10" ht="15.75" thickBot="1">
      <c r="A2063" s="310" t="s">
        <v>302</v>
      </c>
      <c r="B2063" s="309">
        <v>288.0865905572756</v>
      </c>
      <c r="C2063" s="308">
        <v>0.11964021586051928</v>
      </c>
      <c r="D2063" s="309">
        <v>1403.5712074303401</v>
      </c>
      <c r="E2063" s="308">
        <v>0.58289267094224595</v>
      </c>
      <c r="F2063" s="309">
        <v>716.28328173374621</v>
      </c>
      <c r="G2063" s="308">
        <v>0.29746711319723484</v>
      </c>
      <c r="H2063" s="309">
        <v>2407.9410797213618</v>
      </c>
      <c r="I2063" s="308">
        <v>1.8405797016246669E-2</v>
      </c>
      <c r="J2063" s="307"/>
    </row>
    <row r="2067" spans="1:8" ht="15.75" thickBot="1"/>
    <row r="2068" spans="1:8" ht="33.75" customHeight="1">
      <c r="A2068" s="752" t="s">
        <v>310</v>
      </c>
      <c r="B2068" s="763" t="s">
        <v>369</v>
      </c>
      <c r="C2068" s="764"/>
      <c r="D2068" s="764"/>
      <c r="E2068" s="764"/>
      <c r="F2068" s="764"/>
      <c r="G2068" s="765"/>
      <c r="H2068" s="307"/>
    </row>
    <row r="2069" spans="1:8" ht="15" customHeight="1">
      <c r="A2069" s="753"/>
      <c r="B2069" s="767" t="s">
        <v>27</v>
      </c>
      <c r="C2069" s="759"/>
      <c r="D2069" s="768" t="s">
        <v>26</v>
      </c>
      <c r="E2069" s="759"/>
      <c r="F2069" s="769" t="s">
        <v>9</v>
      </c>
      <c r="G2069" s="766"/>
      <c r="H2069" s="307"/>
    </row>
    <row r="2070" spans="1:8" ht="15.75" customHeight="1" thickBot="1">
      <c r="A2070" s="754"/>
      <c r="B2070" s="324" t="s">
        <v>7</v>
      </c>
      <c r="C2070" s="318" t="s">
        <v>8</v>
      </c>
      <c r="D2070" s="324" t="s">
        <v>7</v>
      </c>
      <c r="E2070" s="318" t="s">
        <v>8</v>
      </c>
      <c r="F2070" s="324" t="s">
        <v>7</v>
      </c>
      <c r="G2070" s="318" t="s">
        <v>6</v>
      </c>
      <c r="H2070" s="307"/>
    </row>
    <row r="2071" spans="1:8" ht="15.75" customHeight="1">
      <c r="A2071" s="316" t="s">
        <v>5</v>
      </c>
      <c r="B2071" s="315">
        <v>36642.994826299968</v>
      </c>
      <c r="C2071" s="314">
        <v>0.75854182727080843</v>
      </c>
      <c r="D2071" s="315">
        <v>11664.15648550002</v>
      </c>
      <c r="E2071" s="314">
        <v>0.24145817272919767</v>
      </c>
      <c r="F2071" s="315">
        <v>48307.151311799695</v>
      </c>
      <c r="G2071" s="314">
        <v>1</v>
      </c>
      <c r="H2071" s="307"/>
    </row>
    <row r="2072" spans="1:8">
      <c r="A2072" s="313" t="s">
        <v>309</v>
      </c>
      <c r="B2072" s="312">
        <v>777.05358780000029</v>
      </c>
      <c r="C2072" s="311">
        <v>0.6830134145998108</v>
      </c>
      <c r="D2072" s="312">
        <v>360.63063800000009</v>
      </c>
      <c r="E2072" s="311">
        <v>0.31698658540018931</v>
      </c>
      <c r="F2072" s="312">
        <v>1137.6842258000004</v>
      </c>
      <c r="G2072" s="311">
        <v>2.3551051860971676E-2</v>
      </c>
      <c r="H2072" s="307"/>
    </row>
    <row r="2073" spans="1:8">
      <c r="A2073" s="313" t="s">
        <v>308</v>
      </c>
      <c r="B2073" s="312">
        <v>1338.0555580000007</v>
      </c>
      <c r="C2073" s="311">
        <v>0.70029467904004106</v>
      </c>
      <c r="D2073" s="312">
        <v>572.64803299999983</v>
      </c>
      <c r="E2073" s="311">
        <v>0.29970532095995783</v>
      </c>
      <c r="F2073" s="312">
        <v>1910.7035910000027</v>
      </c>
      <c r="G2073" s="311">
        <v>3.9553224297316135E-2</v>
      </c>
      <c r="H2073" s="307"/>
    </row>
    <row r="2074" spans="1:8">
      <c r="A2074" s="313" t="s">
        <v>307</v>
      </c>
      <c r="B2074" s="312">
        <v>2648.0246739999998</v>
      </c>
      <c r="C2074" s="311">
        <v>0.78283639683855211</v>
      </c>
      <c r="D2074" s="312">
        <v>734.57823600000006</v>
      </c>
      <c r="E2074" s="311">
        <v>0.21716360316144837</v>
      </c>
      <c r="F2074" s="312">
        <v>3382.6029099999982</v>
      </c>
      <c r="G2074" s="311">
        <v>7.0022818943864126E-2</v>
      </c>
      <c r="H2074" s="307"/>
    </row>
    <row r="2075" spans="1:8">
      <c r="A2075" s="313" t="s">
        <v>306</v>
      </c>
      <c r="B2075" s="312">
        <v>1845.4552915000004</v>
      </c>
      <c r="C2075" s="311">
        <v>0.85273678971211009</v>
      </c>
      <c r="D2075" s="312">
        <v>318.7005345</v>
      </c>
      <c r="E2075" s="311">
        <v>0.14726321028788983</v>
      </c>
      <c r="F2075" s="312">
        <v>2164.1558260000006</v>
      </c>
      <c r="G2075" s="311">
        <v>4.4799905753734139E-2</v>
      </c>
      <c r="H2075" s="307"/>
    </row>
    <row r="2076" spans="1:8">
      <c r="A2076" s="313" t="s">
        <v>305</v>
      </c>
      <c r="B2076" s="312">
        <v>3741.6358969999983</v>
      </c>
      <c r="C2076" s="311">
        <v>0.79991109035904029</v>
      </c>
      <c r="D2076" s="312">
        <v>935.92882499999996</v>
      </c>
      <c r="E2076" s="311">
        <v>0.2000889096409601</v>
      </c>
      <c r="F2076" s="312">
        <v>4677.5647219999964</v>
      </c>
      <c r="G2076" s="311">
        <v>9.6829653477360736E-2</v>
      </c>
      <c r="H2076" s="307"/>
    </row>
    <row r="2077" spans="1:8" ht="28.5">
      <c r="A2077" s="313" t="s">
        <v>304</v>
      </c>
      <c r="B2077" s="312">
        <v>13425.170599999989</v>
      </c>
      <c r="C2077" s="311">
        <v>0.72080002883932348</v>
      </c>
      <c r="D2077" s="312">
        <v>5200.2040710000147</v>
      </c>
      <c r="E2077" s="311">
        <v>0.27919997116067796</v>
      </c>
      <c r="F2077" s="312">
        <v>18625.374670999976</v>
      </c>
      <c r="G2077" s="311">
        <v>0.38556143687260791</v>
      </c>
      <c r="H2077" s="307"/>
    </row>
    <row r="2078" spans="1:8" ht="28.5">
      <c r="A2078" s="313" t="s">
        <v>303</v>
      </c>
      <c r="B2078" s="312">
        <v>11830.082544000014</v>
      </c>
      <c r="C2078" s="311">
        <v>0.78720584924163661</v>
      </c>
      <c r="D2078" s="312">
        <v>3197.8578039999961</v>
      </c>
      <c r="E2078" s="311">
        <v>0.21279415075836255</v>
      </c>
      <c r="F2078" s="312">
        <v>15027.940348000024</v>
      </c>
      <c r="G2078" s="311">
        <v>0.31109142104037174</v>
      </c>
      <c r="H2078" s="307"/>
    </row>
    <row r="2079" spans="1:8" ht="15.75" thickBot="1">
      <c r="A2079" s="313" t="s">
        <v>302</v>
      </c>
      <c r="B2079" s="312">
        <v>1037.5166739999997</v>
      </c>
      <c r="C2079" s="311">
        <v>0.75121126652417192</v>
      </c>
      <c r="D2079" s="312">
        <v>343.60834399999999</v>
      </c>
      <c r="E2079" s="311">
        <v>0.24878873347582789</v>
      </c>
      <c r="F2079" s="312">
        <v>1381.125018</v>
      </c>
      <c r="G2079" s="311">
        <v>2.8590487753779863E-2</v>
      </c>
      <c r="H2079" s="307"/>
    </row>
    <row r="2080" spans="1:8" ht="15" customHeight="1">
      <c r="A2080" s="316" t="s">
        <v>4</v>
      </c>
      <c r="B2080" s="315">
        <v>27331.345286702533</v>
      </c>
      <c r="C2080" s="314">
        <v>0.86330897799733552</v>
      </c>
      <c r="D2080" s="315">
        <v>4327.4767379502091</v>
      </c>
      <c r="E2080" s="314">
        <v>0.13669102200266309</v>
      </c>
      <c r="F2080" s="315">
        <v>31658.822024652789</v>
      </c>
      <c r="G2080" s="314">
        <v>1</v>
      </c>
      <c r="H2080" s="307"/>
    </row>
    <row r="2081" spans="1:8">
      <c r="A2081" s="313" t="s">
        <v>309</v>
      </c>
      <c r="B2081" s="312">
        <v>980.58646616541307</v>
      </c>
      <c r="C2081" s="311">
        <v>0.77772750346805719</v>
      </c>
      <c r="D2081" s="312">
        <v>280.24906015037595</v>
      </c>
      <c r="E2081" s="311">
        <v>0.22227249653194228</v>
      </c>
      <c r="F2081" s="312">
        <v>1260.8355263157896</v>
      </c>
      <c r="G2081" s="311">
        <v>3.982572457477964E-2</v>
      </c>
      <c r="H2081" s="307"/>
    </row>
    <row r="2082" spans="1:8">
      <c r="A2082" s="313" t="s">
        <v>308</v>
      </c>
      <c r="B2082" s="312">
        <v>875.68804189003174</v>
      </c>
      <c r="C2082" s="311">
        <v>0.69406479873815297</v>
      </c>
      <c r="D2082" s="312">
        <v>385.99248632877345</v>
      </c>
      <c r="E2082" s="311">
        <v>0.30593520126184681</v>
      </c>
      <c r="F2082" s="312">
        <v>1261.6805282188054</v>
      </c>
      <c r="G2082" s="311">
        <v>3.9852415457414442E-2</v>
      </c>
      <c r="H2082" s="307"/>
    </row>
    <row r="2083" spans="1:8">
      <c r="A2083" s="313" t="s">
        <v>307</v>
      </c>
      <c r="B2083" s="312">
        <v>2925.0945619179925</v>
      </c>
      <c r="C2083" s="311">
        <v>0.92390658243100665</v>
      </c>
      <c r="D2083" s="312">
        <v>240.91228070175438</v>
      </c>
      <c r="E2083" s="311">
        <v>7.6093417568993266E-2</v>
      </c>
      <c r="F2083" s="312">
        <v>3166.0068426197472</v>
      </c>
      <c r="G2083" s="311">
        <v>0.10000393698016846</v>
      </c>
      <c r="H2083" s="307"/>
    </row>
    <row r="2084" spans="1:8">
      <c r="A2084" s="313" t="s">
        <v>306</v>
      </c>
      <c r="B2084" s="312">
        <v>1270.4085781596445</v>
      </c>
      <c r="C2084" s="311">
        <v>0.99398519396830509</v>
      </c>
      <c r="D2084" s="312">
        <v>7.6875</v>
      </c>
      <c r="E2084" s="311">
        <v>6.0148060316947216E-3</v>
      </c>
      <c r="F2084" s="312">
        <v>1278.0960781596448</v>
      </c>
      <c r="G2084" s="311">
        <v>4.0370929694237799E-2</v>
      </c>
      <c r="H2084" s="307"/>
    </row>
    <row r="2085" spans="1:8">
      <c r="A2085" s="313" t="s">
        <v>305</v>
      </c>
      <c r="B2085" s="312">
        <v>4210.341193854284</v>
      </c>
      <c r="C2085" s="311">
        <v>0.88330311452214727</v>
      </c>
      <c r="D2085" s="312">
        <v>556.24586401204317</v>
      </c>
      <c r="E2085" s="311">
        <v>0.11669688547785308</v>
      </c>
      <c r="F2085" s="312">
        <v>4766.5870578663253</v>
      </c>
      <c r="G2085" s="311">
        <v>0.15056109965666362</v>
      </c>
      <c r="H2085" s="307"/>
    </row>
    <row r="2086" spans="1:8" ht="28.5">
      <c r="A2086" s="313" t="s">
        <v>304</v>
      </c>
      <c r="B2086" s="312">
        <v>9109.9973970763294</v>
      </c>
      <c r="C2086" s="311">
        <v>0.83757714436551878</v>
      </c>
      <c r="D2086" s="312">
        <v>1766.609561889016</v>
      </c>
      <c r="E2086" s="311">
        <v>0.16242285563448056</v>
      </c>
      <c r="F2086" s="312">
        <v>10876.606958965353</v>
      </c>
      <c r="G2086" s="311">
        <v>0.34355690652342391</v>
      </c>
      <c r="H2086" s="307"/>
    </row>
    <row r="2087" spans="1:8" ht="28.5">
      <c r="A2087" s="313" t="s">
        <v>303</v>
      </c>
      <c r="B2087" s="312">
        <v>7324.333412718086</v>
      </c>
      <c r="C2087" s="311">
        <v>0.87753144088460322</v>
      </c>
      <c r="D2087" s="312">
        <v>1022.1862348682464</v>
      </c>
      <c r="E2087" s="311">
        <v>0.12246855911539663</v>
      </c>
      <c r="F2087" s="312">
        <v>8346.519647586334</v>
      </c>
      <c r="G2087" s="311">
        <v>0.26363961492587701</v>
      </c>
      <c r="H2087" s="307"/>
    </row>
    <row r="2088" spans="1:8" ht="15.75" thickBot="1">
      <c r="A2088" s="313" t="s">
        <v>302</v>
      </c>
      <c r="B2088" s="312">
        <v>634.89563492063508</v>
      </c>
      <c r="C2088" s="311">
        <v>0.90377968485938553</v>
      </c>
      <c r="D2088" s="312">
        <v>67.59375</v>
      </c>
      <c r="E2088" s="311">
        <v>9.6220315140614576E-2</v>
      </c>
      <c r="F2088" s="312">
        <v>702.48938492063496</v>
      </c>
      <c r="G2088" s="311">
        <v>2.2189372187430254E-2</v>
      </c>
      <c r="H2088" s="307"/>
    </row>
    <row r="2089" spans="1:8" ht="15.75" customHeight="1">
      <c r="A2089" s="316" t="s">
        <v>3</v>
      </c>
      <c r="B2089" s="315">
        <v>12760.966766780322</v>
      </c>
      <c r="C2089" s="314">
        <v>0.91132193477350898</v>
      </c>
      <c r="D2089" s="315">
        <v>1241.7322574144705</v>
      </c>
      <c r="E2089" s="314">
        <v>8.8678065226491215E-2</v>
      </c>
      <c r="F2089" s="315">
        <v>14002.69902419479</v>
      </c>
      <c r="G2089" s="314">
        <v>1</v>
      </c>
      <c r="H2089" s="307"/>
    </row>
    <row r="2090" spans="1:8">
      <c r="A2090" s="313" t="s">
        <v>309</v>
      </c>
      <c r="B2090" s="312">
        <v>394.73713606654792</v>
      </c>
      <c r="C2090" s="311">
        <v>0.98749178010029171</v>
      </c>
      <c r="D2090" s="312">
        <v>5</v>
      </c>
      <c r="E2090" s="311">
        <v>1.2508219899708302E-2</v>
      </c>
      <c r="F2090" s="312">
        <v>399.73713606654792</v>
      </c>
      <c r="G2090" s="311">
        <v>2.8547149044327501E-2</v>
      </c>
      <c r="H2090" s="307"/>
    </row>
    <row r="2091" spans="1:8">
      <c r="A2091" s="313" t="s">
        <v>308</v>
      </c>
      <c r="B2091" s="312">
        <v>782.07312449219023</v>
      </c>
      <c r="C2091" s="311">
        <v>0.91234072477404571</v>
      </c>
      <c r="D2091" s="312">
        <v>75.142938822184107</v>
      </c>
      <c r="E2091" s="311">
        <v>8.7659275225954666E-2</v>
      </c>
      <c r="F2091" s="312">
        <v>857.21606331437408</v>
      </c>
      <c r="G2091" s="311">
        <v>6.1217916762562663E-2</v>
      </c>
      <c r="H2091" s="307"/>
    </row>
    <row r="2092" spans="1:8">
      <c r="A2092" s="313" t="s">
        <v>307</v>
      </c>
      <c r="B2092" s="312">
        <v>1197.2306134259261</v>
      </c>
      <c r="C2092" s="311">
        <v>0.92600784558766269</v>
      </c>
      <c r="D2092" s="312">
        <v>95.6640625</v>
      </c>
      <c r="E2092" s="311">
        <v>7.3992154412337363E-2</v>
      </c>
      <c r="F2092" s="312">
        <v>1292.8946759259261</v>
      </c>
      <c r="G2092" s="311">
        <v>9.2331819293693107E-2</v>
      </c>
      <c r="H2092" s="307"/>
    </row>
    <row r="2093" spans="1:8">
      <c r="A2093" s="313" t="s">
        <v>306</v>
      </c>
      <c r="B2093" s="312">
        <v>417.4866145271485</v>
      </c>
      <c r="C2093" s="311">
        <v>0.90264458793899083</v>
      </c>
      <c r="D2093" s="312">
        <v>45.028333333333336</v>
      </c>
      <c r="E2093" s="311">
        <v>9.7355412061009047E-2</v>
      </c>
      <c r="F2093" s="312">
        <v>462.51494786048193</v>
      </c>
      <c r="G2093" s="311">
        <v>3.3030414140967967E-2</v>
      </c>
      <c r="H2093" s="307"/>
    </row>
    <row r="2094" spans="1:8">
      <c r="A2094" s="313" t="s">
        <v>305</v>
      </c>
      <c r="B2094" s="312">
        <v>1781.2974524626879</v>
      </c>
      <c r="C2094" s="311">
        <v>0.87675543368696252</v>
      </c>
      <c r="D2094" s="312">
        <v>250.39506294256489</v>
      </c>
      <c r="E2094" s="311">
        <v>0.12324456631303762</v>
      </c>
      <c r="F2094" s="312">
        <v>2031.6925154052526</v>
      </c>
      <c r="G2094" s="311">
        <v>0.14509292186418918</v>
      </c>
      <c r="H2094" s="307"/>
    </row>
    <row r="2095" spans="1:8" ht="28.5">
      <c r="A2095" s="313" t="s">
        <v>304</v>
      </c>
      <c r="B2095" s="312">
        <v>4574.6148483147144</v>
      </c>
      <c r="C2095" s="311">
        <v>0.92646019214512254</v>
      </c>
      <c r="D2095" s="312">
        <v>363.12007769723925</v>
      </c>
      <c r="E2095" s="311">
        <v>7.3539807854878028E-2</v>
      </c>
      <c r="F2095" s="312">
        <v>4937.7349260119508</v>
      </c>
      <c r="G2095" s="311">
        <v>0.3526273697292362</v>
      </c>
      <c r="H2095" s="307"/>
    </row>
    <row r="2096" spans="1:8" ht="28.5">
      <c r="A2096" s="313" t="s">
        <v>303</v>
      </c>
      <c r="B2096" s="312">
        <v>3226.4276160360391</v>
      </c>
      <c r="C2096" s="311">
        <v>0.90264793374000252</v>
      </c>
      <c r="D2096" s="312">
        <v>347.97553211914834</v>
      </c>
      <c r="E2096" s="311">
        <v>9.735206625999776E-2</v>
      </c>
      <c r="F2096" s="312">
        <v>3574.4031481551865</v>
      </c>
      <c r="G2096" s="311">
        <v>0.25526529863843367</v>
      </c>
      <c r="H2096" s="307"/>
    </row>
    <row r="2097" spans="1:24" ht="15.75" thickBot="1">
      <c r="A2097" s="310" t="s">
        <v>302</v>
      </c>
      <c r="B2097" s="309">
        <v>387.09936145510835</v>
      </c>
      <c r="C2097" s="308">
        <v>0.86695295988240284</v>
      </c>
      <c r="D2097" s="309">
        <v>59.40625</v>
      </c>
      <c r="E2097" s="308">
        <v>0.13304704011759705</v>
      </c>
      <c r="F2097" s="309">
        <v>446.50561145510835</v>
      </c>
      <c r="G2097" s="308">
        <v>3.1887110526592516E-2</v>
      </c>
      <c r="H2097" s="307"/>
    </row>
    <row r="2101" spans="1:24" ht="15.75" thickBot="1"/>
    <row r="2102" spans="1:24" ht="15" customHeight="1">
      <c r="A2102" s="752" t="s">
        <v>310</v>
      </c>
      <c r="B2102" s="763" t="s">
        <v>370</v>
      </c>
      <c r="C2102" s="764"/>
      <c r="D2102" s="764"/>
      <c r="E2102" s="764"/>
      <c r="F2102" s="764"/>
      <c r="G2102" s="764"/>
      <c r="H2102" s="764"/>
      <c r="I2102" s="764"/>
      <c r="J2102" s="764"/>
      <c r="K2102" s="764"/>
      <c r="L2102" s="764"/>
      <c r="M2102" s="764"/>
      <c r="N2102" s="764"/>
      <c r="O2102" s="764"/>
      <c r="P2102" s="764"/>
      <c r="Q2102" s="764"/>
      <c r="R2102" s="764"/>
      <c r="S2102" s="764"/>
      <c r="T2102" s="764"/>
      <c r="U2102" s="764"/>
      <c r="V2102" s="764"/>
      <c r="W2102" s="765"/>
      <c r="X2102" s="307"/>
    </row>
    <row r="2103" spans="1:24" ht="15" customHeight="1">
      <c r="A2103" s="753"/>
      <c r="B2103" s="773" t="s">
        <v>69</v>
      </c>
      <c r="C2103" s="774"/>
      <c r="D2103" s="768" t="s">
        <v>68</v>
      </c>
      <c r="E2103" s="759"/>
      <c r="F2103" s="768" t="s">
        <v>67</v>
      </c>
      <c r="G2103" s="759"/>
      <c r="H2103" s="768" t="s">
        <v>66</v>
      </c>
      <c r="I2103" s="759"/>
      <c r="J2103" s="768" t="s">
        <v>65</v>
      </c>
      <c r="K2103" s="759"/>
      <c r="L2103" s="768" t="s">
        <v>64</v>
      </c>
      <c r="M2103" s="759"/>
      <c r="N2103" s="768" t="s">
        <v>63</v>
      </c>
      <c r="O2103" s="759"/>
      <c r="P2103" s="768" t="s">
        <v>62</v>
      </c>
      <c r="Q2103" s="759"/>
      <c r="R2103" s="768" t="s">
        <v>61</v>
      </c>
      <c r="S2103" s="759"/>
      <c r="T2103" s="768" t="s">
        <v>60</v>
      </c>
      <c r="U2103" s="759"/>
      <c r="V2103" s="769" t="s">
        <v>9</v>
      </c>
      <c r="W2103" s="766"/>
      <c r="X2103" s="307"/>
    </row>
    <row r="2104" spans="1:24" ht="15.75" customHeight="1" thickBot="1">
      <c r="A2104" s="754"/>
      <c r="B2104" s="318" t="s">
        <v>7</v>
      </c>
      <c r="C2104" s="318" t="s">
        <v>8</v>
      </c>
      <c r="D2104" s="323" t="s">
        <v>7</v>
      </c>
      <c r="E2104" s="323" t="s">
        <v>8</v>
      </c>
      <c r="F2104" s="323" t="s">
        <v>7</v>
      </c>
      <c r="G2104" s="323" t="s">
        <v>8</v>
      </c>
      <c r="H2104" s="323" t="s">
        <v>7</v>
      </c>
      <c r="I2104" s="323" t="s">
        <v>8</v>
      </c>
      <c r="J2104" s="323" t="s">
        <v>7</v>
      </c>
      <c r="K2104" s="323" t="s">
        <v>8</v>
      </c>
      <c r="L2104" s="323" t="s">
        <v>7</v>
      </c>
      <c r="M2104" s="323" t="s">
        <v>8</v>
      </c>
      <c r="N2104" s="323" t="s">
        <v>7</v>
      </c>
      <c r="O2104" s="323" t="s">
        <v>8</v>
      </c>
      <c r="P2104" s="323" t="s">
        <v>7</v>
      </c>
      <c r="Q2104" s="323" t="s">
        <v>8</v>
      </c>
      <c r="R2104" s="323" t="s">
        <v>7</v>
      </c>
      <c r="S2104" s="323" t="s">
        <v>8</v>
      </c>
      <c r="T2104" s="323" t="s">
        <v>7</v>
      </c>
      <c r="U2104" s="323" t="s">
        <v>8</v>
      </c>
      <c r="V2104" s="323" t="s">
        <v>7</v>
      </c>
      <c r="W2104" s="323" t="s">
        <v>8</v>
      </c>
      <c r="X2104" s="307"/>
    </row>
    <row r="2105" spans="1:24" ht="15.75" customHeight="1">
      <c r="A2105" s="316" t="s">
        <v>5</v>
      </c>
      <c r="B2105" s="315">
        <v>191.22650350000001</v>
      </c>
      <c r="C2105" s="314">
        <v>5.2186374068625531E-3</v>
      </c>
      <c r="D2105" s="315">
        <v>11786.024590800011</v>
      </c>
      <c r="E2105" s="314">
        <v>0.32164468670395813</v>
      </c>
      <c r="F2105" s="315">
        <v>8866.6278474999999</v>
      </c>
      <c r="G2105" s="314">
        <v>0.24197334004850796</v>
      </c>
      <c r="H2105" s="315">
        <v>6387.017521000007</v>
      </c>
      <c r="I2105" s="314">
        <v>0.17430391678618526</v>
      </c>
      <c r="J2105" s="315">
        <v>1355.7521940000001</v>
      </c>
      <c r="K2105" s="314">
        <v>3.6998946194947174E-2</v>
      </c>
      <c r="L2105" s="315">
        <v>0</v>
      </c>
      <c r="M2105" s="314">
        <v>0</v>
      </c>
      <c r="N2105" s="315">
        <v>0</v>
      </c>
      <c r="O2105" s="314">
        <v>0</v>
      </c>
      <c r="P2105" s="315">
        <v>0</v>
      </c>
      <c r="Q2105" s="314">
        <v>0</v>
      </c>
      <c r="R2105" s="315">
        <v>0</v>
      </c>
      <c r="S2105" s="314">
        <v>0</v>
      </c>
      <c r="T2105" s="315">
        <v>8056.346169500006</v>
      </c>
      <c r="U2105" s="314">
        <v>0.21986047285954047</v>
      </c>
      <c r="V2105" s="315">
        <v>36642.994826299968</v>
      </c>
      <c r="W2105" s="314">
        <v>1</v>
      </c>
      <c r="X2105" s="307"/>
    </row>
    <row r="2106" spans="1:24">
      <c r="A2106" s="313" t="s">
        <v>309</v>
      </c>
      <c r="B2106" s="312">
        <v>0</v>
      </c>
      <c r="C2106" s="311">
        <v>0</v>
      </c>
      <c r="D2106" s="312">
        <v>262.6812218</v>
      </c>
      <c r="E2106" s="311">
        <v>0.33804775619620386</v>
      </c>
      <c r="F2106" s="312">
        <v>293.30217200000004</v>
      </c>
      <c r="G2106" s="311">
        <v>0.3774542407434206</v>
      </c>
      <c r="H2106" s="312">
        <v>209.979285</v>
      </c>
      <c r="I2106" s="311">
        <v>0.27022497327950684</v>
      </c>
      <c r="J2106" s="312">
        <v>11.090909</v>
      </c>
      <c r="K2106" s="311">
        <v>1.4273029780868345E-2</v>
      </c>
      <c r="L2106" s="312">
        <v>0</v>
      </c>
      <c r="M2106" s="311">
        <v>0</v>
      </c>
      <c r="N2106" s="312">
        <v>0</v>
      </c>
      <c r="O2106" s="311">
        <v>0</v>
      </c>
      <c r="P2106" s="312">
        <v>0</v>
      </c>
      <c r="Q2106" s="311">
        <v>0</v>
      </c>
      <c r="R2106" s="312">
        <v>0</v>
      </c>
      <c r="S2106" s="311">
        <v>0</v>
      </c>
      <c r="T2106" s="312">
        <v>0</v>
      </c>
      <c r="U2106" s="311">
        <v>0</v>
      </c>
      <c r="V2106" s="312">
        <v>777.05358780000029</v>
      </c>
      <c r="W2106" s="311">
        <v>2.1206061117097382E-2</v>
      </c>
      <c r="X2106" s="307"/>
    </row>
    <row r="2107" spans="1:24">
      <c r="A2107" s="313" t="s">
        <v>308</v>
      </c>
      <c r="B2107" s="312">
        <v>6.9052629999999997</v>
      </c>
      <c r="C2107" s="311">
        <v>5.1606698680892859E-3</v>
      </c>
      <c r="D2107" s="312">
        <v>542.7420709999999</v>
      </c>
      <c r="E2107" s="311">
        <v>0.40561998173770869</v>
      </c>
      <c r="F2107" s="312">
        <v>283.73085599999996</v>
      </c>
      <c r="G2107" s="311">
        <v>0.21204714131907504</v>
      </c>
      <c r="H2107" s="312">
        <v>299.52676999999994</v>
      </c>
      <c r="I2107" s="311">
        <v>0.22385226697739241</v>
      </c>
      <c r="J2107" s="312">
        <v>0</v>
      </c>
      <c r="K2107" s="311">
        <v>0</v>
      </c>
      <c r="L2107" s="312">
        <v>0</v>
      </c>
      <c r="M2107" s="311">
        <v>0</v>
      </c>
      <c r="N2107" s="312">
        <v>0</v>
      </c>
      <c r="O2107" s="311">
        <v>0</v>
      </c>
      <c r="P2107" s="312">
        <v>0</v>
      </c>
      <c r="Q2107" s="311">
        <v>0</v>
      </c>
      <c r="R2107" s="312">
        <v>0</v>
      </c>
      <c r="S2107" s="311">
        <v>0</v>
      </c>
      <c r="T2107" s="312">
        <v>205.150598</v>
      </c>
      <c r="U2107" s="311">
        <v>0.15331994009773389</v>
      </c>
      <c r="V2107" s="312">
        <v>1338.0555580000007</v>
      </c>
      <c r="W2107" s="311">
        <v>3.6515998878989854E-2</v>
      </c>
      <c r="X2107" s="307"/>
    </row>
    <row r="2108" spans="1:24">
      <c r="A2108" s="313" t="s">
        <v>307</v>
      </c>
      <c r="B2108" s="312">
        <v>123.384614</v>
      </c>
      <c r="C2108" s="311">
        <v>4.6594963865506642E-2</v>
      </c>
      <c r="D2108" s="312">
        <v>619.38853200000005</v>
      </c>
      <c r="E2108" s="311">
        <v>0.23390587636193608</v>
      </c>
      <c r="F2108" s="312">
        <v>662.33083899999997</v>
      </c>
      <c r="G2108" s="311">
        <v>0.25012260856297447</v>
      </c>
      <c r="H2108" s="312">
        <v>248.53936300000001</v>
      </c>
      <c r="I2108" s="311">
        <v>9.3858401487085241E-2</v>
      </c>
      <c r="J2108" s="312">
        <v>241.73441199999999</v>
      </c>
      <c r="K2108" s="311">
        <v>9.1288579888814142E-2</v>
      </c>
      <c r="L2108" s="312">
        <v>0</v>
      </c>
      <c r="M2108" s="311">
        <v>0</v>
      </c>
      <c r="N2108" s="312">
        <v>0</v>
      </c>
      <c r="O2108" s="311">
        <v>0</v>
      </c>
      <c r="P2108" s="312">
        <v>0</v>
      </c>
      <c r="Q2108" s="311">
        <v>0</v>
      </c>
      <c r="R2108" s="312">
        <v>0</v>
      </c>
      <c r="S2108" s="311">
        <v>0</v>
      </c>
      <c r="T2108" s="312">
        <v>752.64691399999992</v>
      </c>
      <c r="U2108" s="311">
        <v>0.28422956983368353</v>
      </c>
      <c r="V2108" s="312">
        <v>2648.0246739999998</v>
      </c>
      <c r="W2108" s="311">
        <v>7.2265509043475326E-2</v>
      </c>
      <c r="X2108" s="307"/>
    </row>
    <row r="2109" spans="1:24">
      <c r="A2109" s="313" t="s">
        <v>306</v>
      </c>
      <c r="B2109" s="312">
        <v>6.6734695000000004</v>
      </c>
      <c r="C2109" s="311">
        <v>3.6161642770417661E-3</v>
      </c>
      <c r="D2109" s="312">
        <v>817.94726000000003</v>
      </c>
      <c r="E2109" s="311">
        <v>0.4432224740243727</v>
      </c>
      <c r="F2109" s="312">
        <v>518.13660949999996</v>
      </c>
      <c r="G2109" s="311">
        <v>0.28076356652284679</v>
      </c>
      <c r="H2109" s="312">
        <v>304.98442299999999</v>
      </c>
      <c r="I2109" s="311">
        <v>0.16526242841250643</v>
      </c>
      <c r="J2109" s="312">
        <v>0</v>
      </c>
      <c r="K2109" s="311">
        <v>0</v>
      </c>
      <c r="L2109" s="312">
        <v>0</v>
      </c>
      <c r="M2109" s="311">
        <v>0</v>
      </c>
      <c r="N2109" s="312">
        <v>0</v>
      </c>
      <c r="O2109" s="311">
        <v>0</v>
      </c>
      <c r="P2109" s="312">
        <v>0</v>
      </c>
      <c r="Q2109" s="311">
        <v>0</v>
      </c>
      <c r="R2109" s="312">
        <v>0</v>
      </c>
      <c r="S2109" s="311">
        <v>0</v>
      </c>
      <c r="T2109" s="312">
        <v>197.71352949999999</v>
      </c>
      <c r="U2109" s="311">
        <v>0.10713536676323213</v>
      </c>
      <c r="V2109" s="312">
        <v>1845.4552915000004</v>
      </c>
      <c r="W2109" s="311">
        <v>5.0363113065623445E-2</v>
      </c>
      <c r="X2109" s="307"/>
    </row>
    <row r="2110" spans="1:24">
      <c r="A2110" s="313" t="s">
        <v>305</v>
      </c>
      <c r="B2110" s="312">
        <v>54.263157</v>
      </c>
      <c r="C2110" s="311">
        <v>1.4502522023457063E-2</v>
      </c>
      <c r="D2110" s="312">
        <v>1248.116884</v>
      </c>
      <c r="E2110" s="311">
        <v>0.33357518431997252</v>
      </c>
      <c r="F2110" s="312">
        <v>809.80810899999983</v>
      </c>
      <c r="G2110" s="311">
        <v>0.21643156397160263</v>
      </c>
      <c r="H2110" s="312">
        <v>640.58452499999987</v>
      </c>
      <c r="I2110" s="311">
        <v>0.17120439899393028</v>
      </c>
      <c r="J2110" s="312">
        <v>96.143966999999989</v>
      </c>
      <c r="K2110" s="311">
        <v>2.5695703603091671E-2</v>
      </c>
      <c r="L2110" s="312">
        <v>0</v>
      </c>
      <c r="M2110" s="311">
        <v>0</v>
      </c>
      <c r="N2110" s="312">
        <v>0</v>
      </c>
      <c r="O2110" s="311">
        <v>0</v>
      </c>
      <c r="P2110" s="312">
        <v>0</v>
      </c>
      <c r="Q2110" s="311">
        <v>0</v>
      </c>
      <c r="R2110" s="312">
        <v>0</v>
      </c>
      <c r="S2110" s="311">
        <v>0</v>
      </c>
      <c r="T2110" s="312">
        <v>892.71925499999998</v>
      </c>
      <c r="U2110" s="311">
        <v>0.23859062708794629</v>
      </c>
      <c r="V2110" s="312">
        <v>3741.6358969999983</v>
      </c>
      <c r="W2110" s="311">
        <v>0.10211053749117947</v>
      </c>
      <c r="X2110" s="307"/>
    </row>
    <row r="2111" spans="1:24" ht="28.5">
      <c r="A2111" s="313" t="s">
        <v>304</v>
      </c>
      <c r="B2111" s="312">
        <v>0</v>
      </c>
      <c r="C2111" s="311">
        <v>0</v>
      </c>
      <c r="D2111" s="312">
        <v>4446.3177210000003</v>
      </c>
      <c r="E2111" s="311">
        <v>0.33119264205104437</v>
      </c>
      <c r="F2111" s="312">
        <v>2825.1785619999996</v>
      </c>
      <c r="G2111" s="311">
        <v>0.21043893192686891</v>
      </c>
      <c r="H2111" s="312">
        <v>2594.6045639999993</v>
      </c>
      <c r="I2111" s="311">
        <v>0.19326417825930656</v>
      </c>
      <c r="J2111" s="312">
        <v>548.02078100000006</v>
      </c>
      <c r="K2111" s="311">
        <v>4.0820396055153335E-2</v>
      </c>
      <c r="L2111" s="312">
        <v>0</v>
      </c>
      <c r="M2111" s="311">
        <v>0</v>
      </c>
      <c r="N2111" s="312">
        <v>0</v>
      </c>
      <c r="O2111" s="311">
        <v>0</v>
      </c>
      <c r="P2111" s="312">
        <v>0</v>
      </c>
      <c r="Q2111" s="311">
        <v>0</v>
      </c>
      <c r="R2111" s="312">
        <v>0</v>
      </c>
      <c r="S2111" s="311">
        <v>0</v>
      </c>
      <c r="T2111" s="312">
        <v>3011.0489720000019</v>
      </c>
      <c r="U2111" s="311">
        <v>0.2242838517076278</v>
      </c>
      <c r="V2111" s="312">
        <v>13425.170599999989</v>
      </c>
      <c r="W2111" s="311">
        <v>0.36637754811362394</v>
      </c>
      <c r="X2111" s="307"/>
    </row>
    <row r="2112" spans="1:24" ht="28.5">
      <c r="A2112" s="313" t="s">
        <v>303</v>
      </c>
      <c r="B2112" s="312">
        <v>0</v>
      </c>
      <c r="C2112" s="311">
        <v>0</v>
      </c>
      <c r="D2112" s="312">
        <v>3279.5975649999968</v>
      </c>
      <c r="E2112" s="311">
        <v>0.27722524782072161</v>
      </c>
      <c r="F2112" s="312">
        <v>3267.0656959999974</v>
      </c>
      <c r="G2112" s="311">
        <v>0.27616592562635917</v>
      </c>
      <c r="H2112" s="312">
        <v>2020.5319210000002</v>
      </c>
      <c r="I2112" s="311">
        <v>0.1707960966024514</v>
      </c>
      <c r="J2112" s="312">
        <v>388.22046100000006</v>
      </c>
      <c r="K2112" s="311">
        <v>3.2816378039297607E-2</v>
      </c>
      <c r="L2112" s="312">
        <v>0</v>
      </c>
      <c r="M2112" s="311">
        <v>0</v>
      </c>
      <c r="N2112" s="312">
        <v>0</v>
      </c>
      <c r="O2112" s="311">
        <v>0</v>
      </c>
      <c r="P2112" s="312">
        <v>0</v>
      </c>
      <c r="Q2112" s="311">
        <v>0</v>
      </c>
      <c r="R2112" s="312">
        <v>0</v>
      </c>
      <c r="S2112" s="311">
        <v>0</v>
      </c>
      <c r="T2112" s="312">
        <v>2874.6669009999978</v>
      </c>
      <c r="U2112" s="311">
        <v>0.24299635191116842</v>
      </c>
      <c r="V2112" s="312">
        <v>11830.082544000014</v>
      </c>
      <c r="W2112" s="311">
        <v>0.32284704348207766</v>
      </c>
      <c r="X2112" s="307"/>
    </row>
    <row r="2113" spans="1:24" ht="15.75" thickBot="1">
      <c r="A2113" s="313" t="s">
        <v>302</v>
      </c>
      <c r="B2113" s="312">
        <v>0</v>
      </c>
      <c r="C2113" s="311">
        <v>0</v>
      </c>
      <c r="D2113" s="312">
        <v>569.23333599999989</v>
      </c>
      <c r="E2113" s="311">
        <v>0.54864981957870684</v>
      </c>
      <c r="F2113" s="312">
        <v>207.07500400000001</v>
      </c>
      <c r="G2113" s="311">
        <v>0.19958715767106799</v>
      </c>
      <c r="H2113" s="312">
        <v>68.266670000000005</v>
      </c>
      <c r="I2113" s="311">
        <v>6.5798142536647106E-2</v>
      </c>
      <c r="J2113" s="312">
        <v>70.541663999999997</v>
      </c>
      <c r="K2113" s="311">
        <v>6.7990872597773797E-2</v>
      </c>
      <c r="L2113" s="312">
        <v>0</v>
      </c>
      <c r="M2113" s="311">
        <v>0</v>
      </c>
      <c r="N2113" s="312">
        <v>0</v>
      </c>
      <c r="O2113" s="311">
        <v>0</v>
      </c>
      <c r="P2113" s="312">
        <v>0</v>
      </c>
      <c r="Q2113" s="311">
        <v>0</v>
      </c>
      <c r="R2113" s="312">
        <v>0</v>
      </c>
      <c r="S2113" s="311">
        <v>0</v>
      </c>
      <c r="T2113" s="312">
        <v>122.4</v>
      </c>
      <c r="U2113" s="311">
        <v>0.1179740076158044</v>
      </c>
      <c r="V2113" s="312">
        <v>1037.5166739999997</v>
      </c>
      <c r="W2113" s="311">
        <v>2.8314188807933828E-2</v>
      </c>
      <c r="X2113" s="307"/>
    </row>
    <row r="2114" spans="1:24" ht="15" customHeight="1">
      <c r="A2114" s="316" t="s">
        <v>4</v>
      </c>
      <c r="B2114" s="315">
        <v>96.747883504438093</v>
      </c>
      <c r="C2114" s="314">
        <v>3.5398141763445744E-3</v>
      </c>
      <c r="D2114" s="315">
        <v>6193.6948019667216</v>
      </c>
      <c r="E2114" s="314">
        <v>0.22661507280361085</v>
      </c>
      <c r="F2114" s="315">
        <v>5351.7195631345203</v>
      </c>
      <c r="G2114" s="314">
        <v>0.19580886001020528</v>
      </c>
      <c r="H2114" s="315">
        <v>6401.8374706456016</v>
      </c>
      <c r="I2114" s="314">
        <v>0.23423060239044563</v>
      </c>
      <c r="J2114" s="315">
        <v>2508.8862967377122</v>
      </c>
      <c r="K2114" s="314">
        <v>9.1795199629575344E-2</v>
      </c>
      <c r="L2114" s="315">
        <v>458.79362361265851</v>
      </c>
      <c r="M2114" s="314">
        <v>1.6786353499982105E-2</v>
      </c>
      <c r="N2114" s="315">
        <v>80.624726870953282</v>
      </c>
      <c r="O2114" s="314">
        <v>2.9498996856982184E-3</v>
      </c>
      <c r="P2114" s="315">
        <v>0</v>
      </c>
      <c r="Q2114" s="314">
        <v>0</v>
      </c>
      <c r="R2114" s="315">
        <v>0</v>
      </c>
      <c r="S2114" s="314">
        <v>0</v>
      </c>
      <c r="T2114" s="315">
        <v>6239.0409202298151</v>
      </c>
      <c r="U2114" s="314">
        <v>0.22827419780413383</v>
      </c>
      <c r="V2114" s="315">
        <v>27331.345286702533</v>
      </c>
      <c r="W2114" s="314">
        <v>1</v>
      </c>
      <c r="X2114" s="307"/>
    </row>
    <row r="2115" spans="1:24">
      <c r="A2115" s="313" t="s">
        <v>309</v>
      </c>
      <c r="B2115" s="312">
        <v>0</v>
      </c>
      <c r="C2115" s="311">
        <v>0</v>
      </c>
      <c r="D2115" s="312">
        <v>144.51785714285717</v>
      </c>
      <c r="E2115" s="311">
        <v>0.14737900443190366</v>
      </c>
      <c r="F2115" s="312">
        <v>224.19642857142858</v>
      </c>
      <c r="G2115" s="311">
        <v>0.22863504270882867</v>
      </c>
      <c r="H2115" s="312">
        <v>266.78383458646618</v>
      </c>
      <c r="I2115" s="311">
        <v>0.27206558910579842</v>
      </c>
      <c r="J2115" s="312">
        <v>120.89191729323309</v>
      </c>
      <c r="K2115" s="311">
        <v>0.12328532104464114</v>
      </c>
      <c r="L2115" s="312">
        <v>0</v>
      </c>
      <c r="M2115" s="311">
        <v>0</v>
      </c>
      <c r="N2115" s="312">
        <v>0</v>
      </c>
      <c r="O2115" s="311">
        <v>0</v>
      </c>
      <c r="P2115" s="312">
        <v>0</v>
      </c>
      <c r="Q2115" s="311">
        <v>0</v>
      </c>
      <c r="R2115" s="312">
        <v>0</v>
      </c>
      <c r="S2115" s="311">
        <v>0</v>
      </c>
      <c r="T2115" s="312">
        <v>224.19642857142858</v>
      </c>
      <c r="U2115" s="311">
        <v>0.22863504270882867</v>
      </c>
      <c r="V2115" s="312">
        <v>980.58646616541307</v>
      </c>
      <c r="W2115" s="311">
        <v>3.5877724125145644E-2</v>
      </c>
      <c r="X2115" s="307"/>
    </row>
    <row r="2116" spans="1:24">
      <c r="A2116" s="313" t="s">
        <v>308</v>
      </c>
      <c r="B2116" s="312">
        <v>0</v>
      </c>
      <c r="C2116" s="311">
        <v>0</v>
      </c>
      <c r="D2116" s="312">
        <v>150.28759398496234</v>
      </c>
      <c r="E2116" s="311">
        <v>0.17162229789114256</v>
      </c>
      <c r="F2116" s="312">
        <v>370.25537132826412</v>
      </c>
      <c r="G2116" s="311">
        <v>0.42281652097147232</v>
      </c>
      <c r="H2116" s="312">
        <v>160.36603821968924</v>
      </c>
      <c r="I2116" s="311">
        <v>0.18313146982521875</v>
      </c>
      <c r="J2116" s="312">
        <v>36.909212686889639</v>
      </c>
      <c r="K2116" s="311">
        <v>4.2148814328019188E-2</v>
      </c>
      <c r="L2116" s="312">
        <v>0</v>
      </c>
      <c r="M2116" s="311">
        <v>0</v>
      </c>
      <c r="N2116" s="312">
        <v>20.320754716981131</v>
      </c>
      <c r="O2116" s="311">
        <v>2.3205472434135396E-2</v>
      </c>
      <c r="P2116" s="312">
        <v>0</v>
      </c>
      <c r="Q2116" s="311">
        <v>0</v>
      </c>
      <c r="R2116" s="312">
        <v>0</v>
      </c>
      <c r="S2116" s="311">
        <v>0</v>
      </c>
      <c r="T2116" s="312">
        <v>137.54907095324518</v>
      </c>
      <c r="U2116" s="311">
        <v>0.15707542455001172</v>
      </c>
      <c r="V2116" s="312">
        <v>875.68804189003174</v>
      </c>
      <c r="W2116" s="311">
        <v>3.2039697742799314E-2</v>
      </c>
      <c r="X2116" s="307"/>
    </row>
    <row r="2117" spans="1:24">
      <c r="A2117" s="313" t="s">
        <v>307</v>
      </c>
      <c r="B2117" s="312">
        <v>0</v>
      </c>
      <c r="C2117" s="311">
        <v>0</v>
      </c>
      <c r="D2117" s="312">
        <v>537.79950609661989</v>
      </c>
      <c r="E2117" s="311">
        <v>0.1838571351156536</v>
      </c>
      <c r="F2117" s="312">
        <v>240.91228070175438</v>
      </c>
      <c r="G2117" s="311">
        <v>8.2360510268012513E-2</v>
      </c>
      <c r="H2117" s="312">
        <v>952.73524720893124</v>
      </c>
      <c r="I2117" s="311">
        <v>0.32571092217416042</v>
      </c>
      <c r="J2117" s="312">
        <v>237.27432216905902</v>
      </c>
      <c r="K2117" s="311">
        <v>8.1116803968715998E-2</v>
      </c>
      <c r="L2117" s="312">
        <v>120.45614035087719</v>
      </c>
      <c r="M2117" s="311">
        <v>4.1180255134006256E-2</v>
      </c>
      <c r="N2117" s="312">
        <v>0</v>
      </c>
      <c r="O2117" s="311">
        <v>0</v>
      </c>
      <c r="P2117" s="312">
        <v>0</v>
      </c>
      <c r="Q2117" s="311">
        <v>0</v>
      </c>
      <c r="R2117" s="312">
        <v>0</v>
      </c>
      <c r="S2117" s="311">
        <v>0</v>
      </c>
      <c r="T2117" s="312">
        <v>835.91706539074949</v>
      </c>
      <c r="U2117" s="311">
        <v>0.28577437333945072</v>
      </c>
      <c r="V2117" s="312">
        <v>2925.0945619179925</v>
      </c>
      <c r="W2117" s="311">
        <v>0.1070234388843323</v>
      </c>
      <c r="X2117" s="307"/>
    </row>
    <row r="2118" spans="1:24">
      <c r="A2118" s="313" t="s">
        <v>306</v>
      </c>
      <c r="B2118" s="312">
        <v>0</v>
      </c>
      <c r="C2118" s="311">
        <v>0</v>
      </c>
      <c r="D2118" s="312">
        <v>433.2418910357934</v>
      </c>
      <c r="E2118" s="311">
        <v>0.34102563418093551</v>
      </c>
      <c r="F2118" s="312">
        <v>157.16495090275578</v>
      </c>
      <c r="G2118" s="311">
        <v>0.12371212978617484</v>
      </c>
      <c r="H2118" s="312">
        <v>383.98370090275574</v>
      </c>
      <c r="I2118" s="311">
        <v>0.30225213171892074</v>
      </c>
      <c r="J2118" s="312">
        <v>74.15625</v>
      </c>
      <c r="K2118" s="311">
        <v>5.8371968888485594E-2</v>
      </c>
      <c r="L2118" s="312">
        <v>74.15625</v>
      </c>
      <c r="M2118" s="311">
        <v>5.8371968888485594E-2</v>
      </c>
      <c r="N2118" s="312">
        <v>12.840909090909092</v>
      </c>
      <c r="O2118" s="311">
        <v>1.0107700240430409E-2</v>
      </c>
      <c r="P2118" s="312">
        <v>0</v>
      </c>
      <c r="Q2118" s="311">
        <v>0</v>
      </c>
      <c r="R2118" s="312">
        <v>0</v>
      </c>
      <c r="S2118" s="311">
        <v>0</v>
      </c>
      <c r="T2118" s="312">
        <v>134.86462622743113</v>
      </c>
      <c r="U2118" s="311">
        <v>0.10615846629656771</v>
      </c>
      <c r="V2118" s="312">
        <v>1270.4085781596445</v>
      </c>
      <c r="W2118" s="311">
        <v>4.6481743391450767E-2</v>
      </c>
      <c r="X2118" s="307"/>
    </row>
    <row r="2119" spans="1:24">
      <c r="A2119" s="313" t="s">
        <v>305</v>
      </c>
      <c r="B2119" s="312">
        <v>0</v>
      </c>
      <c r="C2119" s="311">
        <v>0</v>
      </c>
      <c r="D2119" s="312">
        <v>1137.0006723617037</v>
      </c>
      <c r="E2119" s="311">
        <v>0.27004953280778088</v>
      </c>
      <c r="F2119" s="312">
        <v>955.62387174243702</v>
      </c>
      <c r="G2119" s="311">
        <v>0.22697064863468408</v>
      </c>
      <c r="H2119" s="312">
        <v>1387.1275361060455</v>
      </c>
      <c r="I2119" s="311">
        <v>0.32945727489515492</v>
      </c>
      <c r="J2119" s="312">
        <v>250.64626653852028</v>
      </c>
      <c r="K2119" s="311">
        <v>5.953110567485162E-2</v>
      </c>
      <c r="L2119" s="312">
        <v>52.911174785100286</v>
      </c>
      <c r="M2119" s="311">
        <v>1.256695653604825E-2</v>
      </c>
      <c r="N2119" s="312">
        <v>0</v>
      </c>
      <c r="O2119" s="311">
        <v>0</v>
      </c>
      <c r="P2119" s="312">
        <v>0</v>
      </c>
      <c r="Q2119" s="311">
        <v>0</v>
      </c>
      <c r="R2119" s="312">
        <v>0</v>
      </c>
      <c r="S2119" s="311">
        <v>0</v>
      </c>
      <c r="T2119" s="312">
        <v>427.03167232047775</v>
      </c>
      <c r="U2119" s="311">
        <v>0.10142448145148041</v>
      </c>
      <c r="V2119" s="312">
        <v>4210.341193854284</v>
      </c>
      <c r="W2119" s="311">
        <v>0.15404807738837259</v>
      </c>
      <c r="X2119" s="307"/>
    </row>
    <row r="2120" spans="1:24" ht="28.5">
      <c r="A2120" s="313" t="s">
        <v>304</v>
      </c>
      <c r="B2120" s="312">
        <v>43.661896243291594</v>
      </c>
      <c r="C2120" s="311">
        <v>4.7927451941209122E-3</v>
      </c>
      <c r="D2120" s="312">
        <v>1792.7925600453259</v>
      </c>
      <c r="E2120" s="311">
        <v>0.19679397061306367</v>
      </c>
      <c r="F2120" s="312">
        <v>1770.8751246477202</v>
      </c>
      <c r="G2120" s="311">
        <v>0.19438810434962878</v>
      </c>
      <c r="H2120" s="312">
        <v>1661.5554176957448</v>
      </c>
      <c r="I2120" s="311">
        <v>0.18238813308870841</v>
      </c>
      <c r="J2120" s="312">
        <v>852.1586018666477</v>
      </c>
      <c r="K2120" s="311">
        <v>9.3541036810848133E-2</v>
      </c>
      <c r="L2120" s="312">
        <v>170.27399548455506</v>
      </c>
      <c r="M2120" s="311">
        <v>1.8690893977554929E-2</v>
      </c>
      <c r="N2120" s="312">
        <v>47.463063063063061</v>
      </c>
      <c r="O2120" s="311">
        <v>5.2099974340602305E-3</v>
      </c>
      <c r="P2120" s="312">
        <v>0</v>
      </c>
      <c r="Q2120" s="311">
        <v>0</v>
      </c>
      <c r="R2120" s="312">
        <v>0</v>
      </c>
      <c r="S2120" s="311">
        <v>0</v>
      </c>
      <c r="T2120" s="312">
        <v>2771.216738030017</v>
      </c>
      <c r="U2120" s="311">
        <v>0.3041951185320188</v>
      </c>
      <c r="V2120" s="312">
        <v>9109.9973970763294</v>
      </c>
      <c r="W2120" s="311">
        <v>0.33331683096874848</v>
      </c>
      <c r="X2120" s="307"/>
    </row>
    <row r="2121" spans="1:24" ht="28.5">
      <c r="A2121" s="313" t="s">
        <v>303</v>
      </c>
      <c r="B2121" s="312">
        <v>53.085987261146499</v>
      </c>
      <c r="C2121" s="311">
        <v>7.2478933262332332E-3</v>
      </c>
      <c r="D2121" s="312">
        <v>1721.4577966962911</v>
      </c>
      <c r="E2121" s="311">
        <v>0.2350326916722722</v>
      </c>
      <c r="F2121" s="312">
        <v>1558.3834995258783</v>
      </c>
      <c r="G2121" s="311">
        <v>0.21276796285923807</v>
      </c>
      <c r="H2121" s="312">
        <v>1521.691945925973</v>
      </c>
      <c r="I2121" s="311">
        <v>0.2077584211668578</v>
      </c>
      <c r="J2121" s="312">
        <v>796.34169046907584</v>
      </c>
      <c r="K2121" s="311">
        <v>0.10872548334382154</v>
      </c>
      <c r="L2121" s="312">
        <v>40.996062992125985</v>
      </c>
      <c r="M2121" s="311">
        <v>5.5972415074578372E-3</v>
      </c>
      <c r="N2121" s="312">
        <v>0</v>
      </c>
      <c r="O2121" s="311">
        <v>0</v>
      </c>
      <c r="P2121" s="312">
        <v>0</v>
      </c>
      <c r="Q2121" s="311">
        <v>0</v>
      </c>
      <c r="R2121" s="312">
        <v>0</v>
      </c>
      <c r="S2121" s="311">
        <v>0</v>
      </c>
      <c r="T2121" s="312">
        <v>1632.3764298475867</v>
      </c>
      <c r="U2121" s="311">
        <v>0.22287030612411812</v>
      </c>
      <c r="V2121" s="312">
        <v>7324.333412718086</v>
      </c>
      <c r="W2121" s="311">
        <v>0.26798290885013915</v>
      </c>
      <c r="X2121" s="307"/>
    </row>
    <row r="2122" spans="1:24" ht="15.75" thickBot="1">
      <c r="A2122" s="313" t="s">
        <v>302</v>
      </c>
      <c r="B2122" s="312">
        <v>0</v>
      </c>
      <c r="C2122" s="311">
        <v>0</v>
      </c>
      <c r="D2122" s="312">
        <v>276.59692460317461</v>
      </c>
      <c r="E2122" s="311">
        <v>0.43565731025659127</v>
      </c>
      <c r="F2122" s="312">
        <v>74.308035714285708</v>
      </c>
      <c r="G2122" s="311">
        <v>0.11703976469073465</v>
      </c>
      <c r="H2122" s="312">
        <v>67.59375</v>
      </c>
      <c r="I2122" s="311">
        <v>0.10646434828371364</v>
      </c>
      <c r="J2122" s="312">
        <v>140.50803571428571</v>
      </c>
      <c r="K2122" s="311">
        <v>0.22130887028676749</v>
      </c>
      <c r="L2122" s="312">
        <v>0</v>
      </c>
      <c r="M2122" s="311">
        <v>0</v>
      </c>
      <c r="N2122" s="312">
        <v>0</v>
      </c>
      <c r="O2122" s="311">
        <v>0</v>
      </c>
      <c r="P2122" s="312">
        <v>0</v>
      </c>
      <c r="Q2122" s="311">
        <v>0</v>
      </c>
      <c r="R2122" s="312">
        <v>0</v>
      </c>
      <c r="S2122" s="311">
        <v>0</v>
      </c>
      <c r="T2122" s="312">
        <v>75.888888888888886</v>
      </c>
      <c r="U2122" s="311">
        <v>0.1195297064821927</v>
      </c>
      <c r="V2122" s="312">
        <v>634.89563492063508</v>
      </c>
      <c r="W2122" s="311">
        <v>2.3229578649007432E-2</v>
      </c>
      <c r="X2122" s="307"/>
    </row>
    <row r="2123" spans="1:24" ht="15.75" customHeight="1">
      <c r="A2123" s="316" t="s">
        <v>3</v>
      </c>
      <c r="B2123" s="315">
        <v>66.144078919446571</v>
      </c>
      <c r="C2123" s="314">
        <v>5.1833125286114322E-3</v>
      </c>
      <c r="D2123" s="315">
        <v>2692.3329058046788</v>
      </c>
      <c r="E2123" s="314">
        <v>0.2109818914984897</v>
      </c>
      <c r="F2123" s="315">
        <v>2331.3779601480578</v>
      </c>
      <c r="G2123" s="314">
        <v>0.18269602944325197</v>
      </c>
      <c r="H2123" s="315">
        <v>2667.5382387357581</v>
      </c>
      <c r="I2123" s="314">
        <v>0.20903888298494455</v>
      </c>
      <c r="J2123" s="315">
        <v>1207.2235661438999</v>
      </c>
      <c r="K2123" s="314">
        <v>9.460282972341684E-2</v>
      </c>
      <c r="L2123" s="315">
        <v>491.53891515205424</v>
      </c>
      <c r="M2123" s="314">
        <v>3.8518940150494008E-2</v>
      </c>
      <c r="N2123" s="315">
        <v>121.72486161065528</v>
      </c>
      <c r="O2123" s="314">
        <v>9.5388432424675356E-3</v>
      </c>
      <c r="P2123" s="315">
        <v>96.929207390030882</v>
      </c>
      <c r="Q2123" s="314">
        <v>7.5957573717972127E-3</v>
      </c>
      <c r="R2123" s="315">
        <v>9.0285714285714285</v>
      </c>
      <c r="S2123" s="314">
        <v>7.0751468862647921E-4</v>
      </c>
      <c r="T2123" s="315">
        <v>3077.128461447222</v>
      </c>
      <c r="U2123" s="314">
        <v>0.24113599836790439</v>
      </c>
      <c r="V2123" s="315">
        <v>12760.966766780322</v>
      </c>
      <c r="W2123" s="314">
        <v>1</v>
      </c>
      <c r="X2123" s="307"/>
    </row>
    <row r="2124" spans="1:24">
      <c r="A2124" s="313" t="s">
        <v>309</v>
      </c>
      <c r="B2124" s="312">
        <v>39.466666666666669</v>
      </c>
      <c r="C2124" s="311">
        <v>9.9982147765324672E-2</v>
      </c>
      <c r="D2124" s="312">
        <v>171.98954248366013</v>
      </c>
      <c r="E2124" s="311">
        <v>0.43570651648712572</v>
      </c>
      <c r="F2124" s="312">
        <v>51.172549019607843</v>
      </c>
      <c r="G2124" s="311">
        <v>0.12963702764206297</v>
      </c>
      <c r="H2124" s="312">
        <v>41.320855614973262</v>
      </c>
      <c r="I2124" s="311">
        <v>0.1046794229362982</v>
      </c>
      <c r="J2124" s="312">
        <v>5</v>
      </c>
      <c r="K2124" s="311">
        <v>1.2666657233782687E-2</v>
      </c>
      <c r="L2124" s="312">
        <v>0</v>
      </c>
      <c r="M2124" s="311">
        <v>0</v>
      </c>
      <c r="N2124" s="312">
        <v>0</v>
      </c>
      <c r="O2124" s="311">
        <v>0</v>
      </c>
      <c r="P2124" s="312">
        <v>0</v>
      </c>
      <c r="Q2124" s="311">
        <v>0</v>
      </c>
      <c r="R2124" s="312">
        <v>0</v>
      </c>
      <c r="S2124" s="311">
        <v>0</v>
      </c>
      <c r="T2124" s="312">
        <v>85.787522281639923</v>
      </c>
      <c r="U2124" s="311">
        <v>0.21732822793540557</v>
      </c>
      <c r="V2124" s="312">
        <v>394.73713606654792</v>
      </c>
      <c r="W2124" s="311">
        <v>3.0933168566361115E-2</v>
      </c>
      <c r="X2124" s="307"/>
    </row>
    <row r="2125" spans="1:24">
      <c r="A2125" s="313" t="s">
        <v>308</v>
      </c>
      <c r="B2125" s="312">
        <v>7.5707070707070709</v>
      </c>
      <c r="C2125" s="311">
        <v>9.6803058865151843E-3</v>
      </c>
      <c r="D2125" s="312">
        <v>287.65336081771039</v>
      </c>
      <c r="E2125" s="311">
        <v>0.36780877875644591</v>
      </c>
      <c r="F2125" s="312">
        <v>196.27425195349724</v>
      </c>
      <c r="G2125" s="311">
        <v>0.25096662422831695</v>
      </c>
      <c r="H2125" s="312">
        <v>80.91013912712026</v>
      </c>
      <c r="I2125" s="311">
        <v>0.1034559769326637</v>
      </c>
      <c r="J2125" s="312">
        <v>62.572231751477034</v>
      </c>
      <c r="K2125" s="311">
        <v>8.0008160096418035E-2</v>
      </c>
      <c r="L2125" s="312">
        <v>7.5707070707070709</v>
      </c>
      <c r="M2125" s="311">
        <v>9.6803058865151843E-3</v>
      </c>
      <c r="N2125" s="312">
        <v>5</v>
      </c>
      <c r="O2125" s="311">
        <v>6.3932640611407809E-3</v>
      </c>
      <c r="P2125" s="312">
        <v>0</v>
      </c>
      <c r="Q2125" s="311">
        <v>0</v>
      </c>
      <c r="R2125" s="312">
        <v>0</v>
      </c>
      <c r="S2125" s="311">
        <v>0</v>
      </c>
      <c r="T2125" s="312">
        <v>134.52172670097198</v>
      </c>
      <c r="U2125" s="311">
        <v>0.17200658415198528</v>
      </c>
      <c r="V2125" s="312">
        <v>782.07312449219023</v>
      </c>
      <c r="W2125" s="311">
        <v>6.1286353830816577E-2</v>
      </c>
      <c r="X2125" s="307"/>
    </row>
    <row r="2126" spans="1:24">
      <c r="A2126" s="313" t="s">
        <v>307</v>
      </c>
      <c r="B2126" s="312">
        <v>0</v>
      </c>
      <c r="C2126" s="311">
        <v>0</v>
      </c>
      <c r="D2126" s="312">
        <v>263.79108796296293</v>
      </c>
      <c r="E2126" s="311">
        <v>0.22033439924169126</v>
      </c>
      <c r="F2126" s="312">
        <v>95.6640625</v>
      </c>
      <c r="G2126" s="311">
        <v>7.9904457359516762E-2</v>
      </c>
      <c r="H2126" s="312">
        <v>286.9921875</v>
      </c>
      <c r="I2126" s="311">
        <v>0.23971337207855026</v>
      </c>
      <c r="J2126" s="312">
        <v>168.12702546296296</v>
      </c>
      <c r="K2126" s="311">
        <v>0.14042994188217453</v>
      </c>
      <c r="L2126" s="312">
        <v>191.328125</v>
      </c>
      <c r="M2126" s="311">
        <v>0.15980891471903352</v>
      </c>
      <c r="N2126" s="312">
        <v>0</v>
      </c>
      <c r="O2126" s="311">
        <v>0</v>
      </c>
      <c r="P2126" s="312">
        <v>0</v>
      </c>
      <c r="Q2126" s="311">
        <v>0</v>
      </c>
      <c r="R2126" s="312">
        <v>0</v>
      </c>
      <c r="S2126" s="311">
        <v>0</v>
      </c>
      <c r="T2126" s="312">
        <v>191.328125</v>
      </c>
      <c r="U2126" s="311">
        <v>0.15980891471903352</v>
      </c>
      <c r="V2126" s="312">
        <v>1197.2306134259261</v>
      </c>
      <c r="W2126" s="311">
        <v>9.3819742289634966E-2</v>
      </c>
      <c r="X2126" s="307"/>
    </row>
    <row r="2127" spans="1:24">
      <c r="A2127" s="313" t="s">
        <v>306</v>
      </c>
      <c r="B2127" s="312">
        <v>0</v>
      </c>
      <c r="C2127" s="311">
        <v>0</v>
      </c>
      <c r="D2127" s="312">
        <v>68.387592592592597</v>
      </c>
      <c r="E2127" s="311">
        <v>0.16380786883442813</v>
      </c>
      <c r="F2127" s="312">
        <v>81.580436893203881</v>
      </c>
      <c r="G2127" s="311">
        <v>0.19540850905029156</v>
      </c>
      <c r="H2127" s="312">
        <v>132.19395541172241</v>
      </c>
      <c r="I2127" s="311">
        <v>0.31664238040648857</v>
      </c>
      <c r="J2127" s="312">
        <v>37.888888888888886</v>
      </c>
      <c r="K2127" s="311">
        <v>9.075473936284735E-2</v>
      </c>
      <c r="L2127" s="312">
        <v>0</v>
      </c>
      <c r="M2127" s="311">
        <v>0</v>
      </c>
      <c r="N2127" s="312">
        <v>0</v>
      </c>
      <c r="O2127" s="311">
        <v>0</v>
      </c>
      <c r="P2127" s="312">
        <v>0</v>
      </c>
      <c r="Q2127" s="311">
        <v>0</v>
      </c>
      <c r="R2127" s="312">
        <v>0</v>
      </c>
      <c r="S2127" s="311">
        <v>0</v>
      </c>
      <c r="T2127" s="312">
        <v>97.435740740740755</v>
      </c>
      <c r="U2127" s="311">
        <v>0.23338650234594446</v>
      </c>
      <c r="V2127" s="312">
        <v>417.4866145271485</v>
      </c>
      <c r="W2127" s="311">
        <v>3.2715907983865332E-2</v>
      </c>
      <c r="X2127" s="307"/>
    </row>
    <row r="2128" spans="1:24">
      <c r="A2128" s="313" t="s">
        <v>305</v>
      </c>
      <c r="B2128" s="312">
        <v>0</v>
      </c>
      <c r="C2128" s="311">
        <v>0</v>
      </c>
      <c r="D2128" s="312">
        <v>379.53903076336195</v>
      </c>
      <c r="E2128" s="311">
        <v>0.2130688674362835</v>
      </c>
      <c r="F2128" s="312">
        <v>294.04681109182542</v>
      </c>
      <c r="G2128" s="311">
        <v>0.1650745139085549</v>
      </c>
      <c r="H2128" s="312">
        <v>422.73380364949065</v>
      </c>
      <c r="I2128" s="311">
        <v>0.23731791850095035</v>
      </c>
      <c r="J2128" s="312">
        <v>269.01277856028054</v>
      </c>
      <c r="K2128" s="311">
        <v>0.15102069460008699</v>
      </c>
      <c r="L2128" s="312">
        <v>7.4358974358974361</v>
      </c>
      <c r="M2128" s="311">
        <v>4.1744277047144054E-3</v>
      </c>
      <c r="N2128" s="312">
        <v>102.22039732494099</v>
      </c>
      <c r="O2128" s="311">
        <v>5.7385360981468174E-2</v>
      </c>
      <c r="P2128" s="312">
        <v>56.266129032258064</v>
      </c>
      <c r="Q2128" s="311">
        <v>3.1587160782422241E-2</v>
      </c>
      <c r="R2128" s="312">
        <v>0</v>
      </c>
      <c r="S2128" s="311">
        <v>0</v>
      </c>
      <c r="T2128" s="312">
        <v>250.04260460463308</v>
      </c>
      <c r="U2128" s="311">
        <v>0.14037105608551956</v>
      </c>
      <c r="V2128" s="312">
        <v>1781.2974524626879</v>
      </c>
      <c r="W2128" s="311">
        <v>0.13958953776917649</v>
      </c>
      <c r="X2128" s="307"/>
    </row>
    <row r="2129" spans="1:24" ht="28.5">
      <c r="A2129" s="313" t="s">
        <v>304</v>
      </c>
      <c r="B2129" s="312">
        <v>0</v>
      </c>
      <c r="C2129" s="311">
        <v>0</v>
      </c>
      <c r="D2129" s="312">
        <v>692.00407960654388</v>
      </c>
      <c r="E2129" s="311">
        <v>0.15127045719739177</v>
      </c>
      <c r="F2129" s="312">
        <v>652.60325537908921</v>
      </c>
      <c r="G2129" s="311">
        <v>0.14265753009119617</v>
      </c>
      <c r="H2129" s="312">
        <v>899.87213469718529</v>
      </c>
      <c r="I2129" s="311">
        <v>0.19670992302853599</v>
      </c>
      <c r="J2129" s="312">
        <v>525.79774573177201</v>
      </c>
      <c r="K2129" s="311">
        <v>0.11493814521357479</v>
      </c>
      <c r="L2129" s="312">
        <v>199.3141676182631</v>
      </c>
      <c r="M2129" s="311">
        <v>4.3569606235088917E-2</v>
      </c>
      <c r="N2129" s="312">
        <v>0</v>
      </c>
      <c r="O2129" s="311">
        <v>0</v>
      </c>
      <c r="P2129" s="312">
        <v>26.933514483637765</v>
      </c>
      <c r="Q2129" s="311">
        <v>5.8876026456216434E-3</v>
      </c>
      <c r="R2129" s="312">
        <v>9.0285714285714285</v>
      </c>
      <c r="S2129" s="311">
        <v>1.9736243876132108E-3</v>
      </c>
      <c r="T2129" s="312">
        <v>1569.0613793696598</v>
      </c>
      <c r="U2129" s="311">
        <v>0.34299311120097925</v>
      </c>
      <c r="V2129" s="312">
        <v>4574.6148483147144</v>
      </c>
      <c r="W2129" s="311">
        <v>0.35848497468259771</v>
      </c>
      <c r="X2129" s="307"/>
    </row>
    <row r="2130" spans="1:24" ht="28.5">
      <c r="A2130" s="313" t="s">
        <v>303</v>
      </c>
      <c r="B2130" s="312">
        <v>19.10670518207283</v>
      </c>
      <c r="C2130" s="311">
        <v>5.9219382722576494E-3</v>
      </c>
      <c r="D2130" s="312">
        <v>671.9451852620565</v>
      </c>
      <c r="E2130" s="311">
        <v>0.20826290412416026</v>
      </c>
      <c r="F2130" s="312">
        <v>841.22409331083259</v>
      </c>
      <c r="G2130" s="311">
        <v>0.26072926264632995</v>
      </c>
      <c r="H2130" s="312">
        <v>751.65757759594487</v>
      </c>
      <c r="I2130" s="311">
        <v>0.23296898832009902</v>
      </c>
      <c r="J2130" s="312">
        <v>138.82489574851829</v>
      </c>
      <c r="K2130" s="311">
        <v>4.3027432277894198E-2</v>
      </c>
      <c r="L2130" s="312">
        <v>85.890018027186699</v>
      </c>
      <c r="M2130" s="311">
        <v>2.6620779465280683E-2</v>
      </c>
      <c r="N2130" s="312">
        <v>14.504464285714286</v>
      </c>
      <c r="O2130" s="311">
        <v>4.4955182672079732E-3</v>
      </c>
      <c r="P2130" s="312">
        <v>13.729563874135049</v>
      </c>
      <c r="Q2130" s="311">
        <v>4.2553453875413677E-3</v>
      </c>
      <c r="R2130" s="312">
        <v>0</v>
      </c>
      <c r="S2130" s="311">
        <v>0</v>
      </c>
      <c r="T2130" s="312">
        <v>689.54511274957713</v>
      </c>
      <c r="U2130" s="311">
        <v>0.21371783123922866</v>
      </c>
      <c r="V2130" s="312">
        <v>3226.4276160360391</v>
      </c>
      <c r="W2130" s="311">
        <v>0.25283567264160256</v>
      </c>
      <c r="X2130" s="307"/>
    </row>
    <row r="2131" spans="1:24" ht="15.75" thickBot="1">
      <c r="A2131" s="310" t="s">
        <v>302</v>
      </c>
      <c r="B2131" s="309">
        <v>0</v>
      </c>
      <c r="C2131" s="308">
        <v>0</v>
      </c>
      <c r="D2131" s="309">
        <v>157.02302631578948</v>
      </c>
      <c r="E2131" s="308">
        <v>0.40564010678172957</v>
      </c>
      <c r="F2131" s="309">
        <v>118.8125</v>
      </c>
      <c r="G2131" s="308">
        <v>0.30693024021890208</v>
      </c>
      <c r="H2131" s="309">
        <v>51.857585139318886</v>
      </c>
      <c r="I2131" s="308">
        <v>0.13396453288991739</v>
      </c>
      <c r="J2131" s="309">
        <v>0</v>
      </c>
      <c r="K2131" s="308">
        <v>0</v>
      </c>
      <c r="L2131" s="309">
        <v>0</v>
      </c>
      <c r="M2131" s="308">
        <v>0</v>
      </c>
      <c r="N2131" s="309">
        <v>0</v>
      </c>
      <c r="O2131" s="308">
        <v>0</v>
      </c>
      <c r="P2131" s="309">
        <v>0</v>
      </c>
      <c r="Q2131" s="308">
        <v>0</v>
      </c>
      <c r="R2131" s="309">
        <v>0</v>
      </c>
      <c r="S2131" s="308">
        <v>0</v>
      </c>
      <c r="T2131" s="309">
        <v>59.40625</v>
      </c>
      <c r="U2131" s="308">
        <v>0.15346512010945104</v>
      </c>
      <c r="V2131" s="309">
        <v>387.09936145510835</v>
      </c>
      <c r="W2131" s="308">
        <v>3.0334642235948409E-2</v>
      </c>
      <c r="X2131" s="307"/>
    </row>
    <row r="2135" spans="1:24" ht="15.75" thickBot="1"/>
    <row r="2136" spans="1:24" ht="15" customHeight="1">
      <c r="A2136" s="752" t="s">
        <v>310</v>
      </c>
      <c r="B2136" s="763" t="s">
        <v>371</v>
      </c>
      <c r="C2136" s="764"/>
      <c r="D2136" s="764"/>
      <c r="E2136" s="764"/>
      <c r="F2136" s="764"/>
      <c r="G2136" s="764"/>
      <c r="H2136" s="764"/>
      <c r="I2136" s="764"/>
      <c r="J2136" s="764"/>
      <c r="K2136" s="764"/>
      <c r="L2136" s="764"/>
      <c r="M2136" s="764"/>
      <c r="N2136" s="764"/>
      <c r="O2136" s="764"/>
      <c r="P2136" s="764"/>
      <c r="Q2136" s="764"/>
      <c r="R2136" s="764"/>
      <c r="S2136" s="764"/>
      <c r="T2136" s="764"/>
      <c r="U2136" s="764"/>
      <c r="V2136" s="764"/>
      <c r="W2136" s="765"/>
      <c r="X2136" s="307"/>
    </row>
    <row r="2137" spans="1:24" ht="15" customHeight="1">
      <c r="A2137" s="753"/>
      <c r="B2137" s="767" t="s">
        <v>69</v>
      </c>
      <c r="C2137" s="759"/>
      <c r="D2137" s="768" t="s">
        <v>68</v>
      </c>
      <c r="E2137" s="759"/>
      <c r="F2137" s="768" t="s">
        <v>67</v>
      </c>
      <c r="G2137" s="759"/>
      <c r="H2137" s="768" t="s">
        <v>66</v>
      </c>
      <c r="I2137" s="759"/>
      <c r="J2137" s="768" t="s">
        <v>65</v>
      </c>
      <c r="K2137" s="759"/>
      <c r="L2137" s="768" t="s">
        <v>64</v>
      </c>
      <c r="M2137" s="759"/>
      <c r="N2137" s="768" t="s">
        <v>63</v>
      </c>
      <c r="O2137" s="759"/>
      <c r="P2137" s="768" t="s">
        <v>62</v>
      </c>
      <c r="Q2137" s="759"/>
      <c r="R2137" s="768" t="s">
        <v>61</v>
      </c>
      <c r="S2137" s="759"/>
      <c r="T2137" s="768" t="s">
        <v>60</v>
      </c>
      <c r="U2137" s="759"/>
      <c r="V2137" s="769" t="s">
        <v>9</v>
      </c>
      <c r="W2137" s="766"/>
      <c r="X2137" s="307"/>
    </row>
    <row r="2138" spans="1:24" ht="15.75" customHeight="1" thickBot="1">
      <c r="A2138" s="754"/>
      <c r="B2138" s="318" t="s">
        <v>7</v>
      </c>
      <c r="C2138" s="318" t="s">
        <v>8</v>
      </c>
      <c r="D2138" s="318" t="s">
        <v>7</v>
      </c>
      <c r="E2138" s="318" t="s">
        <v>8</v>
      </c>
      <c r="F2138" s="318" t="s">
        <v>7</v>
      </c>
      <c r="G2138" s="318" t="s">
        <v>8</v>
      </c>
      <c r="H2138" s="318" t="s">
        <v>7</v>
      </c>
      <c r="I2138" s="318" t="s">
        <v>8</v>
      </c>
      <c r="J2138" s="318" t="s">
        <v>7</v>
      </c>
      <c r="K2138" s="318" t="s">
        <v>8</v>
      </c>
      <c r="L2138" s="318" t="s">
        <v>7</v>
      </c>
      <c r="M2138" s="318" t="s">
        <v>8</v>
      </c>
      <c r="N2138" s="318" t="s">
        <v>7</v>
      </c>
      <c r="O2138" s="318" t="s">
        <v>8</v>
      </c>
      <c r="P2138" s="318" t="s">
        <v>7</v>
      </c>
      <c r="Q2138" s="318" t="s">
        <v>8</v>
      </c>
      <c r="R2138" s="318" t="s">
        <v>7</v>
      </c>
      <c r="S2138" s="318" t="s">
        <v>8</v>
      </c>
      <c r="T2138" s="318" t="s">
        <v>7</v>
      </c>
      <c r="U2138" s="318" t="s">
        <v>8</v>
      </c>
      <c r="V2138" s="318" t="s">
        <v>7</v>
      </c>
      <c r="W2138" s="318" t="s">
        <v>6</v>
      </c>
      <c r="X2138" s="307"/>
    </row>
    <row r="2139" spans="1:24" ht="15.75" customHeight="1">
      <c r="A2139" s="316" t="s">
        <v>5</v>
      </c>
      <c r="B2139" s="315">
        <v>54.263157</v>
      </c>
      <c r="C2139" s="314">
        <v>1.4808603187928685E-3</v>
      </c>
      <c r="D2139" s="315">
        <v>14349.878531000015</v>
      </c>
      <c r="E2139" s="314">
        <v>0.39161314731569374</v>
      </c>
      <c r="F2139" s="315">
        <v>9356.7374158000039</v>
      </c>
      <c r="G2139" s="314">
        <v>0.25534859964787437</v>
      </c>
      <c r="H2139" s="315">
        <v>8036.7417740000037</v>
      </c>
      <c r="I2139" s="314">
        <v>0.21932546212712262</v>
      </c>
      <c r="J2139" s="315">
        <v>3158.0107514999986</v>
      </c>
      <c r="K2139" s="314">
        <v>8.6183205452229655E-2</v>
      </c>
      <c r="L2139" s="315">
        <v>0</v>
      </c>
      <c r="M2139" s="314">
        <v>0</v>
      </c>
      <c r="N2139" s="315">
        <v>0</v>
      </c>
      <c r="O2139" s="314">
        <v>0</v>
      </c>
      <c r="P2139" s="315">
        <v>0</v>
      </c>
      <c r="Q2139" s="314">
        <v>0</v>
      </c>
      <c r="R2139" s="315">
        <v>0</v>
      </c>
      <c r="S2139" s="314">
        <v>0</v>
      </c>
      <c r="T2139" s="315">
        <v>1687.3631969999999</v>
      </c>
      <c r="U2139" s="314">
        <v>4.6048725138288088E-2</v>
      </c>
      <c r="V2139" s="315">
        <v>36642.994826299968</v>
      </c>
      <c r="W2139" s="314">
        <v>1</v>
      </c>
      <c r="X2139" s="307"/>
    </row>
    <row r="2140" spans="1:24">
      <c r="A2140" s="313" t="s">
        <v>309</v>
      </c>
      <c r="B2140" s="312">
        <v>0</v>
      </c>
      <c r="C2140" s="311">
        <v>0</v>
      </c>
      <c r="D2140" s="312">
        <v>157.741995</v>
      </c>
      <c r="E2140" s="311">
        <v>0.20300015015257863</v>
      </c>
      <c r="F2140" s="312">
        <v>206.83778179999999</v>
      </c>
      <c r="G2140" s="311">
        <v>0.26618213344281777</v>
      </c>
      <c r="H2140" s="312">
        <v>255.76194100000001</v>
      </c>
      <c r="I2140" s="311">
        <v>0.32914324702381864</v>
      </c>
      <c r="J2140" s="312">
        <v>156.71187</v>
      </c>
      <c r="K2140" s="311">
        <v>0.20167446938078462</v>
      </c>
      <c r="L2140" s="312">
        <v>0</v>
      </c>
      <c r="M2140" s="311">
        <v>0</v>
      </c>
      <c r="N2140" s="312">
        <v>0</v>
      </c>
      <c r="O2140" s="311">
        <v>0</v>
      </c>
      <c r="P2140" s="312">
        <v>0</v>
      </c>
      <c r="Q2140" s="311">
        <v>0</v>
      </c>
      <c r="R2140" s="312">
        <v>0</v>
      </c>
      <c r="S2140" s="311">
        <v>0</v>
      </c>
      <c r="T2140" s="312">
        <v>0</v>
      </c>
      <c r="U2140" s="311">
        <v>0</v>
      </c>
      <c r="V2140" s="312">
        <v>777.05358780000029</v>
      </c>
      <c r="W2140" s="311">
        <v>2.1206061117097382E-2</v>
      </c>
      <c r="X2140" s="307"/>
    </row>
    <row r="2141" spans="1:24">
      <c r="A2141" s="313" t="s">
        <v>308</v>
      </c>
      <c r="B2141" s="312">
        <v>0</v>
      </c>
      <c r="C2141" s="311">
        <v>0</v>
      </c>
      <c r="D2141" s="312">
        <v>436.70075999999989</v>
      </c>
      <c r="E2141" s="311">
        <v>0.326369676796335</v>
      </c>
      <c r="F2141" s="312">
        <v>368.27987799999988</v>
      </c>
      <c r="G2141" s="311">
        <v>0.27523511695618225</v>
      </c>
      <c r="H2141" s="312">
        <v>232.77164999999997</v>
      </c>
      <c r="I2141" s="311">
        <v>0.17396261957009101</v>
      </c>
      <c r="J2141" s="312">
        <v>205.781632</v>
      </c>
      <c r="K2141" s="311">
        <v>0.15379154532834419</v>
      </c>
      <c r="L2141" s="312">
        <v>0</v>
      </c>
      <c r="M2141" s="311">
        <v>0</v>
      </c>
      <c r="N2141" s="312">
        <v>0</v>
      </c>
      <c r="O2141" s="311">
        <v>0</v>
      </c>
      <c r="P2141" s="312">
        <v>0</v>
      </c>
      <c r="Q2141" s="311">
        <v>0</v>
      </c>
      <c r="R2141" s="312">
        <v>0</v>
      </c>
      <c r="S2141" s="311">
        <v>0</v>
      </c>
      <c r="T2141" s="312">
        <v>94.521637999999996</v>
      </c>
      <c r="U2141" s="311">
        <v>7.0641041349046849E-2</v>
      </c>
      <c r="V2141" s="312">
        <v>1338.0555580000007</v>
      </c>
      <c r="W2141" s="311">
        <v>3.6515998878989854E-2</v>
      </c>
      <c r="X2141" s="307"/>
    </row>
    <row r="2142" spans="1:24">
      <c r="A2142" s="313" t="s">
        <v>307</v>
      </c>
      <c r="B2142" s="312">
        <v>0</v>
      </c>
      <c r="C2142" s="311">
        <v>0</v>
      </c>
      <c r="D2142" s="312">
        <v>1030.6099590000001</v>
      </c>
      <c r="E2142" s="311">
        <v>0.38919953017023901</v>
      </c>
      <c r="F2142" s="312">
        <v>679.10083499999996</v>
      </c>
      <c r="G2142" s="311">
        <v>0.25645562961246032</v>
      </c>
      <c r="H2142" s="312">
        <v>607.44348300000001</v>
      </c>
      <c r="I2142" s="311">
        <v>0.22939494822849224</v>
      </c>
      <c r="J2142" s="312">
        <v>151.41833700000001</v>
      </c>
      <c r="K2142" s="311">
        <v>5.7181618618105078E-2</v>
      </c>
      <c r="L2142" s="312">
        <v>0</v>
      </c>
      <c r="M2142" s="311">
        <v>0</v>
      </c>
      <c r="N2142" s="312">
        <v>0</v>
      </c>
      <c r="O2142" s="311">
        <v>0</v>
      </c>
      <c r="P2142" s="312">
        <v>0</v>
      </c>
      <c r="Q2142" s="311">
        <v>0</v>
      </c>
      <c r="R2142" s="312">
        <v>0</v>
      </c>
      <c r="S2142" s="311">
        <v>0</v>
      </c>
      <c r="T2142" s="312">
        <v>179.45205999999999</v>
      </c>
      <c r="U2142" s="311">
        <v>6.77682733707035E-2</v>
      </c>
      <c r="V2142" s="312">
        <v>2648.0246739999998</v>
      </c>
      <c r="W2142" s="311">
        <v>7.2265509043475326E-2</v>
      </c>
      <c r="X2142" s="307"/>
    </row>
    <row r="2143" spans="1:24">
      <c r="A2143" s="313" t="s">
        <v>306</v>
      </c>
      <c r="B2143" s="312">
        <v>0</v>
      </c>
      <c r="C2143" s="311">
        <v>0</v>
      </c>
      <c r="D2143" s="312">
        <v>933.06501600000013</v>
      </c>
      <c r="E2143" s="311">
        <v>0.50560152841285988</v>
      </c>
      <c r="F2143" s="312">
        <v>365.22870499999999</v>
      </c>
      <c r="G2143" s="311">
        <v>0.19790710004312229</v>
      </c>
      <c r="H2143" s="312">
        <v>468.81646100000006</v>
      </c>
      <c r="I2143" s="311">
        <v>0.2540383737061126</v>
      </c>
      <c r="J2143" s="312">
        <v>78.345109499999992</v>
      </c>
      <c r="K2143" s="311">
        <v>4.2452997837905071E-2</v>
      </c>
      <c r="L2143" s="312">
        <v>0</v>
      </c>
      <c r="M2143" s="311">
        <v>0</v>
      </c>
      <c r="N2143" s="312">
        <v>0</v>
      </c>
      <c r="O2143" s="311">
        <v>0</v>
      </c>
      <c r="P2143" s="312">
        <v>0</v>
      </c>
      <c r="Q2143" s="311">
        <v>0</v>
      </c>
      <c r="R2143" s="312">
        <v>0</v>
      </c>
      <c r="S2143" s="311">
        <v>0</v>
      </c>
      <c r="T2143" s="312">
        <v>0</v>
      </c>
      <c r="U2143" s="311">
        <v>0</v>
      </c>
      <c r="V2143" s="312">
        <v>1845.4552915000004</v>
      </c>
      <c r="W2143" s="311">
        <v>5.0363113065623445E-2</v>
      </c>
      <c r="X2143" s="307"/>
    </row>
    <row r="2144" spans="1:24">
      <c r="A2144" s="313" t="s">
        <v>305</v>
      </c>
      <c r="B2144" s="312">
        <v>54.263157</v>
      </c>
      <c r="C2144" s="311">
        <v>1.4502522023457063E-2</v>
      </c>
      <c r="D2144" s="312">
        <v>1074.2052819999997</v>
      </c>
      <c r="E2144" s="311">
        <v>0.28709508663343897</v>
      </c>
      <c r="F2144" s="312">
        <v>1178.2717380000001</v>
      </c>
      <c r="G2144" s="311">
        <v>0.31490817664667081</v>
      </c>
      <c r="H2144" s="312">
        <v>1050.7301979999997</v>
      </c>
      <c r="I2144" s="311">
        <v>0.28082107049551863</v>
      </c>
      <c r="J2144" s="312">
        <v>356.94634499999995</v>
      </c>
      <c r="K2144" s="311">
        <v>9.5398471370823523E-2</v>
      </c>
      <c r="L2144" s="312">
        <v>0</v>
      </c>
      <c r="M2144" s="311">
        <v>0</v>
      </c>
      <c r="N2144" s="312">
        <v>0</v>
      </c>
      <c r="O2144" s="311">
        <v>0</v>
      </c>
      <c r="P2144" s="312">
        <v>0</v>
      </c>
      <c r="Q2144" s="311">
        <v>0</v>
      </c>
      <c r="R2144" s="312">
        <v>0</v>
      </c>
      <c r="S2144" s="311">
        <v>0</v>
      </c>
      <c r="T2144" s="312">
        <v>27.219176999999998</v>
      </c>
      <c r="U2144" s="311">
        <v>7.2746728300912521E-3</v>
      </c>
      <c r="V2144" s="312">
        <v>3741.6358969999983</v>
      </c>
      <c r="W2144" s="311">
        <v>0.10211053749117947</v>
      </c>
      <c r="X2144" s="307"/>
    </row>
    <row r="2145" spans="1:24" ht="28.5">
      <c r="A2145" s="313" t="s">
        <v>304</v>
      </c>
      <c r="B2145" s="312">
        <v>0</v>
      </c>
      <c r="C2145" s="311">
        <v>0</v>
      </c>
      <c r="D2145" s="312">
        <v>5323.1524160000108</v>
      </c>
      <c r="E2145" s="311">
        <v>0.39650538340272673</v>
      </c>
      <c r="F2145" s="312">
        <v>3055.5138299999985</v>
      </c>
      <c r="G2145" s="311">
        <v>0.22759590332505727</v>
      </c>
      <c r="H2145" s="312">
        <v>3033.8294820000001</v>
      </c>
      <c r="I2145" s="311">
        <v>0.22598070239792725</v>
      </c>
      <c r="J2145" s="312">
        <v>1321.7388259999996</v>
      </c>
      <c r="K2145" s="311">
        <v>9.8452292740324715E-2</v>
      </c>
      <c r="L2145" s="312">
        <v>0</v>
      </c>
      <c r="M2145" s="311">
        <v>0</v>
      </c>
      <c r="N2145" s="312">
        <v>0</v>
      </c>
      <c r="O2145" s="311">
        <v>0</v>
      </c>
      <c r="P2145" s="312">
        <v>0</v>
      </c>
      <c r="Q2145" s="311">
        <v>0</v>
      </c>
      <c r="R2145" s="312">
        <v>0</v>
      </c>
      <c r="S2145" s="311">
        <v>0</v>
      </c>
      <c r="T2145" s="312">
        <v>690.93604600000003</v>
      </c>
      <c r="U2145" s="311">
        <v>5.1465718133965506E-2</v>
      </c>
      <c r="V2145" s="312">
        <v>13425.170599999989</v>
      </c>
      <c r="W2145" s="311">
        <v>0.36637754811362394</v>
      </c>
      <c r="X2145" s="307"/>
    </row>
    <row r="2146" spans="1:24" ht="28.5">
      <c r="A2146" s="313" t="s">
        <v>303</v>
      </c>
      <c r="B2146" s="312">
        <v>0</v>
      </c>
      <c r="C2146" s="311">
        <v>0</v>
      </c>
      <c r="D2146" s="312">
        <v>4898.1614429999991</v>
      </c>
      <c r="E2146" s="311">
        <v>0.41404287964873504</v>
      </c>
      <c r="F2146" s="312">
        <v>3169.3046379999978</v>
      </c>
      <c r="G2146" s="311">
        <v>0.26790215758954333</v>
      </c>
      <c r="H2146" s="312">
        <v>2250.8552189999996</v>
      </c>
      <c r="I2146" s="311">
        <v>0.19026538577633079</v>
      </c>
      <c r="J2146" s="312">
        <v>816.52696800000001</v>
      </c>
      <c r="K2146" s="311">
        <v>6.902124012770533E-2</v>
      </c>
      <c r="L2146" s="312">
        <v>0</v>
      </c>
      <c r="M2146" s="311">
        <v>0</v>
      </c>
      <c r="N2146" s="312">
        <v>0</v>
      </c>
      <c r="O2146" s="311">
        <v>0</v>
      </c>
      <c r="P2146" s="312">
        <v>0</v>
      </c>
      <c r="Q2146" s="311">
        <v>0</v>
      </c>
      <c r="R2146" s="312">
        <v>0</v>
      </c>
      <c r="S2146" s="311">
        <v>0</v>
      </c>
      <c r="T2146" s="312">
        <v>695.23427599999991</v>
      </c>
      <c r="U2146" s="311">
        <v>5.8768336857683984E-2</v>
      </c>
      <c r="V2146" s="312">
        <v>11830.082544000014</v>
      </c>
      <c r="W2146" s="311">
        <v>0.32284704348207766</v>
      </c>
      <c r="X2146" s="307"/>
    </row>
    <row r="2147" spans="1:24" ht="15.75" thickBot="1">
      <c r="A2147" s="313" t="s">
        <v>302</v>
      </c>
      <c r="B2147" s="312">
        <v>0</v>
      </c>
      <c r="C2147" s="311">
        <v>0</v>
      </c>
      <c r="D2147" s="312">
        <v>496.24165999999991</v>
      </c>
      <c r="E2147" s="311">
        <v>0.4782975275826748</v>
      </c>
      <c r="F2147" s="312">
        <v>334.20001000000002</v>
      </c>
      <c r="G2147" s="311">
        <v>0.32211531474625738</v>
      </c>
      <c r="H2147" s="312">
        <v>136.53334000000001</v>
      </c>
      <c r="I2147" s="311">
        <v>0.13159628507329421</v>
      </c>
      <c r="J2147" s="312">
        <v>70.541663999999997</v>
      </c>
      <c r="K2147" s="311">
        <v>6.7990872597773797E-2</v>
      </c>
      <c r="L2147" s="312">
        <v>0</v>
      </c>
      <c r="M2147" s="311">
        <v>0</v>
      </c>
      <c r="N2147" s="312">
        <v>0</v>
      </c>
      <c r="O2147" s="311">
        <v>0</v>
      </c>
      <c r="P2147" s="312">
        <v>0</v>
      </c>
      <c r="Q2147" s="311">
        <v>0</v>
      </c>
      <c r="R2147" s="312">
        <v>0</v>
      </c>
      <c r="S2147" s="311">
        <v>0</v>
      </c>
      <c r="T2147" s="312">
        <v>0</v>
      </c>
      <c r="U2147" s="311">
        <v>0</v>
      </c>
      <c r="V2147" s="312">
        <v>1037.5166739999997</v>
      </c>
      <c r="W2147" s="311">
        <v>2.8314188807933828E-2</v>
      </c>
      <c r="X2147" s="307"/>
    </row>
    <row r="2148" spans="1:24" ht="15" customHeight="1">
      <c r="A2148" s="316" t="s">
        <v>4</v>
      </c>
      <c r="B2148" s="315">
        <v>0</v>
      </c>
      <c r="C2148" s="314">
        <v>0</v>
      </c>
      <c r="D2148" s="315">
        <v>9256.3440740625374</v>
      </c>
      <c r="E2148" s="314">
        <v>0.33867136714144869</v>
      </c>
      <c r="F2148" s="315">
        <v>4956.3951486398801</v>
      </c>
      <c r="G2148" s="314">
        <v>0.18134471964873625</v>
      </c>
      <c r="H2148" s="315">
        <v>8137.5816598442225</v>
      </c>
      <c r="I2148" s="314">
        <v>0.29773805769463474</v>
      </c>
      <c r="J2148" s="315">
        <v>3155.8820724190177</v>
      </c>
      <c r="K2148" s="314">
        <v>0.11546749855574957</v>
      </c>
      <c r="L2148" s="315">
        <v>821.54521890584886</v>
      </c>
      <c r="M2148" s="314">
        <v>3.0058718672203586E-2</v>
      </c>
      <c r="N2148" s="315">
        <v>257.08977750564543</v>
      </c>
      <c r="O2148" s="314">
        <v>9.4064077274208235E-3</v>
      </c>
      <c r="P2148" s="315">
        <v>0</v>
      </c>
      <c r="Q2148" s="314">
        <v>0</v>
      </c>
      <c r="R2148" s="315">
        <v>0</v>
      </c>
      <c r="S2148" s="314">
        <v>0</v>
      </c>
      <c r="T2148" s="315">
        <v>746.50733532527124</v>
      </c>
      <c r="U2148" s="314">
        <v>2.7313230559802264E-2</v>
      </c>
      <c r="V2148" s="315">
        <v>27331.345286702533</v>
      </c>
      <c r="W2148" s="314">
        <v>1</v>
      </c>
      <c r="X2148" s="307"/>
    </row>
    <row r="2149" spans="1:24">
      <c r="A2149" s="313" t="s">
        <v>309</v>
      </c>
      <c r="B2149" s="312">
        <v>0</v>
      </c>
      <c r="C2149" s="311">
        <v>0</v>
      </c>
      <c r="D2149" s="312">
        <v>265.40977443609023</v>
      </c>
      <c r="E2149" s="311">
        <v>0.27066432547654479</v>
      </c>
      <c r="F2149" s="312">
        <v>159.35714285714286</v>
      </c>
      <c r="G2149" s="311">
        <v>0.16251207655385003</v>
      </c>
      <c r="H2149" s="312">
        <v>170.89191729323309</v>
      </c>
      <c r="I2149" s="311">
        <v>0.17427521507767341</v>
      </c>
      <c r="J2149" s="312">
        <v>305.24906015037595</v>
      </c>
      <c r="K2149" s="311">
        <v>0.31129234461500732</v>
      </c>
      <c r="L2149" s="312">
        <v>39.839285714285715</v>
      </c>
      <c r="M2149" s="311">
        <v>4.0628019138462507E-2</v>
      </c>
      <c r="N2149" s="312">
        <v>0</v>
      </c>
      <c r="O2149" s="311">
        <v>0</v>
      </c>
      <c r="P2149" s="312">
        <v>0</v>
      </c>
      <c r="Q2149" s="311">
        <v>0</v>
      </c>
      <c r="R2149" s="312">
        <v>0</v>
      </c>
      <c r="S2149" s="311">
        <v>0</v>
      </c>
      <c r="T2149" s="312">
        <v>39.839285714285715</v>
      </c>
      <c r="U2149" s="311">
        <v>4.0628019138462507E-2</v>
      </c>
      <c r="V2149" s="312">
        <v>980.58646616541307</v>
      </c>
      <c r="W2149" s="311">
        <v>3.5877724125145644E-2</v>
      </c>
      <c r="X2149" s="307"/>
    </row>
    <row r="2150" spans="1:24">
      <c r="A2150" s="313" t="s">
        <v>308</v>
      </c>
      <c r="B2150" s="312">
        <v>0</v>
      </c>
      <c r="C2150" s="311">
        <v>0</v>
      </c>
      <c r="D2150" s="312">
        <v>473.43881962577859</v>
      </c>
      <c r="E2150" s="311">
        <v>0.54064780718477901</v>
      </c>
      <c r="F2150" s="312">
        <v>36.909212686889639</v>
      </c>
      <c r="G2150" s="311">
        <v>4.2148814328019188E-2</v>
      </c>
      <c r="H2150" s="312">
        <v>218.49472607465515</v>
      </c>
      <c r="I2150" s="311">
        <v>0.24951205865854859</v>
      </c>
      <c r="J2150" s="312">
        <v>63.059026877538678</v>
      </c>
      <c r="K2150" s="311">
        <v>7.2010834750507624E-2</v>
      </c>
      <c r="L2150" s="312">
        <v>0</v>
      </c>
      <c r="M2150" s="311">
        <v>0</v>
      </c>
      <c r="N2150" s="312">
        <v>5.3796992481203008</v>
      </c>
      <c r="O2150" s="311">
        <v>6.1433969527653768E-3</v>
      </c>
      <c r="P2150" s="312">
        <v>0</v>
      </c>
      <c r="Q2150" s="311">
        <v>0</v>
      </c>
      <c r="R2150" s="312">
        <v>0</v>
      </c>
      <c r="S2150" s="311">
        <v>0</v>
      </c>
      <c r="T2150" s="312">
        <v>78.406557377049182</v>
      </c>
      <c r="U2150" s="311">
        <v>8.9537088125379943E-2</v>
      </c>
      <c r="V2150" s="312">
        <v>875.68804189003174</v>
      </c>
      <c r="W2150" s="311">
        <v>3.2039697742799314E-2</v>
      </c>
      <c r="X2150" s="307"/>
    </row>
    <row r="2151" spans="1:24">
      <c r="A2151" s="313" t="s">
        <v>307</v>
      </c>
      <c r="B2151" s="312">
        <v>0</v>
      </c>
      <c r="C2151" s="311">
        <v>0</v>
      </c>
      <c r="D2151" s="312">
        <v>1197.2854864433809</v>
      </c>
      <c r="E2151" s="311">
        <v>0.40931513874146946</v>
      </c>
      <c r="F2151" s="312">
        <v>361.36842105263156</v>
      </c>
      <c r="G2151" s="311">
        <v>0.12354076540201878</v>
      </c>
      <c r="H2151" s="312">
        <v>654.61768791480154</v>
      </c>
      <c r="I2151" s="311">
        <v>0.22379368395036325</v>
      </c>
      <c r="J2151" s="312">
        <v>595.00478468899519</v>
      </c>
      <c r="K2151" s="311">
        <v>0.20341386307143824</v>
      </c>
      <c r="L2151" s="312">
        <v>0</v>
      </c>
      <c r="M2151" s="311">
        <v>0</v>
      </c>
      <c r="N2151" s="312">
        <v>0</v>
      </c>
      <c r="O2151" s="311">
        <v>0</v>
      </c>
      <c r="P2151" s="312">
        <v>0</v>
      </c>
      <c r="Q2151" s="311">
        <v>0</v>
      </c>
      <c r="R2151" s="312">
        <v>0</v>
      </c>
      <c r="S2151" s="311">
        <v>0</v>
      </c>
      <c r="T2151" s="312">
        <v>116.81818181818181</v>
      </c>
      <c r="U2151" s="311">
        <v>3.9936548834709741E-2</v>
      </c>
      <c r="V2151" s="312">
        <v>2925.0945619179925</v>
      </c>
      <c r="W2151" s="311">
        <v>0.1070234388843323</v>
      </c>
      <c r="X2151" s="307"/>
    </row>
    <row r="2152" spans="1:24">
      <c r="A2152" s="313" t="s">
        <v>306</v>
      </c>
      <c r="B2152" s="312">
        <v>0</v>
      </c>
      <c r="C2152" s="311">
        <v>0</v>
      </c>
      <c r="D2152" s="312">
        <v>408.98162218878684</v>
      </c>
      <c r="E2152" s="311">
        <v>0.32192920389537277</v>
      </c>
      <c r="F2152" s="312">
        <v>104.41396103896105</v>
      </c>
      <c r="G2152" s="311">
        <v>8.2189275823545321E-2</v>
      </c>
      <c r="H2152" s="312">
        <v>536.9311767500792</v>
      </c>
      <c r="I2152" s="311">
        <v>0.42264448302757474</v>
      </c>
      <c r="J2152" s="312">
        <v>137.28749999999999</v>
      </c>
      <c r="K2152" s="311">
        <v>0.10806562735815209</v>
      </c>
      <c r="L2152" s="312">
        <v>0</v>
      </c>
      <c r="M2152" s="311">
        <v>0</v>
      </c>
      <c r="N2152" s="312">
        <v>25.681818181818183</v>
      </c>
      <c r="O2152" s="311">
        <v>2.0215400480860818E-2</v>
      </c>
      <c r="P2152" s="312">
        <v>0</v>
      </c>
      <c r="Q2152" s="311">
        <v>0</v>
      </c>
      <c r="R2152" s="312">
        <v>0</v>
      </c>
      <c r="S2152" s="311">
        <v>0</v>
      </c>
      <c r="T2152" s="312">
        <v>57.112499999999997</v>
      </c>
      <c r="U2152" s="311">
        <v>4.4956009414494853E-2</v>
      </c>
      <c r="V2152" s="312">
        <v>1270.4085781596445</v>
      </c>
      <c r="W2152" s="311">
        <v>4.6481743391450767E-2</v>
      </c>
      <c r="X2152" s="307"/>
    </row>
    <row r="2153" spans="1:24">
      <c r="A2153" s="313" t="s">
        <v>305</v>
      </c>
      <c r="B2153" s="312">
        <v>0</v>
      </c>
      <c r="C2153" s="311">
        <v>0</v>
      </c>
      <c r="D2153" s="312">
        <v>1003.7103613871225</v>
      </c>
      <c r="E2153" s="311">
        <v>0.23839169206814165</v>
      </c>
      <c r="F2153" s="312">
        <v>789.5705445845748</v>
      </c>
      <c r="G2153" s="311">
        <v>0.18753124942393945</v>
      </c>
      <c r="H2153" s="312">
        <v>1662.4327038713457</v>
      </c>
      <c r="I2153" s="311">
        <v>0.39484512711177699</v>
      </c>
      <c r="J2153" s="312">
        <v>435.28939828080229</v>
      </c>
      <c r="K2153" s="311">
        <v>0.10338577759830532</v>
      </c>
      <c r="L2153" s="312">
        <v>233.56180718358368</v>
      </c>
      <c r="M2153" s="311">
        <v>5.5473368173702228E-2</v>
      </c>
      <c r="N2153" s="312">
        <v>52.911174785100286</v>
      </c>
      <c r="O2153" s="311">
        <v>1.256695653604825E-2</v>
      </c>
      <c r="P2153" s="312">
        <v>0</v>
      </c>
      <c r="Q2153" s="311">
        <v>0</v>
      </c>
      <c r="R2153" s="312">
        <v>0</v>
      </c>
      <c r="S2153" s="311">
        <v>0</v>
      </c>
      <c r="T2153" s="312">
        <v>32.865203761755481</v>
      </c>
      <c r="U2153" s="311">
        <v>7.8058290880862313E-3</v>
      </c>
      <c r="V2153" s="312">
        <v>4210.341193854284</v>
      </c>
      <c r="W2153" s="311">
        <v>0.15404807738837259</v>
      </c>
      <c r="X2153" s="307"/>
    </row>
    <row r="2154" spans="1:24" ht="28.5">
      <c r="A2154" s="313" t="s">
        <v>304</v>
      </c>
      <c r="B2154" s="312">
        <v>0</v>
      </c>
      <c r="C2154" s="311">
        <v>0</v>
      </c>
      <c r="D2154" s="312">
        <v>2794.1170432988765</v>
      </c>
      <c r="E2154" s="311">
        <v>0.30670887394496865</v>
      </c>
      <c r="F2154" s="312">
        <v>1952.7520191200538</v>
      </c>
      <c r="G2154" s="311">
        <v>0.21435264292685199</v>
      </c>
      <c r="H2154" s="312">
        <v>2584.591758057597</v>
      </c>
      <c r="I2154" s="311">
        <v>0.28370938491015041</v>
      </c>
      <c r="J2154" s="312">
        <v>1031.1215532666736</v>
      </c>
      <c r="K2154" s="311">
        <v>0.11318571326898418</v>
      </c>
      <c r="L2154" s="312">
        <v>357.5621870316017</v>
      </c>
      <c r="M2154" s="311">
        <v>3.9249428012608882E-2</v>
      </c>
      <c r="N2154" s="312">
        <v>91.124959306354654</v>
      </c>
      <c r="O2154" s="311">
        <v>1.0002742628181143E-2</v>
      </c>
      <c r="P2154" s="312">
        <v>0</v>
      </c>
      <c r="Q2154" s="311">
        <v>0</v>
      </c>
      <c r="R2154" s="312">
        <v>0</v>
      </c>
      <c r="S2154" s="311">
        <v>0</v>
      </c>
      <c r="T2154" s="312">
        <v>298.7278769952066</v>
      </c>
      <c r="U2154" s="311">
        <v>3.2791214308258453E-2</v>
      </c>
      <c r="V2154" s="312">
        <v>9109.9973970763294</v>
      </c>
      <c r="W2154" s="311">
        <v>0.33331683096874848</v>
      </c>
      <c r="X2154" s="307"/>
    </row>
    <row r="2155" spans="1:24" ht="28.5">
      <c r="A2155" s="313" t="s">
        <v>303</v>
      </c>
      <c r="B2155" s="312">
        <v>0</v>
      </c>
      <c r="C2155" s="311">
        <v>0</v>
      </c>
      <c r="D2155" s="312">
        <v>2837.5183277936189</v>
      </c>
      <c r="E2155" s="311">
        <v>0.38740977067844945</v>
      </c>
      <c r="F2155" s="312">
        <v>1475.4206726964544</v>
      </c>
      <c r="G2155" s="311">
        <v>0.20144094889707112</v>
      </c>
      <c r="H2155" s="312">
        <v>2296.193118453949</v>
      </c>
      <c r="I2155" s="311">
        <v>0.31350199247713162</v>
      </c>
      <c r="J2155" s="312">
        <v>453.68324915463063</v>
      </c>
      <c r="K2155" s="311">
        <v>6.1941916566338719E-2</v>
      </c>
      <c r="L2155" s="312">
        <v>122.98818897637796</v>
      </c>
      <c r="M2155" s="311">
        <v>1.6791724522373513E-2</v>
      </c>
      <c r="N2155" s="312">
        <v>81.99212598425197</v>
      </c>
      <c r="O2155" s="311">
        <v>1.1194483014915674E-2</v>
      </c>
      <c r="P2155" s="312">
        <v>0</v>
      </c>
      <c r="Q2155" s="311">
        <v>0</v>
      </c>
      <c r="R2155" s="312">
        <v>0</v>
      </c>
      <c r="S2155" s="311">
        <v>0</v>
      </c>
      <c r="T2155" s="312">
        <v>56.537729658792657</v>
      </c>
      <c r="U2155" s="311">
        <v>7.7191638437184825E-3</v>
      </c>
      <c r="V2155" s="312">
        <v>7324.333412718086</v>
      </c>
      <c r="W2155" s="311">
        <v>0.26798290885013915</v>
      </c>
      <c r="X2155" s="307"/>
    </row>
    <row r="2156" spans="1:24" ht="15.75" thickBot="1">
      <c r="A2156" s="313" t="s">
        <v>302</v>
      </c>
      <c r="B2156" s="312">
        <v>0</v>
      </c>
      <c r="C2156" s="311">
        <v>0</v>
      </c>
      <c r="D2156" s="312">
        <v>275.88263888888889</v>
      </c>
      <c r="E2156" s="311">
        <v>0.43453226595797195</v>
      </c>
      <c r="F2156" s="312">
        <v>76.603174603174594</v>
      </c>
      <c r="G2156" s="311">
        <v>0.12065475078081196</v>
      </c>
      <c r="H2156" s="312">
        <v>13.428571428571429</v>
      </c>
      <c r="I2156" s="311">
        <v>2.1150832814042047E-2</v>
      </c>
      <c r="J2156" s="312">
        <v>135.1875</v>
      </c>
      <c r="K2156" s="311">
        <v>0.21292869656742727</v>
      </c>
      <c r="L2156" s="312">
        <v>67.59375</v>
      </c>
      <c r="M2156" s="311">
        <v>0.10646434828371364</v>
      </c>
      <c r="N2156" s="312">
        <v>0</v>
      </c>
      <c r="O2156" s="311">
        <v>0</v>
      </c>
      <c r="P2156" s="312">
        <v>0</v>
      </c>
      <c r="Q2156" s="311">
        <v>0</v>
      </c>
      <c r="R2156" s="312">
        <v>0</v>
      </c>
      <c r="S2156" s="311">
        <v>0</v>
      </c>
      <c r="T2156" s="312">
        <v>66.2</v>
      </c>
      <c r="U2156" s="311">
        <v>0.10426910559603282</v>
      </c>
      <c r="V2156" s="312">
        <v>634.89563492063508</v>
      </c>
      <c r="W2156" s="311">
        <v>2.3229578649007432E-2</v>
      </c>
      <c r="X2156" s="307"/>
    </row>
    <row r="2157" spans="1:24" ht="15.75" customHeight="1">
      <c r="A2157" s="316" t="s">
        <v>3</v>
      </c>
      <c r="B2157" s="315">
        <v>0</v>
      </c>
      <c r="C2157" s="314">
        <v>0</v>
      </c>
      <c r="D2157" s="315">
        <v>4040.3392194954117</v>
      </c>
      <c r="E2157" s="314">
        <v>0.31661701604092618</v>
      </c>
      <c r="F2157" s="315">
        <v>2312.8356495989319</v>
      </c>
      <c r="G2157" s="314">
        <v>0.18124298040018139</v>
      </c>
      <c r="H2157" s="315">
        <v>3896.9954669998347</v>
      </c>
      <c r="I2157" s="314">
        <v>0.30538403071032155</v>
      </c>
      <c r="J2157" s="315">
        <v>1398.9246377908335</v>
      </c>
      <c r="K2157" s="314">
        <v>0.1096252864973013</v>
      </c>
      <c r="L2157" s="315">
        <v>348.40144356178399</v>
      </c>
      <c r="M2157" s="314">
        <v>2.7302119810291462E-2</v>
      </c>
      <c r="N2157" s="315">
        <v>75.250126168659506</v>
      </c>
      <c r="O2157" s="314">
        <v>5.8968985300198859E-3</v>
      </c>
      <c r="P2157" s="315">
        <v>155.92454015369026</v>
      </c>
      <c r="Q2157" s="314">
        <v>1.2218865780576833E-2</v>
      </c>
      <c r="R2157" s="315">
        <v>252.18796931003584</v>
      </c>
      <c r="S2157" s="314">
        <v>1.9762450127723714E-2</v>
      </c>
      <c r="T2157" s="315">
        <v>280.10771370119193</v>
      </c>
      <c r="U2157" s="314">
        <v>2.1950352102661653E-2</v>
      </c>
      <c r="V2157" s="315">
        <v>12760.966766780322</v>
      </c>
      <c r="W2157" s="314">
        <v>1</v>
      </c>
      <c r="X2157" s="307"/>
    </row>
    <row r="2158" spans="1:24">
      <c r="A2158" s="313" t="s">
        <v>309</v>
      </c>
      <c r="B2158" s="312">
        <v>0</v>
      </c>
      <c r="C2158" s="311">
        <v>0</v>
      </c>
      <c r="D2158" s="312">
        <v>122.43398692810457</v>
      </c>
      <c r="E2158" s="311">
        <v>0.31016586923674616</v>
      </c>
      <c r="F2158" s="312">
        <v>69.081639928698763</v>
      </c>
      <c r="G2158" s="311">
        <v>0.1750066908248846</v>
      </c>
      <c r="H2158" s="312">
        <v>158.75484254307784</v>
      </c>
      <c r="I2158" s="311">
        <v>0.40217863493926165</v>
      </c>
      <c r="J2158" s="312">
        <v>5</v>
      </c>
      <c r="K2158" s="311">
        <v>1.2666657233782687E-2</v>
      </c>
      <c r="L2158" s="312">
        <v>39.466666666666669</v>
      </c>
      <c r="M2158" s="311">
        <v>9.9982147765324672E-2</v>
      </c>
      <c r="N2158" s="312">
        <v>0</v>
      </c>
      <c r="O2158" s="311">
        <v>0</v>
      </c>
      <c r="P2158" s="312">
        <v>0</v>
      </c>
      <c r="Q2158" s="311">
        <v>0</v>
      </c>
      <c r="R2158" s="312">
        <v>0</v>
      </c>
      <c r="S2158" s="311">
        <v>0</v>
      </c>
      <c r="T2158" s="312">
        <v>0</v>
      </c>
      <c r="U2158" s="311">
        <v>0</v>
      </c>
      <c r="V2158" s="312">
        <v>394.73713606654792</v>
      </c>
      <c r="W2158" s="311">
        <v>3.0933168566361115E-2</v>
      </c>
      <c r="X2158" s="307"/>
    </row>
    <row r="2159" spans="1:24">
      <c r="A2159" s="313" t="s">
        <v>308</v>
      </c>
      <c r="B2159" s="312">
        <v>0</v>
      </c>
      <c r="C2159" s="311">
        <v>0</v>
      </c>
      <c r="D2159" s="312">
        <v>188.90356394129981</v>
      </c>
      <c r="E2159" s="311">
        <v>0.24154207327346433</v>
      </c>
      <c r="F2159" s="312">
        <v>225.08112906623333</v>
      </c>
      <c r="G2159" s="311">
        <v>0.28780061866002787</v>
      </c>
      <c r="H2159" s="312">
        <v>186.95559367257482</v>
      </c>
      <c r="I2159" s="311">
        <v>0.23905129561122229</v>
      </c>
      <c r="J2159" s="312">
        <v>81.893939393939405</v>
      </c>
      <c r="K2159" s="311">
        <v>0.10471391591050282</v>
      </c>
      <c r="L2159" s="312">
        <v>44.237373737373737</v>
      </c>
      <c r="M2159" s="311">
        <v>5.6564242334880915E-2</v>
      </c>
      <c r="N2159" s="312">
        <v>0</v>
      </c>
      <c r="O2159" s="311">
        <v>0</v>
      </c>
      <c r="P2159" s="312">
        <v>36.666666666666664</v>
      </c>
      <c r="Q2159" s="311">
        <v>4.6883936448365728E-2</v>
      </c>
      <c r="R2159" s="312">
        <v>0</v>
      </c>
      <c r="S2159" s="311">
        <v>0</v>
      </c>
      <c r="T2159" s="312">
        <v>18.334858014103297</v>
      </c>
      <c r="U2159" s="311">
        <v>2.3443917761537127E-2</v>
      </c>
      <c r="V2159" s="312">
        <v>782.07312449219023</v>
      </c>
      <c r="W2159" s="311">
        <v>6.1286353830816577E-2</v>
      </c>
      <c r="X2159" s="307"/>
    </row>
    <row r="2160" spans="1:24">
      <c r="A2160" s="313" t="s">
        <v>307</v>
      </c>
      <c r="B2160" s="312">
        <v>0</v>
      </c>
      <c r="C2160" s="311">
        <v>0</v>
      </c>
      <c r="D2160" s="312">
        <v>455.11921296296293</v>
      </c>
      <c r="E2160" s="311">
        <v>0.38014331396072476</v>
      </c>
      <c r="F2160" s="312">
        <v>95.6640625</v>
      </c>
      <c r="G2160" s="311">
        <v>7.9904457359516762E-2</v>
      </c>
      <c r="H2160" s="312">
        <v>382.65625</v>
      </c>
      <c r="I2160" s="311">
        <v>0.31961782943806705</v>
      </c>
      <c r="J2160" s="312">
        <v>168.12702546296296</v>
      </c>
      <c r="K2160" s="311">
        <v>0.14042994188217453</v>
      </c>
      <c r="L2160" s="312">
        <v>0</v>
      </c>
      <c r="M2160" s="311">
        <v>0</v>
      </c>
      <c r="N2160" s="312">
        <v>0</v>
      </c>
      <c r="O2160" s="311">
        <v>0</v>
      </c>
      <c r="P2160" s="312">
        <v>0</v>
      </c>
      <c r="Q2160" s="311">
        <v>0</v>
      </c>
      <c r="R2160" s="312">
        <v>95.6640625</v>
      </c>
      <c r="S2160" s="311">
        <v>7.9904457359516762E-2</v>
      </c>
      <c r="T2160" s="312">
        <v>0</v>
      </c>
      <c r="U2160" s="311">
        <v>0</v>
      </c>
      <c r="V2160" s="312">
        <v>1197.2306134259261</v>
      </c>
      <c r="W2160" s="311">
        <v>9.3819742289634966E-2</v>
      </c>
      <c r="X2160" s="307"/>
    </row>
    <row r="2161" spans="1:24">
      <c r="A2161" s="313" t="s">
        <v>306</v>
      </c>
      <c r="B2161" s="312">
        <v>0</v>
      </c>
      <c r="C2161" s="311">
        <v>0</v>
      </c>
      <c r="D2161" s="312">
        <v>37.970370370370375</v>
      </c>
      <c r="E2161" s="311">
        <v>9.0949910845348134E-2</v>
      </c>
      <c r="F2161" s="312">
        <v>83.374325782092768</v>
      </c>
      <c r="G2161" s="311">
        <v>0.19970538666616594</v>
      </c>
      <c r="H2161" s="312">
        <v>260.04691837468533</v>
      </c>
      <c r="I2161" s="311">
        <v>0.6228868407415129</v>
      </c>
      <c r="J2161" s="312">
        <v>36.094999999999999</v>
      </c>
      <c r="K2161" s="311">
        <v>8.6457861746972953E-2</v>
      </c>
      <c r="L2161" s="312">
        <v>0</v>
      </c>
      <c r="M2161" s="311">
        <v>0</v>
      </c>
      <c r="N2161" s="312">
        <v>0</v>
      </c>
      <c r="O2161" s="311">
        <v>0</v>
      </c>
      <c r="P2161" s="312">
        <v>0</v>
      </c>
      <c r="Q2161" s="311">
        <v>0</v>
      </c>
      <c r="R2161" s="312">
        <v>0</v>
      </c>
      <c r="S2161" s="311">
        <v>0</v>
      </c>
      <c r="T2161" s="312">
        <v>0</v>
      </c>
      <c r="U2161" s="311">
        <v>0</v>
      </c>
      <c r="V2161" s="312">
        <v>417.4866145271485</v>
      </c>
      <c r="W2161" s="311">
        <v>3.2715907983865332E-2</v>
      </c>
      <c r="X2161" s="307"/>
    </row>
    <row r="2162" spans="1:24">
      <c r="A2162" s="313" t="s">
        <v>305</v>
      </c>
      <c r="B2162" s="312">
        <v>0</v>
      </c>
      <c r="C2162" s="311">
        <v>0</v>
      </c>
      <c r="D2162" s="312">
        <v>554.75373477396545</v>
      </c>
      <c r="E2162" s="311">
        <v>0.31143239665391348</v>
      </c>
      <c r="F2162" s="312">
        <v>322.10643000687315</v>
      </c>
      <c r="G2162" s="311">
        <v>0.18082686278002197</v>
      </c>
      <c r="H2162" s="312">
        <v>439.49513648559673</v>
      </c>
      <c r="I2162" s="311">
        <v>0.24672753889474427</v>
      </c>
      <c r="J2162" s="312">
        <v>263.37731985004859</v>
      </c>
      <c r="K2162" s="311">
        <v>0.14785701258704598</v>
      </c>
      <c r="L2162" s="312">
        <v>45.954268292682926</v>
      </c>
      <c r="M2162" s="311">
        <v>2.5798200199045933E-2</v>
      </c>
      <c r="N2162" s="312">
        <v>53.390165728580364</v>
      </c>
      <c r="O2162" s="311">
        <v>2.9972627903760336E-2</v>
      </c>
      <c r="P2162" s="312">
        <v>45.954268292682926</v>
      </c>
      <c r="Q2162" s="311">
        <v>2.5798200199045933E-2</v>
      </c>
      <c r="R2162" s="312">
        <v>56.266129032258064</v>
      </c>
      <c r="S2162" s="311">
        <v>3.1587160782422241E-2</v>
      </c>
      <c r="T2162" s="312">
        <v>0</v>
      </c>
      <c r="U2162" s="311">
        <v>0</v>
      </c>
      <c r="V2162" s="312">
        <v>1781.2974524626879</v>
      </c>
      <c r="W2162" s="311">
        <v>0.13958953776917649</v>
      </c>
      <c r="X2162" s="307"/>
    </row>
    <row r="2163" spans="1:24" ht="28.5">
      <c r="A2163" s="313" t="s">
        <v>304</v>
      </c>
      <c r="B2163" s="312">
        <v>0</v>
      </c>
      <c r="C2163" s="311">
        <v>0</v>
      </c>
      <c r="D2163" s="312">
        <v>1497.9014365681551</v>
      </c>
      <c r="E2163" s="311">
        <v>0.32743771579370906</v>
      </c>
      <c r="F2163" s="312">
        <v>826.91685928751451</v>
      </c>
      <c r="G2163" s="311">
        <v>0.18076207215393233</v>
      </c>
      <c r="H2163" s="312">
        <v>1438.8612031266832</v>
      </c>
      <c r="I2163" s="311">
        <v>0.31453166022419543</v>
      </c>
      <c r="J2163" s="312">
        <v>402.26056477657545</v>
      </c>
      <c r="K2163" s="311">
        <v>8.7933209267828966E-2</v>
      </c>
      <c r="L2163" s="312">
        <v>167.34544106072474</v>
      </c>
      <c r="M2163" s="311">
        <v>3.658131812394539E-2</v>
      </c>
      <c r="N2163" s="312">
        <v>12.315109941740275</v>
      </c>
      <c r="O2163" s="311">
        <v>2.6920539433559426E-3</v>
      </c>
      <c r="P2163" s="312">
        <v>11.057884231536926</v>
      </c>
      <c r="Q2163" s="311">
        <v>2.4172273728378783E-3</v>
      </c>
      <c r="R2163" s="312">
        <v>100.25777777777778</v>
      </c>
      <c r="S2163" s="311">
        <v>2.1916113400172407E-2</v>
      </c>
      <c r="T2163" s="312">
        <v>117.69857154401494</v>
      </c>
      <c r="U2163" s="311">
        <v>2.5728629720024414E-2</v>
      </c>
      <c r="V2163" s="312">
        <v>4574.6148483147144</v>
      </c>
      <c r="W2163" s="311">
        <v>0.35848497468259771</v>
      </c>
      <c r="X2163" s="307"/>
    </row>
    <row r="2164" spans="1:24" ht="28.5">
      <c r="A2164" s="313" t="s">
        <v>303</v>
      </c>
      <c r="B2164" s="312">
        <v>0</v>
      </c>
      <c r="C2164" s="311">
        <v>0</v>
      </c>
      <c r="D2164" s="312">
        <v>1123.8506639505533</v>
      </c>
      <c r="E2164" s="311">
        <v>0.3483266317101843</v>
      </c>
      <c r="F2164" s="312">
        <v>533.58817671172756</v>
      </c>
      <c r="G2164" s="311">
        <v>0.16538048895306981</v>
      </c>
      <c r="H2164" s="312">
        <v>918.96168765789832</v>
      </c>
      <c r="I2164" s="311">
        <v>0.28482327732705398</v>
      </c>
      <c r="J2164" s="312">
        <v>382.76453830730662</v>
      </c>
      <c r="K2164" s="311">
        <v>0.1186341625657072</v>
      </c>
      <c r="L2164" s="312">
        <v>51.397693804335972</v>
      </c>
      <c r="M2164" s="311">
        <v>1.5930217541183438E-2</v>
      </c>
      <c r="N2164" s="312">
        <v>9.5448504983388709</v>
      </c>
      <c r="O2164" s="311">
        <v>2.9583339948179564E-3</v>
      </c>
      <c r="P2164" s="312">
        <v>62.245720962803738</v>
      </c>
      <c r="Q2164" s="311">
        <v>1.9292458523919497E-2</v>
      </c>
      <c r="R2164" s="312">
        <v>0</v>
      </c>
      <c r="S2164" s="311">
        <v>0</v>
      </c>
      <c r="T2164" s="312">
        <v>144.0742841430737</v>
      </c>
      <c r="U2164" s="311">
        <v>4.4654429384063513E-2</v>
      </c>
      <c r="V2164" s="312">
        <v>3226.4276160360391</v>
      </c>
      <c r="W2164" s="311">
        <v>0.25283567264160256</v>
      </c>
      <c r="X2164" s="307"/>
    </row>
    <row r="2165" spans="1:24" ht="15.75" thickBot="1">
      <c r="A2165" s="310" t="s">
        <v>302</v>
      </c>
      <c r="B2165" s="309">
        <v>0</v>
      </c>
      <c r="C2165" s="308">
        <v>0</v>
      </c>
      <c r="D2165" s="309">
        <v>59.40625</v>
      </c>
      <c r="E2165" s="308">
        <v>0.15346512010945104</v>
      </c>
      <c r="F2165" s="309">
        <v>157.02302631578948</v>
      </c>
      <c r="G2165" s="308">
        <v>0.40564010678172957</v>
      </c>
      <c r="H2165" s="309">
        <v>111.26383513931887</v>
      </c>
      <c r="I2165" s="308">
        <v>0.2874296529993684</v>
      </c>
      <c r="J2165" s="309">
        <v>59.40625</v>
      </c>
      <c r="K2165" s="308">
        <v>0.15346512010945104</v>
      </c>
      <c r="L2165" s="309">
        <v>0</v>
      </c>
      <c r="M2165" s="308">
        <v>0</v>
      </c>
      <c r="N2165" s="309">
        <v>0</v>
      </c>
      <c r="O2165" s="308">
        <v>0</v>
      </c>
      <c r="P2165" s="309">
        <v>0</v>
      </c>
      <c r="Q2165" s="308">
        <v>0</v>
      </c>
      <c r="R2165" s="309">
        <v>0</v>
      </c>
      <c r="S2165" s="308">
        <v>0</v>
      </c>
      <c r="T2165" s="309">
        <v>0</v>
      </c>
      <c r="U2165" s="308">
        <v>0</v>
      </c>
      <c r="V2165" s="309">
        <v>387.09936145510835</v>
      </c>
      <c r="W2165" s="308">
        <v>3.0334642235948409E-2</v>
      </c>
      <c r="X2165" s="307"/>
    </row>
    <row r="2169" spans="1:24" ht="15.75" thickBot="1"/>
    <row r="2170" spans="1:24" ht="15" customHeight="1">
      <c r="A2170" s="752" t="s">
        <v>310</v>
      </c>
      <c r="B2170" s="763" t="s">
        <v>372</v>
      </c>
      <c r="C2170" s="764"/>
      <c r="D2170" s="764"/>
      <c r="E2170" s="764"/>
      <c r="F2170" s="764"/>
      <c r="G2170" s="764"/>
      <c r="H2170" s="764"/>
      <c r="I2170" s="764"/>
      <c r="J2170" s="764"/>
      <c r="K2170" s="764"/>
      <c r="L2170" s="764"/>
      <c r="M2170" s="764"/>
      <c r="N2170" s="764"/>
      <c r="O2170" s="764"/>
      <c r="P2170" s="764"/>
      <c r="Q2170" s="764"/>
      <c r="R2170" s="764"/>
      <c r="S2170" s="764"/>
      <c r="T2170" s="764"/>
      <c r="U2170" s="764"/>
      <c r="V2170" s="764"/>
      <c r="W2170" s="765"/>
      <c r="X2170" s="307"/>
    </row>
    <row r="2171" spans="1:24" ht="15" customHeight="1">
      <c r="A2171" s="753"/>
      <c r="B2171" s="767" t="s">
        <v>69</v>
      </c>
      <c r="C2171" s="759"/>
      <c r="D2171" s="768" t="s">
        <v>68</v>
      </c>
      <c r="E2171" s="759"/>
      <c r="F2171" s="768" t="s">
        <v>67</v>
      </c>
      <c r="G2171" s="759"/>
      <c r="H2171" s="768" t="s">
        <v>66</v>
      </c>
      <c r="I2171" s="759"/>
      <c r="J2171" s="768" t="s">
        <v>65</v>
      </c>
      <c r="K2171" s="759"/>
      <c r="L2171" s="768" t="s">
        <v>64</v>
      </c>
      <c r="M2171" s="759"/>
      <c r="N2171" s="768" t="s">
        <v>63</v>
      </c>
      <c r="O2171" s="759"/>
      <c r="P2171" s="768" t="s">
        <v>62</v>
      </c>
      <c r="Q2171" s="759"/>
      <c r="R2171" s="768" t="s">
        <v>61</v>
      </c>
      <c r="S2171" s="759"/>
      <c r="T2171" s="768" t="s">
        <v>60</v>
      </c>
      <c r="U2171" s="759"/>
      <c r="V2171" s="769" t="s">
        <v>9</v>
      </c>
      <c r="W2171" s="766"/>
      <c r="X2171" s="307"/>
    </row>
    <row r="2172" spans="1:24" ht="15.75" customHeight="1" thickBot="1">
      <c r="A2172" s="754"/>
      <c r="B2172" s="318" t="s">
        <v>7</v>
      </c>
      <c r="C2172" s="318" t="s">
        <v>8</v>
      </c>
      <c r="D2172" s="318" t="s">
        <v>7</v>
      </c>
      <c r="E2172" s="318" t="s">
        <v>8</v>
      </c>
      <c r="F2172" s="318" t="s">
        <v>7</v>
      </c>
      <c r="G2172" s="318" t="s">
        <v>8</v>
      </c>
      <c r="H2172" s="318" t="s">
        <v>7</v>
      </c>
      <c r="I2172" s="318" t="s">
        <v>8</v>
      </c>
      <c r="J2172" s="318" t="s">
        <v>7</v>
      </c>
      <c r="K2172" s="318" t="s">
        <v>8</v>
      </c>
      <c r="L2172" s="318" t="s">
        <v>7</v>
      </c>
      <c r="M2172" s="318" t="s">
        <v>8</v>
      </c>
      <c r="N2172" s="318" t="s">
        <v>7</v>
      </c>
      <c r="O2172" s="318" t="s">
        <v>8</v>
      </c>
      <c r="P2172" s="318" t="s">
        <v>7</v>
      </c>
      <c r="Q2172" s="318" t="s">
        <v>8</v>
      </c>
      <c r="R2172" s="318" t="s">
        <v>7</v>
      </c>
      <c r="S2172" s="318" t="s">
        <v>8</v>
      </c>
      <c r="T2172" s="318" t="s">
        <v>7</v>
      </c>
      <c r="U2172" s="318" t="s">
        <v>8</v>
      </c>
      <c r="V2172" s="318" t="s">
        <v>7</v>
      </c>
      <c r="W2172" s="318" t="s">
        <v>6</v>
      </c>
      <c r="X2172" s="307"/>
    </row>
    <row r="2173" spans="1:24" ht="15.75" customHeight="1">
      <c r="A2173" s="316" t="s">
        <v>5</v>
      </c>
      <c r="B2173" s="315">
        <v>0</v>
      </c>
      <c r="C2173" s="314">
        <v>0</v>
      </c>
      <c r="D2173" s="315">
        <v>1644.6008219999992</v>
      </c>
      <c r="E2173" s="314">
        <v>0.14099612124069497</v>
      </c>
      <c r="F2173" s="315">
        <v>1769.2328104999995</v>
      </c>
      <c r="G2173" s="314">
        <v>0.15168116208826357</v>
      </c>
      <c r="H2173" s="315">
        <v>4245.2303770000017</v>
      </c>
      <c r="I2173" s="314">
        <v>0.36395519746990229</v>
      </c>
      <c r="J2173" s="315">
        <v>3480.9644349999994</v>
      </c>
      <c r="K2173" s="314">
        <v>0.29843259041725534</v>
      </c>
      <c r="L2173" s="315">
        <v>0</v>
      </c>
      <c r="M2173" s="314">
        <v>0</v>
      </c>
      <c r="N2173" s="315">
        <v>0</v>
      </c>
      <c r="O2173" s="314">
        <v>0</v>
      </c>
      <c r="P2173" s="315">
        <v>0</v>
      </c>
      <c r="Q2173" s="314">
        <v>0</v>
      </c>
      <c r="R2173" s="315">
        <v>0</v>
      </c>
      <c r="S2173" s="314">
        <v>0</v>
      </c>
      <c r="T2173" s="315">
        <v>524.12804100000017</v>
      </c>
      <c r="U2173" s="314">
        <v>4.4934928783882118E-2</v>
      </c>
      <c r="V2173" s="315">
        <v>11664.15648550002</v>
      </c>
      <c r="W2173" s="314">
        <v>1</v>
      </c>
      <c r="X2173" s="307"/>
    </row>
    <row r="2174" spans="1:24">
      <c r="A2174" s="313" t="s">
        <v>309</v>
      </c>
      <c r="B2174" s="312">
        <v>0</v>
      </c>
      <c r="C2174" s="311">
        <v>0</v>
      </c>
      <c r="D2174" s="312">
        <v>0</v>
      </c>
      <c r="E2174" s="311">
        <v>0</v>
      </c>
      <c r="F2174" s="312">
        <v>52.237290000000002</v>
      </c>
      <c r="G2174" s="311">
        <v>0.14484983940826454</v>
      </c>
      <c r="H2174" s="312">
        <v>104.47458</v>
      </c>
      <c r="I2174" s="311">
        <v>0.28969967881652908</v>
      </c>
      <c r="J2174" s="312">
        <v>151.681478</v>
      </c>
      <c r="K2174" s="311">
        <v>0.4206006423669415</v>
      </c>
      <c r="L2174" s="312">
        <v>0</v>
      </c>
      <c r="M2174" s="311">
        <v>0</v>
      </c>
      <c r="N2174" s="312">
        <v>0</v>
      </c>
      <c r="O2174" s="311">
        <v>0</v>
      </c>
      <c r="P2174" s="312">
        <v>0</v>
      </c>
      <c r="Q2174" s="311">
        <v>0</v>
      </c>
      <c r="R2174" s="312">
        <v>0</v>
      </c>
      <c r="S2174" s="311">
        <v>0</v>
      </c>
      <c r="T2174" s="312">
        <v>52.237290000000002</v>
      </c>
      <c r="U2174" s="311">
        <v>0.14484983940826454</v>
      </c>
      <c r="V2174" s="312">
        <v>360.63063800000009</v>
      </c>
      <c r="W2174" s="311">
        <v>3.0917849777504985E-2</v>
      </c>
      <c r="X2174" s="307"/>
    </row>
    <row r="2175" spans="1:24">
      <c r="A2175" s="313" t="s">
        <v>308</v>
      </c>
      <c r="B2175" s="312">
        <v>0</v>
      </c>
      <c r="C2175" s="311">
        <v>0</v>
      </c>
      <c r="D2175" s="312">
        <v>140.636945</v>
      </c>
      <c r="E2175" s="311">
        <v>0.24559054933486524</v>
      </c>
      <c r="F2175" s="312">
        <v>34.526314999999997</v>
      </c>
      <c r="G2175" s="311">
        <v>6.0292383821040747E-2</v>
      </c>
      <c r="H2175" s="312">
        <v>335.33740599999999</v>
      </c>
      <c r="I2175" s="311">
        <v>0.585590775966221</v>
      </c>
      <c r="J2175" s="312">
        <v>48.336840999999993</v>
      </c>
      <c r="K2175" s="311">
        <v>8.4409337349457034E-2</v>
      </c>
      <c r="L2175" s="312">
        <v>0</v>
      </c>
      <c r="M2175" s="311">
        <v>0</v>
      </c>
      <c r="N2175" s="312">
        <v>0</v>
      </c>
      <c r="O2175" s="311">
        <v>0</v>
      </c>
      <c r="P2175" s="312">
        <v>0</v>
      </c>
      <c r="Q2175" s="311">
        <v>0</v>
      </c>
      <c r="R2175" s="312">
        <v>0</v>
      </c>
      <c r="S2175" s="311">
        <v>0</v>
      </c>
      <c r="T2175" s="312">
        <v>13.810525999999999</v>
      </c>
      <c r="U2175" s="311">
        <v>2.41169535284163E-2</v>
      </c>
      <c r="V2175" s="312">
        <v>572.64803299999983</v>
      </c>
      <c r="W2175" s="311">
        <v>4.9094680246434604E-2</v>
      </c>
      <c r="X2175" s="307"/>
    </row>
    <row r="2176" spans="1:24">
      <c r="A2176" s="313" t="s">
        <v>307</v>
      </c>
      <c r="B2176" s="312">
        <v>0</v>
      </c>
      <c r="C2176" s="311">
        <v>0</v>
      </c>
      <c r="D2176" s="312">
        <v>161.38338199999998</v>
      </c>
      <c r="E2176" s="311">
        <v>0.21969529464796175</v>
      </c>
      <c r="F2176" s="312">
        <v>241.73441199999996</v>
      </c>
      <c r="G2176" s="311">
        <v>0.32907919150493314</v>
      </c>
      <c r="H2176" s="312">
        <v>89.726029999999994</v>
      </c>
      <c r="I2176" s="311">
        <v>0.12214632234217185</v>
      </c>
      <c r="J2176" s="312">
        <v>241.73441199999996</v>
      </c>
      <c r="K2176" s="311">
        <v>0.32907919150493314</v>
      </c>
      <c r="L2176" s="312">
        <v>0</v>
      </c>
      <c r="M2176" s="311">
        <v>0</v>
      </c>
      <c r="N2176" s="312">
        <v>0</v>
      </c>
      <c r="O2176" s="311">
        <v>0</v>
      </c>
      <c r="P2176" s="312">
        <v>0</v>
      </c>
      <c r="Q2176" s="311">
        <v>0</v>
      </c>
      <c r="R2176" s="312">
        <v>0</v>
      </c>
      <c r="S2176" s="311">
        <v>0</v>
      </c>
      <c r="T2176" s="312">
        <v>0</v>
      </c>
      <c r="U2176" s="311">
        <v>0</v>
      </c>
      <c r="V2176" s="312">
        <v>734.57823600000006</v>
      </c>
      <c r="W2176" s="311">
        <v>6.2977398915487037E-2</v>
      </c>
      <c r="X2176" s="307"/>
    </row>
    <row r="2177" spans="1:24">
      <c r="A2177" s="313" t="s">
        <v>306</v>
      </c>
      <c r="B2177" s="312">
        <v>0</v>
      </c>
      <c r="C2177" s="311">
        <v>0</v>
      </c>
      <c r="D2177" s="312">
        <v>16.238094</v>
      </c>
      <c r="E2177" s="311">
        <v>5.0950946867646375E-2</v>
      </c>
      <c r="F2177" s="312">
        <v>6.6734695000000004</v>
      </c>
      <c r="G2177" s="311">
        <v>2.0939624436055033E-2</v>
      </c>
      <c r="H2177" s="312">
        <v>163.73286100000001</v>
      </c>
      <c r="I2177" s="311">
        <v>0.51375144775604387</v>
      </c>
      <c r="J2177" s="312">
        <v>132.05610999999999</v>
      </c>
      <c r="K2177" s="311">
        <v>0.41435798094025472</v>
      </c>
      <c r="L2177" s="312">
        <v>0</v>
      </c>
      <c r="M2177" s="311">
        <v>0</v>
      </c>
      <c r="N2177" s="312">
        <v>0</v>
      </c>
      <c r="O2177" s="311">
        <v>0</v>
      </c>
      <c r="P2177" s="312">
        <v>0</v>
      </c>
      <c r="Q2177" s="311">
        <v>0</v>
      </c>
      <c r="R2177" s="312">
        <v>0</v>
      </c>
      <c r="S2177" s="311">
        <v>0</v>
      </c>
      <c r="T2177" s="312">
        <v>0</v>
      </c>
      <c r="U2177" s="311">
        <v>0</v>
      </c>
      <c r="V2177" s="312">
        <v>318.7005345</v>
      </c>
      <c r="W2177" s="311">
        <v>2.7323067458515662E-2</v>
      </c>
      <c r="X2177" s="307"/>
    </row>
    <row r="2178" spans="1:24">
      <c r="A2178" s="313" t="s">
        <v>305</v>
      </c>
      <c r="B2178" s="312">
        <v>0</v>
      </c>
      <c r="C2178" s="311">
        <v>0</v>
      </c>
      <c r="D2178" s="312">
        <v>41.280678000000002</v>
      </c>
      <c r="E2178" s="311">
        <v>4.4106642404137947E-2</v>
      </c>
      <c r="F2178" s="312">
        <v>101.93258499999999</v>
      </c>
      <c r="G2178" s="311">
        <v>0.10891061614647887</v>
      </c>
      <c r="H2178" s="312">
        <v>308.89674099999996</v>
      </c>
      <c r="I2178" s="311">
        <v>0.33004298270223698</v>
      </c>
      <c r="J2178" s="312">
        <v>441.93801099999996</v>
      </c>
      <c r="K2178" s="311">
        <v>0.47219190091725188</v>
      </c>
      <c r="L2178" s="312">
        <v>0</v>
      </c>
      <c r="M2178" s="311">
        <v>0</v>
      </c>
      <c r="N2178" s="312">
        <v>0</v>
      </c>
      <c r="O2178" s="311">
        <v>0</v>
      </c>
      <c r="P2178" s="312">
        <v>0</v>
      </c>
      <c r="Q2178" s="311">
        <v>0</v>
      </c>
      <c r="R2178" s="312">
        <v>0</v>
      </c>
      <c r="S2178" s="311">
        <v>0</v>
      </c>
      <c r="T2178" s="312">
        <v>41.880809999999997</v>
      </c>
      <c r="U2178" s="311">
        <v>4.474785782989428E-2</v>
      </c>
      <c r="V2178" s="312">
        <v>935.92882499999996</v>
      </c>
      <c r="W2178" s="311">
        <v>8.0239734966131029E-2</v>
      </c>
      <c r="X2178" s="307"/>
    </row>
    <row r="2179" spans="1:24" ht="28.5">
      <c r="A2179" s="313" t="s">
        <v>304</v>
      </c>
      <c r="B2179" s="312">
        <v>0</v>
      </c>
      <c r="C2179" s="311">
        <v>0</v>
      </c>
      <c r="D2179" s="312">
        <v>645.11183500000004</v>
      </c>
      <c r="E2179" s="311">
        <v>0.12405509979840909</v>
      </c>
      <c r="F2179" s="312">
        <v>780.24238800000001</v>
      </c>
      <c r="G2179" s="311">
        <v>0.15004072481523922</v>
      </c>
      <c r="H2179" s="312">
        <v>1869.2441959999985</v>
      </c>
      <c r="I2179" s="311">
        <v>0.35945593105167073</v>
      </c>
      <c r="J2179" s="312">
        <v>1687.2554799999991</v>
      </c>
      <c r="K2179" s="311">
        <v>0.32445947446741935</v>
      </c>
      <c r="L2179" s="312">
        <v>0</v>
      </c>
      <c r="M2179" s="311">
        <v>0</v>
      </c>
      <c r="N2179" s="312">
        <v>0</v>
      </c>
      <c r="O2179" s="311">
        <v>0</v>
      </c>
      <c r="P2179" s="312">
        <v>0</v>
      </c>
      <c r="Q2179" s="311">
        <v>0</v>
      </c>
      <c r="R2179" s="312">
        <v>0</v>
      </c>
      <c r="S2179" s="311">
        <v>0</v>
      </c>
      <c r="T2179" s="312">
        <v>218.3501719999999</v>
      </c>
      <c r="U2179" s="311">
        <v>4.1988769867258406E-2</v>
      </c>
      <c r="V2179" s="312">
        <v>5200.2040710000147</v>
      </c>
      <c r="W2179" s="311">
        <v>0.44582770108275788</v>
      </c>
      <c r="X2179" s="307"/>
    </row>
    <row r="2180" spans="1:24" ht="28.5">
      <c r="A2180" s="313" t="s">
        <v>303</v>
      </c>
      <c r="B2180" s="312">
        <v>0</v>
      </c>
      <c r="C2180" s="311">
        <v>0</v>
      </c>
      <c r="D2180" s="312">
        <v>571.6832179999999</v>
      </c>
      <c r="E2180" s="311">
        <v>0.17877068119943229</v>
      </c>
      <c r="F2180" s="312">
        <v>483.61968100000007</v>
      </c>
      <c r="G2180" s="311">
        <v>0.15123239075704714</v>
      </c>
      <c r="H2180" s="312">
        <v>1235.010229</v>
      </c>
      <c r="I2180" s="311">
        <v>0.38619923232834324</v>
      </c>
      <c r="J2180" s="312">
        <v>709.69543299999998</v>
      </c>
      <c r="K2180" s="311">
        <v>0.22192838972148393</v>
      </c>
      <c r="L2180" s="312">
        <v>0</v>
      </c>
      <c r="M2180" s="311">
        <v>0</v>
      </c>
      <c r="N2180" s="312">
        <v>0</v>
      </c>
      <c r="O2180" s="311">
        <v>0</v>
      </c>
      <c r="P2180" s="312">
        <v>0</v>
      </c>
      <c r="Q2180" s="311">
        <v>0</v>
      </c>
      <c r="R2180" s="312">
        <v>0</v>
      </c>
      <c r="S2180" s="311">
        <v>0</v>
      </c>
      <c r="T2180" s="312">
        <v>197.84924300000003</v>
      </c>
      <c r="U2180" s="311">
        <v>6.1869305993694612E-2</v>
      </c>
      <c r="V2180" s="312">
        <v>3197.8578039999961</v>
      </c>
      <c r="W2180" s="311">
        <v>0.27416108554230445</v>
      </c>
      <c r="X2180" s="307"/>
    </row>
    <row r="2181" spans="1:24" ht="15.75" thickBot="1">
      <c r="A2181" s="313" t="s">
        <v>302</v>
      </c>
      <c r="B2181" s="312">
        <v>0</v>
      </c>
      <c r="C2181" s="311">
        <v>0</v>
      </c>
      <c r="D2181" s="312">
        <v>68.266670000000005</v>
      </c>
      <c r="E2181" s="311">
        <v>0.19867582144629178</v>
      </c>
      <c r="F2181" s="312">
        <v>68.266670000000005</v>
      </c>
      <c r="G2181" s="311">
        <v>0.19867582144629178</v>
      </c>
      <c r="H2181" s="312">
        <v>138.808334</v>
      </c>
      <c r="I2181" s="311">
        <v>0.40397253566112468</v>
      </c>
      <c r="J2181" s="312">
        <v>68.266670000000005</v>
      </c>
      <c r="K2181" s="311">
        <v>0.19867582144629178</v>
      </c>
      <c r="L2181" s="312">
        <v>0</v>
      </c>
      <c r="M2181" s="311">
        <v>0</v>
      </c>
      <c r="N2181" s="312">
        <v>0</v>
      </c>
      <c r="O2181" s="311">
        <v>0</v>
      </c>
      <c r="P2181" s="312">
        <v>0</v>
      </c>
      <c r="Q2181" s="311">
        <v>0</v>
      </c>
      <c r="R2181" s="312">
        <v>0</v>
      </c>
      <c r="S2181" s="311">
        <v>0</v>
      </c>
      <c r="T2181" s="312">
        <v>0</v>
      </c>
      <c r="U2181" s="311">
        <v>0</v>
      </c>
      <c r="V2181" s="312">
        <v>343.60834399999999</v>
      </c>
      <c r="W2181" s="311">
        <v>2.9458482010863572E-2</v>
      </c>
      <c r="X2181" s="307"/>
    </row>
    <row r="2182" spans="1:24" ht="15" customHeight="1">
      <c r="A2182" s="316" t="s">
        <v>4</v>
      </c>
      <c r="B2182" s="315">
        <v>0</v>
      </c>
      <c r="C2182" s="314">
        <v>0</v>
      </c>
      <c r="D2182" s="315">
        <v>549.84076073253095</v>
      </c>
      <c r="E2182" s="314">
        <v>0.12705805115268473</v>
      </c>
      <c r="F2182" s="315">
        <v>487.91617039731722</v>
      </c>
      <c r="G2182" s="314">
        <v>0.11274842129559959</v>
      </c>
      <c r="H2182" s="315">
        <v>769.59090436065435</v>
      </c>
      <c r="I2182" s="314">
        <v>0.17783825332015202</v>
      </c>
      <c r="J2182" s="315">
        <v>730.8588158293262</v>
      </c>
      <c r="K2182" s="314">
        <v>0.16888798255574478</v>
      </c>
      <c r="L2182" s="315">
        <v>899.17792921000387</v>
      </c>
      <c r="M2182" s="314">
        <v>0.2077834229181591</v>
      </c>
      <c r="N2182" s="315">
        <v>613.88845670552178</v>
      </c>
      <c r="O2182" s="314">
        <v>0.1418582915355662</v>
      </c>
      <c r="P2182" s="315">
        <v>0</v>
      </c>
      <c r="Q2182" s="314">
        <v>0</v>
      </c>
      <c r="R2182" s="315">
        <v>0</v>
      </c>
      <c r="S2182" s="314">
        <v>0</v>
      </c>
      <c r="T2182" s="315">
        <v>276.20370071485485</v>
      </c>
      <c r="U2182" s="314">
        <v>6.3825577222093616E-2</v>
      </c>
      <c r="V2182" s="315">
        <v>4327.4767379502091</v>
      </c>
      <c r="W2182" s="314">
        <v>1</v>
      </c>
      <c r="X2182" s="307"/>
    </row>
    <row r="2183" spans="1:24">
      <c r="A2183" s="313" t="s">
        <v>309</v>
      </c>
      <c r="B2183" s="312">
        <v>0</v>
      </c>
      <c r="C2183" s="311">
        <v>0</v>
      </c>
      <c r="D2183" s="312">
        <v>0</v>
      </c>
      <c r="E2183" s="311">
        <v>0</v>
      </c>
      <c r="F2183" s="312">
        <v>39.839285714285715</v>
      </c>
      <c r="G2183" s="311">
        <v>0.14215671479115313</v>
      </c>
      <c r="H2183" s="312">
        <v>39.839285714285715</v>
      </c>
      <c r="I2183" s="311">
        <v>0.14215671479115313</v>
      </c>
      <c r="J2183" s="312">
        <v>39.839285714285715</v>
      </c>
      <c r="K2183" s="311">
        <v>0.14215671479115313</v>
      </c>
      <c r="L2183" s="312">
        <v>79.678571428571431</v>
      </c>
      <c r="M2183" s="311">
        <v>0.28431342958230627</v>
      </c>
      <c r="N2183" s="312">
        <v>81.05263157894737</v>
      </c>
      <c r="O2183" s="311">
        <v>0.28921642604423431</v>
      </c>
      <c r="P2183" s="312">
        <v>0</v>
      </c>
      <c r="Q2183" s="311">
        <v>0</v>
      </c>
      <c r="R2183" s="312">
        <v>0</v>
      </c>
      <c r="S2183" s="311">
        <v>0</v>
      </c>
      <c r="T2183" s="312">
        <v>0</v>
      </c>
      <c r="U2183" s="311">
        <v>0</v>
      </c>
      <c r="V2183" s="312">
        <v>280.24906015037595</v>
      </c>
      <c r="W2183" s="311">
        <v>6.4760385120665301E-2</v>
      </c>
      <c r="X2183" s="307"/>
    </row>
    <row r="2184" spans="1:24">
      <c r="A2184" s="313" t="s">
        <v>308</v>
      </c>
      <c r="B2184" s="312">
        <v>0</v>
      </c>
      <c r="C2184" s="311">
        <v>0</v>
      </c>
      <c r="D2184" s="312">
        <v>16.139097744360903</v>
      </c>
      <c r="E2184" s="311">
        <v>4.1811947941945808E-2</v>
      </c>
      <c r="F2184" s="312">
        <v>5.3796992481203008</v>
      </c>
      <c r="G2184" s="311">
        <v>1.3937315980648601E-2</v>
      </c>
      <c r="H2184" s="312">
        <v>102.68671059027092</v>
      </c>
      <c r="I2184" s="311">
        <v>0.26603292609899759</v>
      </c>
      <c r="J2184" s="312">
        <v>51.85026815575047</v>
      </c>
      <c r="K2184" s="311">
        <v>0.13432973436583018</v>
      </c>
      <c r="L2184" s="312">
        <v>112.6296992481203</v>
      </c>
      <c r="M2184" s="311">
        <v>0.29179246549422905</v>
      </c>
      <c r="N2184" s="312">
        <v>25.700453965101431</v>
      </c>
      <c r="O2184" s="311">
        <v>6.658278302135337E-2</v>
      </c>
      <c r="P2184" s="312">
        <v>0</v>
      </c>
      <c r="Q2184" s="311">
        <v>0</v>
      </c>
      <c r="R2184" s="312">
        <v>0</v>
      </c>
      <c r="S2184" s="311">
        <v>0</v>
      </c>
      <c r="T2184" s="312">
        <v>71.606557377049185</v>
      </c>
      <c r="U2184" s="311">
        <v>0.1855128270969956</v>
      </c>
      <c r="V2184" s="312">
        <v>385.99248632877345</v>
      </c>
      <c r="W2184" s="311">
        <v>8.9195739157596515E-2</v>
      </c>
      <c r="X2184" s="307"/>
    </row>
    <row r="2185" spans="1:24">
      <c r="A2185" s="313" t="s">
        <v>307</v>
      </c>
      <c r="B2185" s="312">
        <v>0</v>
      </c>
      <c r="C2185" s="311">
        <v>0</v>
      </c>
      <c r="D2185" s="312">
        <v>0</v>
      </c>
      <c r="E2185" s="311">
        <v>0</v>
      </c>
      <c r="F2185" s="312">
        <v>0</v>
      </c>
      <c r="G2185" s="311">
        <v>0</v>
      </c>
      <c r="H2185" s="312">
        <v>0</v>
      </c>
      <c r="I2185" s="311">
        <v>0</v>
      </c>
      <c r="J2185" s="312">
        <v>120.45614035087719</v>
      </c>
      <c r="K2185" s="311">
        <v>0.5</v>
      </c>
      <c r="L2185" s="312">
        <v>0</v>
      </c>
      <c r="M2185" s="311">
        <v>0</v>
      </c>
      <c r="N2185" s="312">
        <v>0</v>
      </c>
      <c r="O2185" s="311">
        <v>0</v>
      </c>
      <c r="P2185" s="312">
        <v>0</v>
      </c>
      <c r="Q2185" s="311">
        <v>0</v>
      </c>
      <c r="R2185" s="312">
        <v>0</v>
      </c>
      <c r="S2185" s="311">
        <v>0</v>
      </c>
      <c r="T2185" s="312">
        <v>120.45614035087719</v>
      </c>
      <c r="U2185" s="311">
        <v>0.5</v>
      </c>
      <c r="V2185" s="312">
        <v>240.91228070175438</v>
      </c>
      <c r="W2185" s="311">
        <v>5.5670381446317613E-2</v>
      </c>
      <c r="X2185" s="307"/>
    </row>
    <row r="2186" spans="1:24">
      <c r="A2186" s="313" t="s">
        <v>306</v>
      </c>
      <c r="B2186" s="312">
        <v>0</v>
      </c>
      <c r="C2186" s="311">
        <v>0</v>
      </c>
      <c r="D2186" s="312">
        <v>0</v>
      </c>
      <c r="E2186" s="311">
        <v>0</v>
      </c>
      <c r="F2186" s="312">
        <v>0</v>
      </c>
      <c r="G2186" s="311">
        <v>0</v>
      </c>
      <c r="H2186" s="312">
        <v>0</v>
      </c>
      <c r="I2186" s="311">
        <v>0</v>
      </c>
      <c r="J2186" s="312">
        <v>0</v>
      </c>
      <c r="K2186" s="311">
        <v>0</v>
      </c>
      <c r="L2186" s="312">
        <v>0</v>
      </c>
      <c r="M2186" s="311">
        <v>0</v>
      </c>
      <c r="N2186" s="312">
        <v>7.6875</v>
      </c>
      <c r="O2186" s="311">
        <v>1</v>
      </c>
      <c r="P2186" s="312">
        <v>0</v>
      </c>
      <c r="Q2186" s="311">
        <v>0</v>
      </c>
      <c r="R2186" s="312">
        <v>0</v>
      </c>
      <c r="S2186" s="311">
        <v>0</v>
      </c>
      <c r="T2186" s="312">
        <v>0</v>
      </c>
      <c r="U2186" s="311">
        <v>0</v>
      </c>
      <c r="V2186" s="312">
        <v>7.6875</v>
      </c>
      <c r="W2186" s="311">
        <v>1.776439358433462E-3</v>
      </c>
      <c r="X2186" s="307"/>
    </row>
    <row r="2187" spans="1:24">
      <c r="A2187" s="313" t="s">
        <v>305</v>
      </c>
      <c r="B2187" s="312">
        <v>0</v>
      </c>
      <c r="C2187" s="311">
        <v>0</v>
      </c>
      <c r="D2187" s="312">
        <v>63.28671328671328</v>
      </c>
      <c r="E2187" s="311">
        <v>0.1137747125529064</v>
      </c>
      <c r="F2187" s="312">
        <v>5.8636363636363633</v>
      </c>
      <c r="G2187" s="311">
        <v>1.054144712437702E-2</v>
      </c>
      <c r="H2187" s="312">
        <v>105.82234957020057</v>
      </c>
      <c r="I2187" s="311">
        <v>0.19024384074864678</v>
      </c>
      <c r="J2187" s="312">
        <v>57.42307692307692</v>
      </c>
      <c r="K2187" s="311">
        <v>0.1032332654285294</v>
      </c>
      <c r="L2187" s="312">
        <v>127.73945761338311</v>
      </c>
      <c r="M2187" s="311">
        <v>0.22964567626990473</v>
      </c>
      <c r="N2187" s="312">
        <v>190.24699389139661</v>
      </c>
      <c r="O2187" s="311">
        <v>0.34201961075125875</v>
      </c>
      <c r="P2187" s="312">
        <v>0</v>
      </c>
      <c r="Q2187" s="311">
        <v>0</v>
      </c>
      <c r="R2187" s="312">
        <v>0</v>
      </c>
      <c r="S2187" s="311">
        <v>0</v>
      </c>
      <c r="T2187" s="312">
        <v>5.8636363636363633</v>
      </c>
      <c r="U2187" s="311">
        <v>1.054144712437702E-2</v>
      </c>
      <c r="V2187" s="312">
        <v>556.24586401204317</v>
      </c>
      <c r="W2187" s="311">
        <v>0.12853815229877341</v>
      </c>
      <c r="X2187" s="307"/>
    </row>
    <row r="2188" spans="1:24" ht="28.5">
      <c r="A2188" s="313" t="s">
        <v>304</v>
      </c>
      <c r="B2188" s="312">
        <v>0</v>
      </c>
      <c r="C2188" s="311">
        <v>0</v>
      </c>
      <c r="D2188" s="312">
        <v>384.40708601003013</v>
      </c>
      <c r="E2188" s="311">
        <v>0.21759595006323176</v>
      </c>
      <c r="F2188" s="312">
        <v>239.98960248126522</v>
      </c>
      <c r="G2188" s="311">
        <v>0.13584756227892653</v>
      </c>
      <c r="H2188" s="312">
        <v>256.35020769910744</v>
      </c>
      <c r="I2188" s="311">
        <v>0.14510858156173173</v>
      </c>
      <c r="J2188" s="312">
        <v>262.44734910445163</v>
      </c>
      <c r="K2188" s="311">
        <v>0.14855990523668378</v>
      </c>
      <c r="L2188" s="312">
        <v>383.70637433275419</v>
      </c>
      <c r="M2188" s="311">
        <v>0.21719930799109974</v>
      </c>
      <c r="N2188" s="312">
        <v>167.74407563811559</v>
      </c>
      <c r="O2188" s="311">
        <v>9.4952545971022997E-2</v>
      </c>
      <c r="P2188" s="312">
        <v>0</v>
      </c>
      <c r="Q2188" s="311">
        <v>0</v>
      </c>
      <c r="R2188" s="312">
        <v>0</v>
      </c>
      <c r="S2188" s="311">
        <v>0</v>
      </c>
      <c r="T2188" s="312">
        <v>71.964866623292124</v>
      </c>
      <c r="U2188" s="311">
        <v>4.0736146897303607E-2</v>
      </c>
      <c r="V2188" s="312">
        <v>1766.609561889016</v>
      </c>
      <c r="W2188" s="311">
        <v>0.40823086266335518</v>
      </c>
      <c r="X2188" s="307"/>
    </row>
    <row r="2189" spans="1:24" ht="28.5">
      <c r="A2189" s="313" t="s">
        <v>303</v>
      </c>
      <c r="B2189" s="312">
        <v>0</v>
      </c>
      <c r="C2189" s="311">
        <v>0</v>
      </c>
      <c r="D2189" s="312">
        <v>86.007863691426678</v>
      </c>
      <c r="E2189" s="311">
        <v>8.4141089712984216E-2</v>
      </c>
      <c r="F2189" s="312">
        <v>196.84394659000958</v>
      </c>
      <c r="G2189" s="311">
        <v>0.19257150984368476</v>
      </c>
      <c r="H2189" s="312">
        <v>197.29860078678976</v>
      </c>
      <c r="I2189" s="311">
        <v>0.19301629591228095</v>
      </c>
      <c r="J2189" s="312">
        <v>198.84269558088454</v>
      </c>
      <c r="K2189" s="311">
        <v>0.19452687660826715</v>
      </c>
      <c r="L2189" s="312">
        <v>195.4238265871748</v>
      </c>
      <c r="M2189" s="311">
        <v>0.19118221310460493</v>
      </c>
      <c r="N2189" s="312">
        <v>141.45680163196087</v>
      </c>
      <c r="O2189" s="311">
        <v>0.13838652567082729</v>
      </c>
      <c r="P2189" s="312">
        <v>0</v>
      </c>
      <c r="Q2189" s="311">
        <v>0</v>
      </c>
      <c r="R2189" s="312">
        <v>0</v>
      </c>
      <c r="S2189" s="311">
        <v>0</v>
      </c>
      <c r="T2189" s="312">
        <v>6.3125</v>
      </c>
      <c r="U2189" s="311">
        <v>6.1754891473505737E-3</v>
      </c>
      <c r="V2189" s="312">
        <v>1022.1862348682464</v>
      </c>
      <c r="W2189" s="311">
        <v>0.23620837193741318</v>
      </c>
      <c r="X2189" s="307"/>
    </row>
    <row r="2190" spans="1:24" ht="15.75" thickBot="1">
      <c r="A2190" s="313" t="s">
        <v>302</v>
      </c>
      <c r="B2190" s="312">
        <v>0</v>
      </c>
      <c r="C2190" s="311">
        <v>0</v>
      </c>
      <c r="D2190" s="312">
        <v>0</v>
      </c>
      <c r="E2190" s="311">
        <v>0</v>
      </c>
      <c r="F2190" s="312">
        <v>0</v>
      </c>
      <c r="G2190" s="311">
        <v>0</v>
      </c>
      <c r="H2190" s="312">
        <v>67.59375</v>
      </c>
      <c r="I2190" s="311">
        <v>1</v>
      </c>
      <c r="J2190" s="312">
        <v>0</v>
      </c>
      <c r="K2190" s="311">
        <v>0</v>
      </c>
      <c r="L2190" s="312">
        <v>0</v>
      </c>
      <c r="M2190" s="311">
        <v>0</v>
      </c>
      <c r="N2190" s="312">
        <v>0</v>
      </c>
      <c r="O2190" s="311">
        <v>0</v>
      </c>
      <c r="P2190" s="312">
        <v>0</v>
      </c>
      <c r="Q2190" s="311">
        <v>0</v>
      </c>
      <c r="R2190" s="312">
        <v>0</v>
      </c>
      <c r="S2190" s="311">
        <v>0</v>
      </c>
      <c r="T2190" s="312">
        <v>0</v>
      </c>
      <c r="U2190" s="311">
        <v>0</v>
      </c>
      <c r="V2190" s="312">
        <v>67.59375</v>
      </c>
      <c r="W2190" s="311">
        <v>1.5619668017445441E-2</v>
      </c>
      <c r="X2190" s="307"/>
    </row>
    <row r="2191" spans="1:24" ht="15.75" customHeight="1">
      <c r="A2191" s="316" t="s">
        <v>3</v>
      </c>
      <c r="B2191" s="315">
        <v>0</v>
      </c>
      <c r="C2191" s="314">
        <v>0</v>
      </c>
      <c r="D2191" s="315">
        <v>89.011312257534286</v>
      </c>
      <c r="E2191" s="314">
        <v>7.1683176245153885E-2</v>
      </c>
      <c r="F2191" s="315">
        <v>61.292075454759711</v>
      </c>
      <c r="G2191" s="314">
        <v>4.9360137895090049E-2</v>
      </c>
      <c r="H2191" s="315">
        <v>230.59874765806936</v>
      </c>
      <c r="I2191" s="314">
        <v>0.18570730226355001</v>
      </c>
      <c r="J2191" s="315">
        <v>83.634395401666055</v>
      </c>
      <c r="K2191" s="314">
        <v>6.7353002148634863E-2</v>
      </c>
      <c r="L2191" s="315">
        <v>14.496622546782291</v>
      </c>
      <c r="M2191" s="314">
        <v>1.1674515548921228E-2</v>
      </c>
      <c r="N2191" s="315">
        <v>45.599999999999994</v>
      </c>
      <c r="O2191" s="314">
        <v>3.6722892336668547E-2</v>
      </c>
      <c r="P2191" s="315">
        <v>361.64959399806963</v>
      </c>
      <c r="Q2191" s="314">
        <v>0.29124603298225887</v>
      </c>
      <c r="R2191" s="315">
        <v>149.65248212567479</v>
      </c>
      <c r="S2191" s="314">
        <v>0.12051912256614847</v>
      </c>
      <c r="T2191" s="315">
        <v>205.79702797191385</v>
      </c>
      <c r="U2191" s="314">
        <v>0.16573381801357365</v>
      </c>
      <c r="V2191" s="315">
        <v>1241.7322574144705</v>
      </c>
      <c r="W2191" s="314">
        <v>1</v>
      </c>
      <c r="X2191" s="307"/>
    </row>
    <row r="2192" spans="1:24">
      <c r="A2192" s="313" t="s">
        <v>309</v>
      </c>
      <c r="B2192" s="312">
        <v>0</v>
      </c>
      <c r="C2192" s="311">
        <v>0</v>
      </c>
      <c r="D2192" s="312">
        <v>0</v>
      </c>
      <c r="E2192" s="311">
        <v>0</v>
      </c>
      <c r="F2192" s="312">
        <v>0</v>
      </c>
      <c r="G2192" s="311">
        <v>0</v>
      </c>
      <c r="H2192" s="312">
        <v>0</v>
      </c>
      <c r="I2192" s="311">
        <v>0</v>
      </c>
      <c r="J2192" s="312">
        <v>0</v>
      </c>
      <c r="K2192" s="311">
        <v>0</v>
      </c>
      <c r="L2192" s="312">
        <v>0</v>
      </c>
      <c r="M2192" s="311">
        <v>0</v>
      </c>
      <c r="N2192" s="312">
        <v>0</v>
      </c>
      <c r="O2192" s="311">
        <v>0</v>
      </c>
      <c r="P2192" s="312">
        <v>5</v>
      </c>
      <c r="Q2192" s="311">
        <v>1</v>
      </c>
      <c r="R2192" s="312">
        <v>0</v>
      </c>
      <c r="S2192" s="311">
        <v>0</v>
      </c>
      <c r="T2192" s="312">
        <v>0</v>
      </c>
      <c r="U2192" s="311">
        <v>0</v>
      </c>
      <c r="V2192" s="312">
        <v>5</v>
      </c>
      <c r="W2192" s="311">
        <v>4.0266329316522541E-3</v>
      </c>
      <c r="X2192" s="307"/>
    </row>
    <row r="2193" spans="1:24">
      <c r="A2193" s="313" t="s">
        <v>308</v>
      </c>
      <c r="B2193" s="312">
        <v>0</v>
      </c>
      <c r="C2193" s="311">
        <v>0</v>
      </c>
      <c r="D2193" s="312">
        <v>10.764150943396226</v>
      </c>
      <c r="E2193" s="311">
        <v>0.14324900133155791</v>
      </c>
      <c r="F2193" s="312">
        <v>0</v>
      </c>
      <c r="G2193" s="311">
        <v>0</v>
      </c>
      <c r="H2193" s="312">
        <v>15.141414141414142</v>
      </c>
      <c r="I2193" s="311">
        <v>0.20150149007672311</v>
      </c>
      <c r="J2193" s="312">
        <v>0</v>
      </c>
      <c r="K2193" s="311">
        <v>0</v>
      </c>
      <c r="L2193" s="312">
        <v>0</v>
      </c>
      <c r="M2193" s="311">
        <v>0</v>
      </c>
      <c r="N2193" s="312">
        <v>36.666666666666664</v>
      </c>
      <c r="O2193" s="311">
        <v>0.48795891192695451</v>
      </c>
      <c r="P2193" s="312">
        <v>0</v>
      </c>
      <c r="Q2193" s="311">
        <v>0</v>
      </c>
      <c r="R2193" s="312">
        <v>7.5707070707070709</v>
      </c>
      <c r="S2193" s="311">
        <v>0.10075074503836155</v>
      </c>
      <c r="T2193" s="312">
        <v>5</v>
      </c>
      <c r="U2193" s="311">
        <v>6.6539851626402899E-2</v>
      </c>
      <c r="V2193" s="312">
        <v>75.142938822184107</v>
      </c>
      <c r="W2193" s="311">
        <v>6.0514606408507428E-2</v>
      </c>
      <c r="X2193" s="307"/>
    </row>
    <row r="2194" spans="1:24">
      <c r="A2194" s="313" t="s">
        <v>307</v>
      </c>
      <c r="B2194" s="312">
        <v>0</v>
      </c>
      <c r="C2194" s="311">
        <v>0</v>
      </c>
      <c r="D2194" s="312">
        <v>0</v>
      </c>
      <c r="E2194" s="311">
        <v>0</v>
      </c>
      <c r="F2194" s="312">
        <v>0</v>
      </c>
      <c r="G2194" s="311">
        <v>0</v>
      </c>
      <c r="H2194" s="312">
        <v>0</v>
      </c>
      <c r="I2194" s="311">
        <v>0</v>
      </c>
      <c r="J2194" s="312">
        <v>0</v>
      </c>
      <c r="K2194" s="311">
        <v>0</v>
      </c>
      <c r="L2194" s="312">
        <v>0</v>
      </c>
      <c r="M2194" s="311">
        <v>0</v>
      </c>
      <c r="N2194" s="312">
        <v>0</v>
      </c>
      <c r="O2194" s="311">
        <v>0</v>
      </c>
      <c r="P2194" s="312">
        <v>0</v>
      </c>
      <c r="Q2194" s="311">
        <v>0</v>
      </c>
      <c r="R2194" s="312">
        <v>95.6640625</v>
      </c>
      <c r="S2194" s="311">
        <v>1</v>
      </c>
      <c r="T2194" s="312">
        <v>0</v>
      </c>
      <c r="U2194" s="311">
        <v>0</v>
      </c>
      <c r="V2194" s="312">
        <v>95.6640625</v>
      </c>
      <c r="W2194" s="311">
        <v>7.7040812887627888E-2</v>
      </c>
      <c r="X2194" s="307"/>
    </row>
    <row r="2195" spans="1:24">
      <c r="A2195" s="313" t="s">
        <v>306</v>
      </c>
      <c r="B2195" s="312">
        <v>0</v>
      </c>
      <c r="C2195" s="311">
        <v>0</v>
      </c>
      <c r="D2195" s="312">
        <v>0</v>
      </c>
      <c r="E2195" s="311">
        <v>0</v>
      </c>
      <c r="F2195" s="312">
        <v>0</v>
      </c>
      <c r="G2195" s="311">
        <v>0</v>
      </c>
      <c r="H2195" s="312">
        <v>0</v>
      </c>
      <c r="I2195" s="311">
        <v>0</v>
      </c>
      <c r="J2195" s="312">
        <v>0</v>
      </c>
      <c r="K2195" s="311">
        <v>0</v>
      </c>
      <c r="L2195" s="312">
        <v>0</v>
      </c>
      <c r="M2195" s="311">
        <v>0</v>
      </c>
      <c r="N2195" s="312">
        <v>8.9333333333333336</v>
      </c>
      <c r="O2195" s="311">
        <v>0.19839360402709402</v>
      </c>
      <c r="P2195" s="312">
        <v>0</v>
      </c>
      <c r="Q2195" s="311">
        <v>0</v>
      </c>
      <c r="R2195" s="312">
        <v>0</v>
      </c>
      <c r="S2195" s="311">
        <v>0</v>
      </c>
      <c r="T2195" s="312">
        <v>36.094999999999999</v>
      </c>
      <c r="U2195" s="311">
        <v>0.80160639597290584</v>
      </c>
      <c r="V2195" s="312">
        <v>45.028333333333336</v>
      </c>
      <c r="W2195" s="311">
        <v>3.6262513971482981E-2</v>
      </c>
      <c r="X2195" s="307"/>
    </row>
    <row r="2196" spans="1:24">
      <c r="A2196" s="313" t="s">
        <v>305</v>
      </c>
      <c r="B2196" s="312">
        <v>0</v>
      </c>
      <c r="C2196" s="311">
        <v>0</v>
      </c>
      <c r="D2196" s="312">
        <v>0</v>
      </c>
      <c r="E2196" s="311">
        <v>0</v>
      </c>
      <c r="F2196" s="312">
        <v>0</v>
      </c>
      <c r="G2196" s="311">
        <v>0</v>
      </c>
      <c r="H2196" s="312">
        <v>0</v>
      </c>
      <c r="I2196" s="311">
        <v>0</v>
      </c>
      <c r="J2196" s="312">
        <v>45.954268292682926</v>
      </c>
      <c r="K2196" s="311">
        <v>0.18352705421841253</v>
      </c>
      <c r="L2196" s="312">
        <v>0</v>
      </c>
      <c r="M2196" s="311">
        <v>0</v>
      </c>
      <c r="N2196" s="312">
        <v>0</v>
      </c>
      <c r="O2196" s="311">
        <v>0</v>
      </c>
      <c r="P2196" s="312">
        <v>158.48652635719907</v>
      </c>
      <c r="Q2196" s="311">
        <v>0.63294589156317504</v>
      </c>
      <c r="R2196" s="312">
        <v>0</v>
      </c>
      <c r="S2196" s="311">
        <v>0</v>
      </c>
      <c r="T2196" s="312">
        <v>45.954268292682926</v>
      </c>
      <c r="U2196" s="311">
        <v>0.18352705421841253</v>
      </c>
      <c r="V2196" s="312">
        <v>250.39506294256489</v>
      </c>
      <c r="W2196" s="311">
        <v>0.20164980127353413</v>
      </c>
      <c r="X2196" s="307"/>
    </row>
    <row r="2197" spans="1:24" ht="28.5">
      <c r="A2197" s="313" t="s">
        <v>304</v>
      </c>
      <c r="B2197" s="312">
        <v>0</v>
      </c>
      <c r="C2197" s="311">
        <v>0</v>
      </c>
      <c r="D2197" s="312">
        <v>59.15746031746032</v>
      </c>
      <c r="E2197" s="311">
        <v>0.16291431939707937</v>
      </c>
      <c r="F2197" s="312">
        <v>14.496622546782291</v>
      </c>
      <c r="G2197" s="311">
        <v>3.9922393271983228E-2</v>
      </c>
      <c r="H2197" s="312">
        <v>61.497830169620883</v>
      </c>
      <c r="I2197" s="311">
        <v>0.16935948725175226</v>
      </c>
      <c r="J2197" s="312">
        <v>9.0285714285714285</v>
      </c>
      <c r="K2197" s="311">
        <v>2.4863872815369996E-2</v>
      </c>
      <c r="L2197" s="312">
        <v>14.496622546782291</v>
      </c>
      <c r="M2197" s="311">
        <v>3.9922393271983228E-2</v>
      </c>
      <c r="N2197" s="312">
        <v>0</v>
      </c>
      <c r="O2197" s="311">
        <v>0</v>
      </c>
      <c r="P2197" s="312">
        <v>67.912049948840021</v>
      </c>
      <c r="Q2197" s="311">
        <v>0.18702367101128306</v>
      </c>
      <c r="R2197" s="312">
        <v>17.783161059951137</v>
      </c>
      <c r="S2197" s="311">
        <v>4.8973224429573706E-2</v>
      </c>
      <c r="T2197" s="312">
        <v>118.7477596792309</v>
      </c>
      <c r="U2197" s="311">
        <v>0.32702063855097513</v>
      </c>
      <c r="V2197" s="312">
        <v>363.12007769723925</v>
      </c>
      <c r="W2197" s="311">
        <v>0.29243025259996569</v>
      </c>
      <c r="X2197" s="307"/>
    </row>
    <row r="2198" spans="1:24" ht="28.5">
      <c r="A2198" s="313" t="s">
        <v>303</v>
      </c>
      <c r="B2198" s="312">
        <v>0</v>
      </c>
      <c r="C2198" s="311">
        <v>0</v>
      </c>
      <c r="D2198" s="312">
        <v>19.089700996677742</v>
      </c>
      <c r="E2198" s="311">
        <v>5.4859319793040352E-2</v>
      </c>
      <c r="F2198" s="312">
        <v>46.79545290797742</v>
      </c>
      <c r="G2198" s="311">
        <v>0.1344791474934923</v>
      </c>
      <c r="H2198" s="312">
        <v>153.95950334703431</v>
      </c>
      <c r="I2198" s="311">
        <v>0.44244347414150348</v>
      </c>
      <c r="J2198" s="312">
        <v>28.6515556804117</v>
      </c>
      <c r="K2198" s="311">
        <v>8.2337845727041753E-2</v>
      </c>
      <c r="L2198" s="312">
        <v>0</v>
      </c>
      <c r="M2198" s="311">
        <v>0</v>
      </c>
      <c r="N2198" s="312">
        <v>0</v>
      </c>
      <c r="O2198" s="311">
        <v>0</v>
      </c>
      <c r="P2198" s="312">
        <v>70.844767692030587</v>
      </c>
      <c r="Q2198" s="311">
        <v>0.20359123315536171</v>
      </c>
      <c r="R2198" s="312">
        <v>28.634551495016613</v>
      </c>
      <c r="S2198" s="311">
        <v>8.2288979689560518E-2</v>
      </c>
      <c r="T2198" s="312">
        <v>0</v>
      </c>
      <c r="U2198" s="311">
        <v>0</v>
      </c>
      <c r="V2198" s="312">
        <v>347.97553211914834</v>
      </c>
      <c r="W2198" s="311">
        <v>0.28023394740803581</v>
      </c>
      <c r="X2198" s="307"/>
    </row>
    <row r="2199" spans="1:24" ht="15.75" thickBot="1">
      <c r="A2199" s="310" t="s">
        <v>302</v>
      </c>
      <c r="B2199" s="309">
        <v>0</v>
      </c>
      <c r="C2199" s="308">
        <v>0</v>
      </c>
      <c r="D2199" s="309">
        <v>0</v>
      </c>
      <c r="E2199" s="308">
        <v>0</v>
      </c>
      <c r="F2199" s="309">
        <v>0</v>
      </c>
      <c r="G2199" s="308">
        <v>0</v>
      </c>
      <c r="H2199" s="309">
        <v>0</v>
      </c>
      <c r="I2199" s="308">
        <v>0</v>
      </c>
      <c r="J2199" s="309">
        <v>0</v>
      </c>
      <c r="K2199" s="308">
        <v>0</v>
      </c>
      <c r="L2199" s="309">
        <v>0</v>
      </c>
      <c r="M2199" s="308">
        <v>0</v>
      </c>
      <c r="N2199" s="309">
        <v>0</v>
      </c>
      <c r="O2199" s="308">
        <v>0</v>
      </c>
      <c r="P2199" s="309">
        <v>59.40625</v>
      </c>
      <c r="Q2199" s="308">
        <v>1</v>
      </c>
      <c r="R2199" s="309">
        <v>0</v>
      </c>
      <c r="S2199" s="308">
        <v>0</v>
      </c>
      <c r="T2199" s="309">
        <v>0</v>
      </c>
      <c r="U2199" s="308">
        <v>0</v>
      </c>
      <c r="V2199" s="309">
        <v>59.40625</v>
      </c>
      <c r="W2199" s="308">
        <v>4.7841432519193337E-2</v>
      </c>
      <c r="X2199" s="307"/>
    </row>
    <row r="2203" spans="1:24" ht="15.75" thickBot="1"/>
    <row r="2204" spans="1:24" ht="15" customHeight="1">
      <c r="A2204" s="752" t="s">
        <v>310</v>
      </c>
      <c r="B2204" s="755" t="s">
        <v>373</v>
      </c>
      <c r="C2204" s="756"/>
      <c r="D2204" s="756"/>
      <c r="E2204" s="756"/>
      <c r="F2204" s="756"/>
      <c r="G2204" s="756"/>
      <c r="H2204" s="756"/>
      <c r="I2204" s="756"/>
      <c r="J2204" s="756"/>
      <c r="K2204" s="756"/>
      <c r="L2204" s="756"/>
      <c r="M2204" s="756"/>
      <c r="N2204" s="756"/>
      <c r="O2204" s="756"/>
      <c r="P2204" s="756"/>
      <c r="Q2204" s="757"/>
      <c r="R2204" s="307"/>
    </row>
    <row r="2205" spans="1:24" ht="50.25" customHeight="1">
      <c r="A2205" s="753"/>
      <c r="B2205" s="758" t="s">
        <v>59</v>
      </c>
      <c r="C2205" s="759"/>
      <c r="D2205" s="760" t="s">
        <v>58</v>
      </c>
      <c r="E2205" s="759"/>
      <c r="F2205" s="760" t="s">
        <v>57</v>
      </c>
      <c r="G2205" s="759"/>
      <c r="H2205" s="760" t="s">
        <v>56</v>
      </c>
      <c r="I2205" s="759"/>
      <c r="J2205" s="760" t="s">
        <v>55</v>
      </c>
      <c r="K2205" s="759"/>
      <c r="L2205" s="760" t="s">
        <v>54</v>
      </c>
      <c r="M2205" s="759"/>
      <c r="N2205" s="760" t="s">
        <v>14</v>
      </c>
      <c r="O2205" s="759"/>
      <c r="P2205" s="761" t="s">
        <v>9</v>
      </c>
      <c r="Q2205" s="762"/>
      <c r="R2205" s="307"/>
    </row>
    <row r="2206" spans="1:24" ht="15.75" customHeight="1" thickBot="1">
      <c r="A2206" s="754"/>
      <c r="B2206" s="318" t="s">
        <v>7</v>
      </c>
      <c r="C2206" s="318" t="s">
        <v>8</v>
      </c>
      <c r="D2206" s="318" t="s">
        <v>7</v>
      </c>
      <c r="E2206" s="318" t="s">
        <v>8</v>
      </c>
      <c r="F2206" s="318" t="s">
        <v>7</v>
      </c>
      <c r="G2206" s="318" t="s">
        <v>8</v>
      </c>
      <c r="H2206" s="318" t="s">
        <v>7</v>
      </c>
      <c r="I2206" s="318" t="s">
        <v>8</v>
      </c>
      <c r="J2206" s="318" t="s">
        <v>7</v>
      </c>
      <c r="K2206" s="318" t="s">
        <v>8</v>
      </c>
      <c r="L2206" s="318" t="s">
        <v>7</v>
      </c>
      <c r="M2206" s="318" t="s">
        <v>8</v>
      </c>
      <c r="N2206" s="318" t="s">
        <v>7</v>
      </c>
      <c r="O2206" s="318" t="s">
        <v>8</v>
      </c>
      <c r="P2206" s="318" t="s">
        <v>7</v>
      </c>
      <c r="Q2206" s="317" t="s">
        <v>6</v>
      </c>
      <c r="R2206" s="307"/>
    </row>
    <row r="2207" spans="1:24" ht="15.75" customHeight="1">
      <c r="A2207" s="316" t="s">
        <v>5</v>
      </c>
      <c r="B2207" s="315">
        <v>5340.6217428000064</v>
      </c>
      <c r="C2207" s="314">
        <v>0.11055550985254403</v>
      </c>
      <c r="D2207" s="315">
        <v>352.46713800000009</v>
      </c>
      <c r="E2207" s="314">
        <v>7.2963759697812092E-3</v>
      </c>
      <c r="F2207" s="315">
        <v>4836.6490035000015</v>
      </c>
      <c r="G2207" s="314">
        <v>0.10012283631220006</v>
      </c>
      <c r="H2207" s="315">
        <v>24755.058615000049</v>
      </c>
      <c r="I2207" s="314">
        <v>0.51245121980424624</v>
      </c>
      <c r="J2207" s="315">
        <v>2091.8790069999995</v>
      </c>
      <c r="K2207" s="314">
        <v>4.3303712808439379E-2</v>
      </c>
      <c r="L2207" s="315">
        <v>7694.2109240000063</v>
      </c>
      <c r="M2207" s="314">
        <v>0.15927685063309846</v>
      </c>
      <c r="N2207" s="315">
        <v>3236.2648814999998</v>
      </c>
      <c r="O2207" s="314">
        <v>6.699349461969821E-2</v>
      </c>
      <c r="P2207" s="315">
        <v>48307.151311799695</v>
      </c>
      <c r="Q2207" s="314">
        <v>1</v>
      </c>
      <c r="R2207" s="307"/>
    </row>
    <row r="2208" spans="1:24">
      <c r="A2208" s="313" t="s">
        <v>309</v>
      </c>
      <c r="B2208" s="312">
        <v>211.86817380000002</v>
      </c>
      <c r="C2208" s="311">
        <v>0.18622757439659313</v>
      </c>
      <c r="D2208" s="312">
        <v>0</v>
      </c>
      <c r="E2208" s="311">
        <v>0</v>
      </c>
      <c r="F2208" s="312">
        <v>109.110855</v>
      </c>
      <c r="G2208" s="311">
        <v>9.5906098129535988E-2</v>
      </c>
      <c r="H2208" s="312">
        <v>471.16573500000004</v>
      </c>
      <c r="I2208" s="311">
        <v>0.41414456165873637</v>
      </c>
      <c r="J2208" s="312">
        <v>99.444187999999997</v>
      </c>
      <c r="K2208" s="311">
        <v>8.7409305451231434E-2</v>
      </c>
      <c r="L2208" s="312">
        <v>47.206898000000002</v>
      </c>
      <c r="M2208" s="311">
        <v>4.1493849461439886E-2</v>
      </c>
      <c r="N2208" s="312">
        <v>198.88837599999999</v>
      </c>
      <c r="O2208" s="311">
        <v>0.17481861090246287</v>
      </c>
      <c r="P2208" s="312">
        <v>1137.6842258000004</v>
      </c>
      <c r="Q2208" s="311">
        <v>2.3551051860971676E-2</v>
      </c>
      <c r="R2208" s="307"/>
    </row>
    <row r="2209" spans="1:18">
      <c r="A2209" s="313" t="s">
        <v>308</v>
      </c>
      <c r="B2209" s="312">
        <v>288.54816499999993</v>
      </c>
      <c r="C2209" s="311">
        <v>0.15101670733186973</v>
      </c>
      <c r="D2209" s="312">
        <v>20.715789000000001</v>
      </c>
      <c r="E2209" s="311">
        <v>1.0841968946715592E-2</v>
      </c>
      <c r="F2209" s="312">
        <v>414.02022999999991</v>
      </c>
      <c r="G2209" s="311">
        <v>0.21668469769469301</v>
      </c>
      <c r="H2209" s="312">
        <v>692.33969999999988</v>
      </c>
      <c r="I2209" s="311">
        <v>0.36234803936158977</v>
      </c>
      <c r="J2209" s="312">
        <v>115.84781400000001</v>
      </c>
      <c r="K2209" s="311">
        <v>6.0630970991878898E-2</v>
      </c>
      <c r="L2209" s="312">
        <v>181.97190000000001</v>
      </c>
      <c r="M2209" s="311">
        <v>9.523816297679201E-2</v>
      </c>
      <c r="N2209" s="312">
        <v>197.25999299999995</v>
      </c>
      <c r="O2209" s="311">
        <v>0.10323945269645943</v>
      </c>
      <c r="P2209" s="312">
        <v>1910.7035910000027</v>
      </c>
      <c r="Q2209" s="311">
        <v>3.9553224297316135E-2</v>
      </c>
      <c r="R2209" s="307"/>
    </row>
    <row r="2210" spans="1:18">
      <c r="A2210" s="313" t="s">
        <v>307</v>
      </c>
      <c r="B2210" s="312">
        <v>420.59642699999995</v>
      </c>
      <c r="C2210" s="311">
        <v>0.12434105870263093</v>
      </c>
      <c r="D2210" s="312">
        <v>0</v>
      </c>
      <c r="E2210" s="311">
        <v>0</v>
      </c>
      <c r="F2210" s="312">
        <v>420.59642699999995</v>
      </c>
      <c r="G2210" s="311">
        <v>0.12434105870263093</v>
      </c>
      <c r="H2210" s="312">
        <v>1153.2859360000002</v>
      </c>
      <c r="I2210" s="311">
        <v>0.34094629688590933</v>
      </c>
      <c r="J2210" s="312">
        <v>241.73441199999996</v>
      </c>
      <c r="K2210" s="311">
        <v>7.1464022952667558E-2</v>
      </c>
      <c r="L2210" s="312">
        <v>966.93764799999985</v>
      </c>
      <c r="M2210" s="311">
        <v>0.28585609181067023</v>
      </c>
      <c r="N2210" s="312">
        <v>179.45205999999999</v>
      </c>
      <c r="O2210" s="311">
        <v>5.3051470945491522E-2</v>
      </c>
      <c r="P2210" s="312">
        <v>3382.6029099999982</v>
      </c>
      <c r="Q2210" s="311">
        <v>7.0022818943864126E-2</v>
      </c>
      <c r="R2210" s="307"/>
    </row>
    <row r="2211" spans="1:18">
      <c r="A2211" s="313" t="s">
        <v>306</v>
      </c>
      <c r="B2211" s="312">
        <v>631.63099700000021</v>
      </c>
      <c r="C2211" s="311">
        <v>0.29186022069743511</v>
      </c>
      <c r="D2211" s="312">
        <v>71.671639999999996</v>
      </c>
      <c r="E2211" s="311">
        <v>3.3117596773274111E-2</v>
      </c>
      <c r="F2211" s="312">
        <v>298.62674349999998</v>
      </c>
      <c r="G2211" s="311">
        <v>0.1379876346759884</v>
      </c>
      <c r="H2211" s="312">
        <v>557.57156000000009</v>
      </c>
      <c r="I2211" s="311">
        <v>0.25763928516670498</v>
      </c>
      <c r="J2211" s="312">
        <v>0</v>
      </c>
      <c r="K2211" s="311">
        <v>0</v>
      </c>
      <c r="L2211" s="312">
        <v>377.31531200000001</v>
      </c>
      <c r="M2211" s="311">
        <v>0.17434757121782224</v>
      </c>
      <c r="N2211" s="312">
        <v>227.33957349999997</v>
      </c>
      <c r="O2211" s="311">
        <v>0.105047691468775</v>
      </c>
      <c r="P2211" s="312">
        <v>2164.1558260000006</v>
      </c>
      <c r="Q2211" s="311">
        <v>4.4799905753734139E-2</v>
      </c>
      <c r="R2211" s="307"/>
    </row>
    <row r="2212" spans="1:18">
      <c r="A2212" s="313" t="s">
        <v>305</v>
      </c>
      <c r="B2212" s="312">
        <v>670.9182689999999</v>
      </c>
      <c r="C2212" s="311">
        <v>0.14343324120016321</v>
      </c>
      <c r="D2212" s="312">
        <v>117.57452599999999</v>
      </c>
      <c r="E2212" s="311">
        <v>2.5135841615833033E-2</v>
      </c>
      <c r="F2212" s="312">
        <v>642.29384899999991</v>
      </c>
      <c r="G2212" s="311">
        <v>0.13731372779923245</v>
      </c>
      <c r="H2212" s="312">
        <v>1925.8167260000009</v>
      </c>
      <c r="I2212" s="311">
        <v>0.41171353908633362</v>
      </c>
      <c r="J2212" s="312">
        <v>225.865691</v>
      </c>
      <c r="K2212" s="311">
        <v>4.8287026353197336E-2</v>
      </c>
      <c r="L2212" s="312">
        <v>974.81691399999988</v>
      </c>
      <c r="M2212" s="311">
        <v>0.20840265649668985</v>
      </c>
      <c r="N2212" s="312">
        <v>120.278747</v>
      </c>
      <c r="O2212" s="311">
        <v>2.5713967448551336E-2</v>
      </c>
      <c r="P2212" s="312">
        <v>4677.5647219999964</v>
      </c>
      <c r="Q2212" s="311">
        <v>9.6829653477360736E-2</v>
      </c>
      <c r="R2212" s="307"/>
    </row>
    <row r="2213" spans="1:18" ht="28.5">
      <c r="A2213" s="313" t="s">
        <v>304</v>
      </c>
      <c r="B2213" s="312">
        <v>2010.004639999999</v>
      </c>
      <c r="C2213" s="311">
        <v>0.1079175412846653</v>
      </c>
      <c r="D2213" s="312">
        <v>12.216666</v>
      </c>
      <c r="E2213" s="311">
        <v>6.5591518107936675E-4</v>
      </c>
      <c r="F2213" s="312">
        <v>1435.6217039999988</v>
      </c>
      <c r="G2213" s="311">
        <v>7.7078809385525332E-2</v>
      </c>
      <c r="H2213" s="312">
        <v>9961.6714770000071</v>
      </c>
      <c r="I2213" s="311">
        <v>0.53484408517754534</v>
      </c>
      <c r="J2213" s="312">
        <v>857.95363499999996</v>
      </c>
      <c r="K2213" s="311">
        <v>4.606369805466777E-2</v>
      </c>
      <c r="L2213" s="312">
        <v>3174.5386970000013</v>
      </c>
      <c r="M2213" s="311">
        <v>0.17044160201205574</v>
      </c>
      <c r="N2213" s="312">
        <v>1173.3678519999996</v>
      </c>
      <c r="O2213" s="311">
        <v>6.299834890446275E-2</v>
      </c>
      <c r="P2213" s="312">
        <v>18625.374670999976</v>
      </c>
      <c r="Q2213" s="311">
        <v>0.38556143687260791</v>
      </c>
      <c r="R2213" s="307"/>
    </row>
    <row r="2214" spans="1:18" ht="28.5">
      <c r="A2214" s="313" t="s">
        <v>303</v>
      </c>
      <c r="B2214" s="312">
        <v>968.2467369999996</v>
      </c>
      <c r="C2214" s="311">
        <v>6.4429769787371929E-2</v>
      </c>
      <c r="D2214" s="312">
        <v>123.28851700000001</v>
      </c>
      <c r="E2214" s="311">
        <v>8.2039530464604032E-3</v>
      </c>
      <c r="F2214" s="312">
        <v>1255.1708609999998</v>
      </c>
      <c r="G2214" s="311">
        <v>8.3522480921149181E-2</v>
      </c>
      <c r="H2214" s="312">
        <v>9157.9074650000093</v>
      </c>
      <c r="I2214" s="311">
        <v>0.6093920559259326</v>
      </c>
      <c r="J2214" s="312">
        <v>551.03326700000002</v>
      </c>
      <c r="K2214" s="311">
        <v>3.6667251415682764E-2</v>
      </c>
      <c r="L2214" s="312">
        <v>1832.6152209999998</v>
      </c>
      <c r="M2214" s="311">
        <v>0.12194719825620623</v>
      </c>
      <c r="N2214" s="312">
        <v>1139.6782800000001</v>
      </c>
      <c r="O2214" s="311">
        <v>7.5837290647195896E-2</v>
      </c>
      <c r="P2214" s="312">
        <v>15027.940348000024</v>
      </c>
      <c r="Q2214" s="311">
        <v>0.31109142104037174</v>
      </c>
      <c r="R2214" s="307"/>
    </row>
    <row r="2215" spans="1:18" ht="15.75" thickBot="1">
      <c r="A2215" s="313" t="s">
        <v>302</v>
      </c>
      <c r="B2215" s="312">
        <v>138.808334</v>
      </c>
      <c r="C2215" s="311">
        <v>0.10050381550614994</v>
      </c>
      <c r="D2215" s="312">
        <v>7</v>
      </c>
      <c r="E2215" s="311">
        <v>5.0683319096895829E-3</v>
      </c>
      <c r="F2215" s="312">
        <v>261.20833400000004</v>
      </c>
      <c r="G2215" s="311">
        <v>0.18912721918415065</v>
      </c>
      <c r="H2215" s="312">
        <v>835.3000159999998</v>
      </c>
      <c r="I2215" s="311">
        <v>0.60479681789385975</v>
      </c>
      <c r="J2215" s="312">
        <v>0</v>
      </c>
      <c r="K2215" s="311">
        <v>0</v>
      </c>
      <c r="L2215" s="312">
        <v>138.808334</v>
      </c>
      <c r="M2215" s="311">
        <v>0.10050381550614994</v>
      </c>
      <c r="N2215" s="312">
        <v>0</v>
      </c>
      <c r="O2215" s="311">
        <v>0</v>
      </c>
      <c r="P2215" s="312">
        <v>1381.125018</v>
      </c>
      <c r="Q2215" s="311">
        <v>2.8590487753779863E-2</v>
      </c>
      <c r="R2215" s="307"/>
    </row>
    <row r="2216" spans="1:18" ht="15" customHeight="1">
      <c r="A2216" s="316" t="s">
        <v>4</v>
      </c>
      <c r="B2216" s="315">
        <v>6312.2246003509636</v>
      </c>
      <c r="C2216" s="314">
        <v>0.19938280064354955</v>
      </c>
      <c r="D2216" s="315">
        <v>100.15929824988798</v>
      </c>
      <c r="E2216" s="314">
        <v>3.1637089393880078E-3</v>
      </c>
      <c r="F2216" s="315">
        <v>3416.2860494870756</v>
      </c>
      <c r="G2216" s="314">
        <v>0.10790944927852358</v>
      </c>
      <c r="H2216" s="315">
        <v>10060.744273617707</v>
      </c>
      <c r="I2216" s="314">
        <v>0.31778643771974158</v>
      </c>
      <c r="J2216" s="315">
        <v>1944.8541686185952</v>
      </c>
      <c r="K2216" s="314">
        <v>6.1431665622433247E-2</v>
      </c>
      <c r="L2216" s="315">
        <v>7209.0720225990108</v>
      </c>
      <c r="M2216" s="314">
        <v>0.22771131588488328</v>
      </c>
      <c r="N2216" s="315">
        <v>2615.4816117293876</v>
      </c>
      <c r="O2216" s="314">
        <v>8.261462191147563E-2</v>
      </c>
      <c r="P2216" s="315">
        <v>31658.822024652789</v>
      </c>
      <c r="Q2216" s="314">
        <v>1</v>
      </c>
      <c r="R2216" s="307"/>
    </row>
    <row r="2217" spans="1:18">
      <c r="A2217" s="313" t="s">
        <v>309</v>
      </c>
      <c r="B2217" s="312">
        <v>426.14097744360902</v>
      </c>
      <c r="C2217" s="311">
        <v>0.33798300297645445</v>
      </c>
      <c r="D2217" s="312">
        <v>0</v>
      </c>
      <c r="E2217" s="311">
        <v>0</v>
      </c>
      <c r="F2217" s="312">
        <v>144.51785714285714</v>
      </c>
      <c r="G2217" s="311">
        <v>0.11462070518043216</v>
      </c>
      <c r="H2217" s="312">
        <v>530.81954887218046</v>
      </c>
      <c r="I2217" s="311">
        <v>0.42100618026147774</v>
      </c>
      <c r="J2217" s="312">
        <v>39.839285714285715</v>
      </c>
      <c r="K2217" s="311">
        <v>3.1597527895408893E-2</v>
      </c>
      <c r="L2217" s="312">
        <v>0</v>
      </c>
      <c r="M2217" s="311">
        <v>0</v>
      </c>
      <c r="N2217" s="312">
        <v>119.51785714285714</v>
      </c>
      <c r="O2217" s="311">
        <v>9.4792583686226686E-2</v>
      </c>
      <c r="P2217" s="312">
        <v>1260.8355263157896</v>
      </c>
      <c r="Q2217" s="311">
        <v>3.982572457477964E-2</v>
      </c>
      <c r="R2217" s="307"/>
    </row>
    <row r="2218" spans="1:18">
      <c r="A2218" s="313" t="s">
        <v>308</v>
      </c>
      <c r="B2218" s="312">
        <v>72.620383098279206</v>
      </c>
      <c r="C2218" s="311">
        <v>5.7558455943520041E-2</v>
      </c>
      <c r="D2218" s="312">
        <v>0</v>
      </c>
      <c r="E2218" s="311">
        <v>0</v>
      </c>
      <c r="F2218" s="312">
        <v>192.30202668910832</v>
      </c>
      <c r="G2218" s="311">
        <v>0.15241736904713377</v>
      </c>
      <c r="H2218" s="312">
        <v>318.31292723794076</v>
      </c>
      <c r="I2218" s="311">
        <v>0.25229281115031815</v>
      </c>
      <c r="J2218" s="312">
        <v>112.6296992481203</v>
      </c>
      <c r="K2218" s="311">
        <v>8.926958665766746E-2</v>
      </c>
      <c r="L2218" s="312">
        <v>314.33855147002816</v>
      </c>
      <c r="M2218" s="311">
        <v>0.24914274607518899</v>
      </c>
      <c r="N2218" s="312">
        <v>251.47694047532838</v>
      </c>
      <c r="O2218" s="311">
        <v>0.19931903112617136</v>
      </c>
      <c r="P2218" s="312">
        <v>1261.6805282188054</v>
      </c>
      <c r="Q2218" s="311">
        <v>3.9852415457414442E-2</v>
      </c>
      <c r="R2218" s="307"/>
    </row>
    <row r="2219" spans="1:18">
      <c r="A2219" s="313" t="s">
        <v>307</v>
      </c>
      <c r="B2219" s="312">
        <v>1675.4720893141941</v>
      </c>
      <c r="C2219" s="311">
        <v>0.52920671767335992</v>
      </c>
      <c r="D2219" s="312">
        <v>0</v>
      </c>
      <c r="E2219" s="311">
        <v>0</v>
      </c>
      <c r="F2219" s="312">
        <v>0</v>
      </c>
      <c r="G2219" s="311">
        <v>0</v>
      </c>
      <c r="H2219" s="312">
        <v>357.73046251993622</v>
      </c>
      <c r="I2219" s="311">
        <v>0.11299105791695896</v>
      </c>
      <c r="J2219" s="312">
        <v>233.63636363636363</v>
      </c>
      <c r="K2219" s="311">
        <v>7.3795280695931359E-2</v>
      </c>
      <c r="L2219" s="312">
        <v>658.25564644749693</v>
      </c>
      <c r="M2219" s="311">
        <v>0.20791352614475592</v>
      </c>
      <c r="N2219" s="312">
        <v>240.91228070175438</v>
      </c>
      <c r="O2219" s="311">
        <v>7.6093417568993266E-2</v>
      </c>
      <c r="P2219" s="312">
        <v>3166.0068426197472</v>
      </c>
      <c r="Q2219" s="311">
        <v>0.10000393698016846</v>
      </c>
      <c r="R2219" s="307"/>
    </row>
    <row r="2220" spans="1:18">
      <c r="A2220" s="313" t="s">
        <v>306</v>
      </c>
      <c r="B2220" s="312">
        <v>311.32939103579344</v>
      </c>
      <c r="C2220" s="311">
        <v>0.24358840963199152</v>
      </c>
      <c r="D2220" s="312">
        <v>0</v>
      </c>
      <c r="E2220" s="311">
        <v>0</v>
      </c>
      <c r="F2220" s="312">
        <v>127.47646103896105</v>
      </c>
      <c r="G2220" s="311">
        <v>9.9739341366665374E-2</v>
      </c>
      <c r="H2220" s="312">
        <v>244.48758908774155</v>
      </c>
      <c r="I2220" s="311">
        <v>0.19129046185618845</v>
      </c>
      <c r="J2220" s="312">
        <v>264.22767857142856</v>
      </c>
      <c r="K2220" s="311">
        <v>0.20673538013816231</v>
      </c>
      <c r="L2220" s="312">
        <v>236.44167128603104</v>
      </c>
      <c r="M2220" s="311">
        <v>0.18499522479287159</v>
      </c>
      <c r="N2220" s="312">
        <v>94.133287139689571</v>
      </c>
      <c r="O2220" s="311">
        <v>7.3651182214121105E-2</v>
      </c>
      <c r="P2220" s="312">
        <v>1278.0960781596448</v>
      </c>
      <c r="Q2220" s="311">
        <v>4.0370929694237799E-2</v>
      </c>
      <c r="R2220" s="307"/>
    </row>
    <row r="2221" spans="1:18">
      <c r="A2221" s="313" t="s">
        <v>305</v>
      </c>
      <c r="B2221" s="312">
        <v>702.2358120203196</v>
      </c>
      <c r="C2221" s="311">
        <v>0.14732465881671372</v>
      </c>
      <c r="D2221" s="312">
        <v>52.911174785100286</v>
      </c>
      <c r="E2221" s="311">
        <v>1.1100431848355876E-2</v>
      </c>
      <c r="F2221" s="312">
        <v>741.2853986959808</v>
      </c>
      <c r="G2221" s="311">
        <v>0.15551701661939299</v>
      </c>
      <c r="H2221" s="312">
        <v>1317.2564871810989</v>
      </c>
      <c r="I2221" s="311">
        <v>0.27635213019076682</v>
      </c>
      <c r="J2221" s="312">
        <v>255.47891522676622</v>
      </c>
      <c r="K2221" s="311">
        <v>5.3597870368306377E-2</v>
      </c>
      <c r="L2221" s="312">
        <v>1309.895614770676</v>
      </c>
      <c r="M2221" s="311">
        <v>0.27480786543255264</v>
      </c>
      <c r="N2221" s="312">
        <v>387.52365518638607</v>
      </c>
      <c r="O2221" s="311">
        <v>8.1300026723912164E-2</v>
      </c>
      <c r="P2221" s="312">
        <v>4766.5870578663253</v>
      </c>
      <c r="Q2221" s="311">
        <v>0.15056109965666362</v>
      </c>
      <c r="R2221" s="307"/>
    </row>
    <row r="2222" spans="1:18" ht="28.5">
      <c r="A2222" s="313" t="s">
        <v>304</v>
      </c>
      <c r="B2222" s="312">
        <v>1818.8050990941588</v>
      </c>
      <c r="C2222" s="311">
        <v>0.16722173614952196</v>
      </c>
      <c r="D2222" s="312">
        <v>21.585973115137346</v>
      </c>
      <c r="E2222" s="311">
        <v>1.9846238074590432E-3</v>
      </c>
      <c r="F2222" s="312">
        <v>975.61521475646111</v>
      </c>
      <c r="G2222" s="311">
        <v>8.9698489468012121E-2</v>
      </c>
      <c r="H2222" s="312">
        <v>3828.4871841450749</v>
      </c>
      <c r="I2222" s="311">
        <v>0.35199278585582566</v>
      </c>
      <c r="J2222" s="312">
        <v>635.88266160643263</v>
      </c>
      <c r="K2222" s="311">
        <v>5.8463329970960133E-2</v>
      </c>
      <c r="L2222" s="312">
        <v>2851.918145430232</v>
      </c>
      <c r="M2222" s="311">
        <v>0.26220660139598567</v>
      </c>
      <c r="N2222" s="312">
        <v>744.31268081788357</v>
      </c>
      <c r="O2222" s="311">
        <v>6.8432433352237906E-2</v>
      </c>
      <c r="P2222" s="312">
        <v>10876.606958965353</v>
      </c>
      <c r="Q2222" s="311">
        <v>0.34355690652342391</v>
      </c>
      <c r="R2222" s="307"/>
    </row>
    <row r="2223" spans="1:18" ht="28.5">
      <c r="A2223" s="313" t="s">
        <v>303</v>
      </c>
      <c r="B2223" s="312">
        <v>1163.7190626303295</v>
      </c>
      <c r="C2223" s="311">
        <v>0.1394256662376463</v>
      </c>
      <c r="D2223" s="312">
        <v>25.66215034965035</v>
      </c>
      <c r="E2223" s="311">
        <v>3.0745929361193549E-3</v>
      </c>
      <c r="F2223" s="312">
        <v>1229.0890911637071</v>
      </c>
      <c r="G2223" s="311">
        <v>0.14725767661963604</v>
      </c>
      <c r="H2223" s="312">
        <v>3247.440253145171</v>
      </c>
      <c r="I2223" s="311">
        <v>0.38907717111578038</v>
      </c>
      <c r="J2223" s="312">
        <v>403.15956461519806</v>
      </c>
      <c r="K2223" s="311">
        <v>4.8302715579395382E-2</v>
      </c>
      <c r="L2223" s="312">
        <v>1635.9335043056678</v>
      </c>
      <c r="M2223" s="311">
        <v>0.19600187543783604</v>
      </c>
      <c r="N2223" s="312">
        <v>641.51602137659927</v>
      </c>
      <c r="O2223" s="311">
        <v>7.6860302073585171E-2</v>
      </c>
      <c r="P2223" s="312">
        <v>8346.519647586334</v>
      </c>
      <c r="Q2223" s="311">
        <v>0.26363961492587701</v>
      </c>
      <c r="R2223" s="307"/>
    </row>
    <row r="2224" spans="1:18" ht="15.75" thickBot="1">
      <c r="A2224" s="313" t="s">
        <v>302</v>
      </c>
      <c r="B2224" s="312">
        <v>141.90178571428572</v>
      </c>
      <c r="C2224" s="311">
        <v>0.20199847678882343</v>
      </c>
      <c r="D2224" s="312">
        <v>0</v>
      </c>
      <c r="E2224" s="311">
        <v>0</v>
      </c>
      <c r="F2224" s="312">
        <v>6</v>
      </c>
      <c r="G2224" s="311">
        <v>8.5410543259352763E-3</v>
      </c>
      <c r="H2224" s="312">
        <v>216.20982142857142</v>
      </c>
      <c r="I2224" s="311">
        <v>0.30777663843703218</v>
      </c>
      <c r="J2224" s="312">
        <v>0</v>
      </c>
      <c r="K2224" s="311">
        <v>0</v>
      </c>
      <c r="L2224" s="312">
        <v>202.28888888888889</v>
      </c>
      <c r="M2224" s="311">
        <v>0.28796006492218079</v>
      </c>
      <c r="N2224" s="312">
        <v>136.0888888888889</v>
      </c>
      <c r="O2224" s="311">
        <v>0.19372376552602827</v>
      </c>
      <c r="P2224" s="312">
        <v>702.48938492063496</v>
      </c>
      <c r="Q2224" s="311">
        <v>2.2189372187430254E-2</v>
      </c>
      <c r="R2224" s="307"/>
    </row>
    <row r="2225" spans="1:21" ht="15.75" customHeight="1">
      <c r="A2225" s="316" t="s">
        <v>4</v>
      </c>
      <c r="B2225" s="315">
        <v>2433.3750158515049</v>
      </c>
      <c r="C2225" s="314">
        <v>0.17377899872352884</v>
      </c>
      <c r="D2225" s="315">
        <v>65.696411544864091</v>
      </c>
      <c r="E2225" s="314">
        <v>4.6916963244978335E-3</v>
      </c>
      <c r="F2225" s="315">
        <v>1594.3020596287647</v>
      </c>
      <c r="G2225" s="314">
        <v>0.11385676838972431</v>
      </c>
      <c r="H2225" s="315">
        <v>3713.114882547653</v>
      </c>
      <c r="I2225" s="314">
        <v>0.26517136990032331</v>
      </c>
      <c r="J2225" s="315">
        <v>1086.2825281146977</v>
      </c>
      <c r="K2225" s="314">
        <v>7.7576653346454624E-2</v>
      </c>
      <c r="L2225" s="315">
        <v>3360.6904935665589</v>
      </c>
      <c r="M2225" s="314">
        <v>0.24000305139457295</v>
      </c>
      <c r="N2225" s="315">
        <v>1749.2376329408016</v>
      </c>
      <c r="O2225" s="314">
        <v>0.12492146192090205</v>
      </c>
      <c r="P2225" s="315">
        <v>14002.69902419479</v>
      </c>
      <c r="Q2225" s="314">
        <v>1</v>
      </c>
      <c r="R2225" s="307"/>
    </row>
    <row r="2226" spans="1:21">
      <c r="A2226" s="313" t="s">
        <v>309</v>
      </c>
      <c r="B2226" s="312">
        <v>44.614973262032088</v>
      </c>
      <c r="C2226" s="311">
        <v>0.11161077927622072</v>
      </c>
      <c r="D2226" s="312">
        <v>0</v>
      </c>
      <c r="E2226" s="311">
        <v>0</v>
      </c>
      <c r="F2226" s="312">
        <v>160.28366013071894</v>
      </c>
      <c r="G2226" s="311">
        <v>0.40097265344902816</v>
      </c>
      <c r="H2226" s="312">
        <v>80.787522281639923</v>
      </c>
      <c r="I2226" s="311">
        <v>0.20210161877026728</v>
      </c>
      <c r="J2226" s="312">
        <v>0</v>
      </c>
      <c r="K2226" s="311">
        <v>0</v>
      </c>
      <c r="L2226" s="312">
        <v>51.172549019607843</v>
      </c>
      <c r="M2226" s="311">
        <v>0.12801549919317148</v>
      </c>
      <c r="N2226" s="312">
        <v>62.878431372549016</v>
      </c>
      <c r="O2226" s="311">
        <v>0.1572994493113121</v>
      </c>
      <c r="P2226" s="312">
        <v>399.73713606654792</v>
      </c>
      <c r="Q2226" s="311">
        <v>2.8547149044327501E-2</v>
      </c>
      <c r="R2226" s="307"/>
    </row>
    <row r="2227" spans="1:21">
      <c r="A2227" s="313" t="s">
        <v>308</v>
      </c>
      <c r="B2227" s="312">
        <v>90.359383306751738</v>
      </c>
      <c r="C2227" s="311">
        <v>0.10541027772786088</v>
      </c>
      <c r="D2227" s="312">
        <v>0</v>
      </c>
      <c r="E2227" s="311">
        <v>0</v>
      </c>
      <c r="F2227" s="312">
        <v>89.100533638269496</v>
      </c>
      <c r="G2227" s="311">
        <v>0.10394174520454932</v>
      </c>
      <c r="H2227" s="312">
        <v>172.3783114160473</v>
      </c>
      <c r="I2227" s="311">
        <v>0.2010908553784643</v>
      </c>
      <c r="J2227" s="312">
        <v>111.80960548885076</v>
      </c>
      <c r="K2227" s="311">
        <v>0.13043339978551693</v>
      </c>
      <c r="L2227" s="312">
        <v>310.85458357156466</v>
      </c>
      <c r="M2227" s="311">
        <v>0.3626327093891174</v>
      </c>
      <c r="N2227" s="312">
        <v>82.713645892891179</v>
      </c>
      <c r="O2227" s="311">
        <v>9.6491012514492394E-2</v>
      </c>
      <c r="P2227" s="312">
        <v>857.21606331437408</v>
      </c>
      <c r="Q2227" s="311">
        <v>6.1217916762562663E-2</v>
      </c>
      <c r="R2227" s="307"/>
    </row>
    <row r="2228" spans="1:21">
      <c r="A2228" s="313" t="s">
        <v>307</v>
      </c>
      <c r="B2228" s="312">
        <v>382.65625</v>
      </c>
      <c r="C2228" s="311">
        <v>0.29596861764934945</v>
      </c>
      <c r="D2228" s="312">
        <v>0</v>
      </c>
      <c r="E2228" s="311">
        <v>0</v>
      </c>
      <c r="F2228" s="312">
        <v>95.6640625</v>
      </c>
      <c r="G2228" s="311">
        <v>7.3992154412337363E-2</v>
      </c>
      <c r="H2228" s="312">
        <v>168.12702546296296</v>
      </c>
      <c r="I2228" s="311">
        <v>0.1300392279383131</v>
      </c>
      <c r="J2228" s="312">
        <v>0</v>
      </c>
      <c r="K2228" s="311">
        <v>0</v>
      </c>
      <c r="L2228" s="312">
        <v>263.79108796296293</v>
      </c>
      <c r="M2228" s="311">
        <v>0.20403138235065046</v>
      </c>
      <c r="N2228" s="312">
        <v>382.65625</v>
      </c>
      <c r="O2228" s="311">
        <v>0.29596861764934945</v>
      </c>
      <c r="P2228" s="312">
        <v>1292.8946759259261</v>
      </c>
      <c r="Q2228" s="311">
        <v>9.2331819293693107E-2</v>
      </c>
      <c r="R2228" s="307"/>
    </row>
    <row r="2229" spans="1:21">
      <c r="A2229" s="313" t="s">
        <v>306</v>
      </c>
      <c r="B2229" s="312">
        <v>111.74185185185186</v>
      </c>
      <c r="C2229" s="311">
        <v>0.24159619568783949</v>
      </c>
      <c r="D2229" s="312">
        <v>0</v>
      </c>
      <c r="E2229" s="311">
        <v>0</v>
      </c>
      <c r="F2229" s="312">
        <v>97.773029485796471</v>
      </c>
      <c r="G2229" s="311">
        <v>0.21139431263373956</v>
      </c>
      <c r="H2229" s="312">
        <v>45.485436893203882</v>
      </c>
      <c r="I2229" s="311">
        <v>9.8343712140790324E-2</v>
      </c>
      <c r="J2229" s="312">
        <v>0</v>
      </c>
      <c r="K2229" s="311">
        <v>0</v>
      </c>
      <c r="L2229" s="312">
        <v>88.382592592592587</v>
      </c>
      <c r="M2229" s="311">
        <v>0.19109132148363187</v>
      </c>
      <c r="N2229" s="312">
        <v>119.13203703703704</v>
      </c>
      <c r="O2229" s="311">
        <v>0.25757445805399859</v>
      </c>
      <c r="P2229" s="312">
        <v>462.51494786048193</v>
      </c>
      <c r="Q2229" s="311">
        <v>3.3030414140967967E-2</v>
      </c>
      <c r="R2229" s="307"/>
    </row>
    <row r="2230" spans="1:21">
      <c r="A2230" s="313" t="s">
        <v>305</v>
      </c>
      <c r="B2230" s="312">
        <v>436.73564107904252</v>
      </c>
      <c r="C2230" s="311">
        <v>0.21496148544502014</v>
      </c>
      <c r="D2230" s="312">
        <v>0</v>
      </c>
      <c r="E2230" s="311">
        <v>0</v>
      </c>
      <c r="F2230" s="312">
        <v>145.00218803195847</v>
      </c>
      <c r="G2230" s="311">
        <v>7.1370144316860631E-2</v>
      </c>
      <c r="H2230" s="312">
        <v>517.40183564141068</v>
      </c>
      <c r="I2230" s="311">
        <v>0.25466542388586144</v>
      </c>
      <c r="J2230" s="312">
        <v>222.18855282535452</v>
      </c>
      <c r="K2230" s="311">
        <v>0.10936130892869661</v>
      </c>
      <c r="L2230" s="312">
        <v>300.61275108547989</v>
      </c>
      <c r="M2230" s="311">
        <v>0.14796173574795005</v>
      </c>
      <c r="N2230" s="312">
        <v>409.75154674200695</v>
      </c>
      <c r="O2230" s="311">
        <v>0.20167990167561139</v>
      </c>
      <c r="P2230" s="312">
        <v>2031.6925154052526</v>
      </c>
      <c r="Q2230" s="311">
        <v>0.14509292186418918</v>
      </c>
      <c r="R2230" s="307"/>
    </row>
    <row r="2231" spans="1:21" ht="28.5">
      <c r="A2231" s="313" t="s">
        <v>304</v>
      </c>
      <c r="B2231" s="312">
        <v>646.83080465672515</v>
      </c>
      <c r="C2231" s="311">
        <v>0.130997474418731</v>
      </c>
      <c r="D2231" s="312">
        <v>56.151561046525217</v>
      </c>
      <c r="E2231" s="311">
        <v>1.1371926984318095E-2</v>
      </c>
      <c r="F2231" s="312">
        <v>492.15182666205817</v>
      </c>
      <c r="G2231" s="311">
        <v>9.9671576955135024E-2</v>
      </c>
      <c r="H2231" s="312">
        <v>1467.6496335898664</v>
      </c>
      <c r="I2231" s="311">
        <v>0.29723135315715288</v>
      </c>
      <c r="J2231" s="312">
        <v>626.91177311982096</v>
      </c>
      <c r="K2231" s="311">
        <v>0.12696343212294658</v>
      </c>
      <c r="L2231" s="312">
        <v>1451.1460197432518</v>
      </c>
      <c r="M2231" s="311">
        <v>0.2938890081155684</v>
      </c>
      <c r="N2231" s="312">
        <v>196.89330719371478</v>
      </c>
      <c r="O2231" s="311">
        <v>3.9875228246150335E-2</v>
      </c>
      <c r="P2231" s="312">
        <v>4937.7349260119508</v>
      </c>
      <c r="Q2231" s="311">
        <v>0.3526273697292362</v>
      </c>
      <c r="R2231" s="307"/>
    </row>
    <row r="2232" spans="1:21" ht="28.5">
      <c r="A2232" s="313" t="s">
        <v>303</v>
      </c>
      <c r="B2232" s="312">
        <v>661.02986169510098</v>
      </c>
      <c r="C2232" s="311">
        <v>0.18493433289310701</v>
      </c>
      <c r="D2232" s="312">
        <v>9.5448504983388709</v>
      </c>
      <c r="E2232" s="311">
        <v>2.6703340677352357E-3</v>
      </c>
      <c r="F2232" s="312">
        <v>297.89748286417245</v>
      </c>
      <c r="G2232" s="311">
        <v>8.3341881292243902E-2</v>
      </c>
      <c r="H2232" s="312">
        <v>1209.4275321232019</v>
      </c>
      <c r="I2232" s="311">
        <v>0.33835789696733259</v>
      </c>
      <c r="J2232" s="312">
        <v>125.37259668067108</v>
      </c>
      <c r="K2232" s="311">
        <v>3.507511365789226E-2</v>
      </c>
      <c r="L2232" s="312">
        <v>775.91840959109959</v>
      </c>
      <c r="M2232" s="311">
        <v>0.2170763558082599</v>
      </c>
      <c r="N2232" s="312">
        <v>495.21241470260236</v>
      </c>
      <c r="O2232" s="311">
        <v>0.13854408531342929</v>
      </c>
      <c r="P2232" s="312">
        <v>3574.4031481551865</v>
      </c>
      <c r="Q2232" s="311">
        <v>0.25526529863843367</v>
      </c>
      <c r="R2232" s="307"/>
    </row>
    <row r="2233" spans="1:21" ht="15.75" thickBot="1">
      <c r="A2233" s="310" t="s">
        <v>302</v>
      </c>
      <c r="B2233" s="309">
        <v>59.40625</v>
      </c>
      <c r="C2233" s="308">
        <v>0.13304704011759705</v>
      </c>
      <c r="D2233" s="309">
        <v>0</v>
      </c>
      <c r="E2233" s="308">
        <v>0</v>
      </c>
      <c r="F2233" s="309">
        <v>216.42927631578948</v>
      </c>
      <c r="G2233" s="308">
        <v>0.48471793133903146</v>
      </c>
      <c r="H2233" s="309">
        <v>51.857585139318886</v>
      </c>
      <c r="I2233" s="308">
        <v>0.11614094830817741</v>
      </c>
      <c r="J2233" s="309">
        <v>0</v>
      </c>
      <c r="K2233" s="308">
        <v>0</v>
      </c>
      <c r="L2233" s="309">
        <v>118.8125</v>
      </c>
      <c r="M2233" s="308">
        <v>0.2660940802351941</v>
      </c>
      <c r="N2233" s="309">
        <v>0</v>
      </c>
      <c r="O2233" s="308">
        <v>0</v>
      </c>
      <c r="P2233" s="309">
        <v>446.50561145510835</v>
      </c>
      <c r="Q2233" s="308">
        <v>3.1887110526592516E-2</v>
      </c>
      <c r="R2233" s="307"/>
    </row>
    <row r="2236" spans="1:21" ht="15.75" thickBot="1"/>
    <row r="2237" spans="1:21" ht="15.75" customHeight="1">
      <c r="A2237" s="752" t="s">
        <v>310</v>
      </c>
      <c r="B2237" s="770" t="s">
        <v>374</v>
      </c>
      <c r="C2237" s="771"/>
      <c r="D2237" s="771"/>
      <c r="E2237" s="771"/>
      <c r="F2237" s="771"/>
      <c r="G2237" s="771"/>
      <c r="H2237" s="771"/>
      <c r="I2237" s="771"/>
      <c r="J2237" s="771"/>
      <c r="K2237" s="771"/>
      <c r="L2237" s="771"/>
      <c r="M2237" s="771"/>
      <c r="N2237" s="771"/>
      <c r="O2237" s="771"/>
      <c r="P2237" s="771"/>
      <c r="Q2237" s="771"/>
      <c r="R2237" s="771"/>
      <c r="S2237" s="771"/>
      <c r="T2237" s="771"/>
      <c r="U2237" s="772"/>
    </row>
    <row r="2238" spans="1:21" ht="51" customHeight="1">
      <c r="A2238" s="753"/>
      <c r="B2238" s="758" t="s">
        <v>53</v>
      </c>
      <c r="C2238" s="759"/>
      <c r="D2238" s="758" t="s">
        <v>52</v>
      </c>
      <c r="E2238" s="759"/>
      <c r="F2238" s="758" t="s">
        <v>51</v>
      </c>
      <c r="G2238" s="759"/>
      <c r="H2238" s="758" t="s">
        <v>50</v>
      </c>
      <c r="I2238" s="759"/>
      <c r="J2238" s="758" t="s">
        <v>49</v>
      </c>
      <c r="K2238" s="759"/>
      <c r="L2238" s="758" t="s">
        <v>48</v>
      </c>
      <c r="M2238" s="759"/>
      <c r="N2238" s="758" t="s">
        <v>47</v>
      </c>
      <c r="O2238" s="759"/>
      <c r="P2238" s="758" t="s">
        <v>46</v>
      </c>
      <c r="Q2238" s="759"/>
      <c r="R2238" s="758" t="s">
        <v>45</v>
      </c>
      <c r="S2238" s="759"/>
      <c r="T2238" s="758" t="s">
        <v>9</v>
      </c>
      <c r="U2238" s="759"/>
    </row>
    <row r="2239" spans="1:21" ht="15.75" customHeight="1" thickBot="1">
      <c r="A2239" s="754"/>
      <c r="B2239" s="318" t="s">
        <v>7</v>
      </c>
      <c r="C2239" s="318" t="s">
        <v>8</v>
      </c>
      <c r="D2239" s="318" t="s">
        <v>7</v>
      </c>
      <c r="E2239" s="318" t="s">
        <v>8</v>
      </c>
      <c r="F2239" s="318" t="s">
        <v>7</v>
      </c>
      <c r="G2239" s="318" t="s">
        <v>8</v>
      </c>
      <c r="H2239" s="318" t="s">
        <v>7</v>
      </c>
      <c r="I2239" s="318" t="s">
        <v>8</v>
      </c>
      <c r="J2239" s="318" t="s">
        <v>7</v>
      </c>
      <c r="K2239" s="318" t="s">
        <v>8</v>
      </c>
      <c r="L2239" s="318" t="s">
        <v>7</v>
      </c>
      <c r="M2239" s="318" t="s">
        <v>8</v>
      </c>
      <c r="N2239" s="318" t="s">
        <v>7</v>
      </c>
      <c r="O2239" s="318" t="s">
        <v>8</v>
      </c>
      <c r="P2239" s="318" t="s">
        <v>7</v>
      </c>
      <c r="Q2239" s="318" t="s">
        <v>8</v>
      </c>
      <c r="R2239" s="318" t="s">
        <v>7</v>
      </c>
      <c r="S2239" s="318" t="s">
        <v>8</v>
      </c>
      <c r="T2239" s="318" t="s">
        <v>7</v>
      </c>
      <c r="U2239" s="318" t="s">
        <v>6</v>
      </c>
    </row>
    <row r="2240" spans="1:21" ht="15.75" customHeight="1">
      <c r="A2240" s="316" t="s">
        <v>5</v>
      </c>
      <c r="B2240" s="315">
        <v>3036.2559670822839</v>
      </c>
      <c r="C2240" s="314">
        <v>6.2853135700883425E-2</v>
      </c>
      <c r="D2240" s="315">
        <v>5372.2875983264576</v>
      </c>
      <c r="E2240" s="314">
        <v>0.11121101946034813</v>
      </c>
      <c r="F2240" s="315">
        <v>2022.8005318338758</v>
      </c>
      <c r="G2240" s="314">
        <v>4.1873727940450758E-2</v>
      </c>
      <c r="H2240" s="315">
        <v>6345.4510008532852</v>
      </c>
      <c r="I2240" s="314">
        <v>0.13135634714723957</v>
      </c>
      <c r="J2240" s="315">
        <v>6699.6891418015248</v>
      </c>
      <c r="K2240" s="314">
        <v>0.13868938434332423</v>
      </c>
      <c r="L2240" s="315">
        <v>8986.6627842490834</v>
      </c>
      <c r="M2240" s="314">
        <v>0.18603172512470162</v>
      </c>
      <c r="N2240" s="315">
        <v>2238.2410531183759</v>
      </c>
      <c r="O2240" s="314">
        <v>4.6333533854896178E-2</v>
      </c>
      <c r="P2240" s="315">
        <v>6362.6319230406689</v>
      </c>
      <c r="Q2240" s="314">
        <v>0.13171200715924697</v>
      </c>
      <c r="R2240" s="315">
        <v>7243.1317945035689</v>
      </c>
      <c r="S2240" s="314">
        <v>0.14993911926891854</v>
      </c>
      <c r="T2240" s="315">
        <v>48307.151794808669</v>
      </c>
      <c r="U2240" s="314">
        <v>1</v>
      </c>
    </row>
    <row r="2241" spans="1:21">
      <c r="A2241" s="313" t="s">
        <v>309</v>
      </c>
      <c r="B2241" s="322">
        <v>0</v>
      </c>
      <c r="C2241" s="321">
        <v>0</v>
      </c>
      <c r="D2241" s="322">
        <v>208.9491525423729</v>
      </c>
      <c r="E2241" s="321">
        <v>0.18366182343114315</v>
      </c>
      <c r="F2241" s="322">
        <v>47.206896551724135</v>
      </c>
      <c r="G2241" s="321">
        <v>4.1493849550104211E-2</v>
      </c>
      <c r="H2241" s="322">
        <v>203.91876095850381</v>
      </c>
      <c r="I2241" s="321">
        <v>0.17924021712346158</v>
      </c>
      <c r="J2241" s="322">
        <v>146.6510812390415</v>
      </c>
      <c r="K2241" s="321">
        <v>0.12890315495799423</v>
      </c>
      <c r="L2241" s="322">
        <v>106.36346516007534</v>
      </c>
      <c r="M2241" s="321">
        <v>9.3491204535001912E-2</v>
      </c>
      <c r="N2241" s="322">
        <v>146.6510812390415</v>
      </c>
      <c r="O2241" s="321">
        <v>0.12890315495799423</v>
      </c>
      <c r="P2241" s="322">
        <v>193.85797779076563</v>
      </c>
      <c r="Q2241" s="321">
        <v>0.17039700450809842</v>
      </c>
      <c r="R2241" s="322">
        <v>84.085772984078076</v>
      </c>
      <c r="S2241" s="321">
        <v>7.3909590936202377E-2</v>
      </c>
      <c r="T2241" s="322">
        <v>1137.6841884656028</v>
      </c>
      <c r="U2241" s="321">
        <v>2.3551050852637187E-2</v>
      </c>
    </row>
    <row r="2242" spans="1:21">
      <c r="A2242" s="313" t="s">
        <v>308</v>
      </c>
      <c r="B2242" s="322">
        <v>52.785139318885449</v>
      </c>
      <c r="C2242" s="321">
        <v>2.7626021832115901E-2</v>
      </c>
      <c r="D2242" s="322">
        <v>224.04045407636744</v>
      </c>
      <c r="E2242" s="321">
        <v>0.11725547295044203</v>
      </c>
      <c r="F2242" s="322">
        <v>57.233436532507739</v>
      </c>
      <c r="G2242" s="321">
        <v>2.9954115638913956E-2</v>
      </c>
      <c r="H2242" s="322">
        <v>169.70897832817343</v>
      </c>
      <c r="I2242" s="321">
        <v>8.8820149021048331E-2</v>
      </c>
      <c r="J2242" s="322">
        <v>367.03774337805294</v>
      </c>
      <c r="K2242" s="321">
        <v>0.19209559437773108</v>
      </c>
      <c r="L2242" s="322">
        <v>127.6670106639147</v>
      </c>
      <c r="M2242" s="321">
        <v>6.6816753149695984E-2</v>
      </c>
      <c r="N2242" s="322">
        <v>45.879876160990712</v>
      </c>
      <c r="O2242" s="321">
        <v>2.4012032114213353E-2</v>
      </c>
      <c r="P2242" s="322">
        <v>282.64888888888891</v>
      </c>
      <c r="Q2242" s="321">
        <v>0.1479292178826179</v>
      </c>
      <c r="R2242" s="322">
        <v>583.70207086343328</v>
      </c>
      <c r="S2242" s="321">
        <v>0.30549064303322099</v>
      </c>
      <c r="T2242" s="322">
        <v>1910.7035982112154</v>
      </c>
      <c r="U2242" s="321">
        <v>3.9553224051113473E-2</v>
      </c>
    </row>
    <row r="2243" spans="1:21">
      <c r="A2243" s="313" t="s">
        <v>307</v>
      </c>
      <c r="B2243" s="322">
        <v>0</v>
      </c>
      <c r="C2243" s="321">
        <v>0</v>
      </c>
      <c r="D2243" s="322">
        <v>152.00838033843675</v>
      </c>
      <c r="E2243" s="321">
        <v>4.4938287747981899E-2</v>
      </c>
      <c r="F2243" s="322">
        <v>152.00838033843675</v>
      </c>
      <c r="G2243" s="321">
        <v>4.4938287747981899E-2</v>
      </c>
      <c r="H2243" s="322">
        <v>384.45906836918124</v>
      </c>
      <c r="I2243" s="321">
        <v>0.11365776152097239</v>
      </c>
      <c r="J2243" s="322">
        <v>330.87038988408852</v>
      </c>
      <c r="K2243" s="321">
        <v>9.7815322778874614E-2</v>
      </c>
      <c r="L2243" s="322">
        <v>499.05872900266536</v>
      </c>
      <c r="M2243" s="321">
        <v>0.14753689709167339</v>
      </c>
      <c r="N2243" s="322">
        <v>331.46043513295729</v>
      </c>
      <c r="O2243" s="321">
        <v>9.7989758050923151E-2</v>
      </c>
      <c r="P2243" s="322">
        <v>904.65527800161169</v>
      </c>
      <c r="Q2243" s="321">
        <v>0.26744353900129886</v>
      </c>
      <c r="R2243" s="322">
        <v>628.08219178082186</v>
      </c>
      <c r="S2243" s="321">
        <v>0.1856801460602944</v>
      </c>
      <c r="T2243" s="322">
        <v>3382.6028528481975</v>
      </c>
      <c r="U2243" s="321">
        <v>7.0022817060634679E-2</v>
      </c>
    </row>
    <row r="2244" spans="1:21">
      <c r="A2244" s="313" t="s">
        <v>306</v>
      </c>
      <c r="B2244" s="322">
        <v>173.34328358208955</v>
      </c>
      <c r="C2244" s="321">
        <v>8.0097411692130388E-2</v>
      </c>
      <c r="D2244" s="322">
        <v>276.79991300565462</v>
      </c>
      <c r="E2244" s="321">
        <v>0.12790202268125589</v>
      </c>
      <c r="F2244" s="322">
        <v>75.922305764411036</v>
      </c>
      <c r="G2244" s="321">
        <v>3.5081717940043472E-2</v>
      </c>
      <c r="H2244" s="322">
        <v>412.9145741408625</v>
      </c>
      <c r="I2244" s="321">
        <v>0.19079705861795859</v>
      </c>
      <c r="J2244" s="322">
        <v>101.25667580465023</v>
      </c>
      <c r="K2244" s="321">
        <v>4.6788069782125907E-2</v>
      </c>
      <c r="L2244" s="322">
        <v>400.22688384073189</v>
      </c>
      <c r="M2244" s="321">
        <v>0.18493440774166692</v>
      </c>
      <c r="N2244" s="322">
        <v>66.3576799140709</v>
      </c>
      <c r="O2244" s="321">
        <v>3.0662153717048436E-2</v>
      </c>
      <c r="P2244" s="322">
        <v>195.29072681704264</v>
      </c>
      <c r="Q2244" s="321">
        <v>9.0238752966234029E-2</v>
      </c>
      <c r="R2244" s="322">
        <v>462.04382584154257</v>
      </c>
      <c r="S2244" s="321">
        <v>0.21349840486153615</v>
      </c>
      <c r="T2244" s="322">
        <v>2164.1558687110564</v>
      </c>
      <c r="U2244" s="321">
        <v>4.4799906189949029E-2</v>
      </c>
    </row>
    <row r="2245" spans="1:21">
      <c r="A2245" s="313" t="s">
        <v>305</v>
      </c>
      <c r="B2245" s="322">
        <v>41.880811841386517</v>
      </c>
      <c r="C2245" s="321">
        <v>8.9535503363427082E-3</v>
      </c>
      <c r="D2245" s="322">
        <v>313.37179958471739</v>
      </c>
      <c r="E2245" s="321">
        <v>6.6994646431361465E-2</v>
      </c>
      <c r="F2245" s="322">
        <v>158.85521131037862</v>
      </c>
      <c r="G2245" s="321">
        <v>3.3961092636993755E-2</v>
      </c>
      <c r="H2245" s="322">
        <v>639.00409225952887</v>
      </c>
      <c r="I2245" s="321">
        <v>0.13661042022878941</v>
      </c>
      <c r="J2245" s="322">
        <v>700.4011544962159</v>
      </c>
      <c r="K2245" s="321">
        <v>0.14973628057079236</v>
      </c>
      <c r="L2245" s="322">
        <v>1250.1203304849682</v>
      </c>
      <c r="M2245" s="321">
        <v>0.26725879497927102</v>
      </c>
      <c r="N2245" s="322">
        <v>168.7532898400361</v>
      </c>
      <c r="O2245" s="321">
        <v>3.6077167766673648E-2</v>
      </c>
      <c r="P2245" s="322">
        <v>478.41077942657068</v>
      </c>
      <c r="Q2245" s="321">
        <v>0.10227774502718281</v>
      </c>
      <c r="R2245" s="322">
        <v>926.76732551600139</v>
      </c>
      <c r="S2245" s="321">
        <v>0.19813030202259124</v>
      </c>
      <c r="T2245" s="322">
        <v>4677.5647947598109</v>
      </c>
      <c r="U2245" s="321">
        <v>9.6829654015380934E-2</v>
      </c>
    </row>
    <row r="2246" spans="1:21" ht="28.5">
      <c r="A2246" s="313" t="s">
        <v>304</v>
      </c>
      <c r="B2246" s="322">
        <v>1183.8340002243874</v>
      </c>
      <c r="C2246" s="321">
        <v>6.3560278352295996E-2</v>
      </c>
      <c r="D2246" s="322">
        <v>2371.2427207501228</v>
      </c>
      <c r="E2246" s="321">
        <v>0.12731248413474031</v>
      </c>
      <c r="F2246" s="322">
        <v>646.00992683555342</v>
      </c>
      <c r="G2246" s="321">
        <v>3.4684398961536328E-2</v>
      </c>
      <c r="H2246" s="322">
        <v>1769.1184569336608</v>
      </c>
      <c r="I2246" s="321">
        <v>9.4984314979612489E-2</v>
      </c>
      <c r="J2246" s="322">
        <v>2735.3500016003122</v>
      </c>
      <c r="K2246" s="321">
        <v>0.14686147505453914</v>
      </c>
      <c r="L2246" s="322">
        <v>3953.6502914163434</v>
      </c>
      <c r="M2246" s="321">
        <v>0.21227225521688664</v>
      </c>
      <c r="N2246" s="322">
        <v>691.56225878571638</v>
      </c>
      <c r="O2246" s="321">
        <v>3.7130112547900433E-2</v>
      </c>
      <c r="P2246" s="322">
        <v>2448.9993522296463</v>
      </c>
      <c r="Q2246" s="321">
        <v>0.13148725284356153</v>
      </c>
      <c r="R2246" s="322">
        <v>2825.6076892823603</v>
      </c>
      <c r="S2246" s="321">
        <v>0.1517074279089243</v>
      </c>
      <c r="T2246" s="322">
        <v>18625.374698058156</v>
      </c>
      <c r="U2246" s="321">
        <v>0.38556143357762052</v>
      </c>
    </row>
    <row r="2247" spans="1:21" ht="28.5">
      <c r="A2247" s="313" t="s">
        <v>303</v>
      </c>
      <c r="B2247" s="322">
        <v>1584.4127321155361</v>
      </c>
      <c r="C2247" s="321">
        <v>0.10543112684965744</v>
      </c>
      <c r="D2247" s="322">
        <v>1757.6085113621214</v>
      </c>
      <c r="E2247" s="321">
        <v>0.11695604444306167</v>
      </c>
      <c r="F2247" s="322">
        <v>744.48104116753029</v>
      </c>
      <c r="G2247" s="321">
        <v>4.9539790672911165E-2</v>
      </c>
      <c r="H2247" s="322">
        <v>2345.1770698633777</v>
      </c>
      <c r="I2247" s="321">
        <v>0.15605445230646114</v>
      </c>
      <c r="J2247" s="322">
        <v>2172.3137620658222</v>
      </c>
      <c r="K2247" s="321">
        <v>0.14455165826634958</v>
      </c>
      <c r="L2247" s="322">
        <v>2251.8344070137059</v>
      </c>
      <c r="M2247" s="321">
        <v>0.14984317797881272</v>
      </c>
      <c r="N2247" s="322">
        <v>719.30976537889626</v>
      </c>
      <c r="O2247" s="321">
        <v>4.7864825610559179E-2</v>
      </c>
      <c r="P2247" s="322">
        <v>1719.9605865528029</v>
      </c>
      <c r="Q2247" s="321">
        <v>0.11445084926522578</v>
      </c>
      <c r="R2247" s="322">
        <v>1732.8429182353225</v>
      </c>
      <c r="S2247" s="321">
        <v>0.11530807460696207</v>
      </c>
      <c r="T2247" s="322">
        <v>15027.940793755104</v>
      </c>
      <c r="U2247" s="321">
        <v>0.31109142715737759</v>
      </c>
    </row>
    <row r="2248" spans="1:21" ht="15.75" thickBot="1">
      <c r="A2248" s="313" t="s">
        <v>302</v>
      </c>
      <c r="B2248" s="322">
        <v>0</v>
      </c>
      <c r="C2248" s="321">
        <v>0</v>
      </c>
      <c r="D2248" s="322">
        <v>68.266666666666666</v>
      </c>
      <c r="E2248" s="321">
        <v>4.9428304220593106E-2</v>
      </c>
      <c r="F2248" s="322">
        <v>141.08333333333334</v>
      </c>
      <c r="G2248" s="321">
        <v>0.10215102422542008</v>
      </c>
      <c r="H2248" s="322">
        <v>421.15</v>
      </c>
      <c r="I2248" s="321">
        <v>0.30493257308353688</v>
      </c>
      <c r="J2248" s="322">
        <v>145.80833333333334</v>
      </c>
      <c r="K2248" s="321">
        <v>0.10557214830904757</v>
      </c>
      <c r="L2248" s="322">
        <v>397.74166666666662</v>
      </c>
      <c r="M2248" s="321">
        <v>0.28798382960750585</v>
      </c>
      <c r="N2248" s="322">
        <v>68.266666666666666</v>
      </c>
      <c r="O2248" s="321">
        <v>4.9428304220593106E-2</v>
      </c>
      <c r="P2248" s="322">
        <v>138.80833333333334</v>
      </c>
      <c r="Q2248" s="321">
        <v>0.10050381633330314</v>
      </c>
      <c r="R2248" s="322">
        <v>0</v>
      </c>
      <c r="S2248" s="321">
        <v>0</v>
      </c>
      <c r="T2248" s="322">
        <v>1381.1250000000002</v>
      </c>
      <c r="U2248" s="321">
        <v>2.8590487095296373E-2</v>
      </c>
    </row>
    <row r="2249" spans="1:21" ht="15" customHeight="1">
      <c r="A2249" s="316" t="s">
        <v>4</v>
      </c>
      <c r="B2249" s="315">
        <v>1303.4616858911927</v>
      </c>
      <c r="C2249" s="314">
        <v>4.1172147367839029E-2</v>
      </c>
      <c r="D2249" s="315">
        <v>2259.7083321637724</v>
      </c>
      <c r="E2249" s="314">
        <v>7.1376892368393646E-2</v>
      </c>
      <c r="F2249" s="315">
        <v>1622.7704380320986</v>
      </c>
      <c r="G2249" s="314">
        <v>5.1258080189100025E-2</v>
      </c>
      <c r="H2249" s="315">
        <v>4689.9012100547989</v>
      </c>
      <c r="I2249" s="314">
        <v>0.14813884124945531</v>
      </c>
      <c r="J2249" s="315">
        <v>4330.6553282083805</v>
      </c>
      <c r="K2249" s="314">
        <v>0.13679142340912401</v>
      </c>
      <c r="L2249" s="315">
        <v>6181.440775239289</v>
      </c>
      <c r="M2249" s="314">
        <v>0.19525176174987777</v>
      </c>
      <c r="N2249" s="315">
        <v>1522.3212499175743</v>
      </c>
      <c r="O2249" s="314">
        <v>4.8085214564589279E-2</v>
      </c>
      <c r="P2249" s="315">
        <v>5080.5865647347709</v>
      </c>
      <c r="Q2249" s="314">
        <v>0.16047933055685104</v>
      </c>
      <c r="R2249" s="315">
        <v>4667.9764404107609</v>
      </c>
      <c r="S2249" s="314">
        <v>0.14744630854476515</v>
      </c>
      <c r="T2249" s="315">
        <v>31658.822024652789</v>
      </c>
      <c r="U2249" s="314">
        <v>1</v>
      </c>
    </row>
    <row r="2250" spans="1:21">
      <c r="A2250" s="313" t="s">
        <v>309</v>
      </c>
      <c r="B2250" s="322">
        <v>79.678571428571431</v>
      </c>
      <c r="C2250" s="321">
        <v>6.3195055790817786E-2</v>
      </c>
      <c r="D2250" s="322">
        <v>79.678571428571431</v>
      </c>
      <c r="E2250" s="321">
        <v>6.3195055790817786E-2</v>
      </c>
      <c r="F2250" s="322">
        <v>0</v>
      </c>
      <c r="G2250" s="321">
        <v>0</v>
      </c>
      <c r="H2250" s="322">
        <v>307.9971804511278</v>
      </c>
      <c r="I2250" s="321">
        <v>0.24428022055430776</v>
      </c>
      <c r="J2250" s="322">
        <v>79.678571428571431</v>
      </c>
      <c r="K2250" s="321">
        <v>6.3195055790817786E-2</v>
      </c>
      <c r="L2250" s="322">
        <v>119.51785714285714</v>
      </c>
      <c r="M2250" s="321">
        <v>9.4792583686226686E-2</v>
      </c>
      <c r="N2250" s="322">
        <v>184.35714285714286</v>
      </c>
      <c r="O2250" s="321">
        <v>0.14621823307584106</v>
      </c>
      <c r="P2250" s="322">
        <v>330.24906015037595</v>
      </c>
      <c r="Q2250" s="321">
        <v>0.26192873952035323</v>
      </c>
      <c r="R2250" s="322">
        <v>79.678571428571431</v>
      </c>
      <c r="S2250" s="321">
        <v>6.3195055790817786E-2</v>
      </c>
      <c r="T2250" s="322">
        <v>1260.8355263157896</v>
      </c>
      <c r="U2250" s="321">
        <v>3.982572457477964E-2</v>
      </c>
    </row>
    <row r="2251" spans="1:21">
      <c r="A2251" s="313" t="s">
        <v>308</v>
      </c>
      <c r="B2251" s="322">
        <v>16.139097744360903</v>
      </c>
      <c r="C2251" s="321">
        <v>1.2791746708769052E-2</v>
      </c>
      <c r="D2251" s="322">
        <v>38.329513438769339</v>
      </c>
      <c r="E2251" s="321">
        <v>3.0379729718807303E-2</v>
      </c>
      <c r="F2251" s="322">
        <v>46.470568907630167</v>
      </c>
      <c r="G2251" s="321">
        <v>3.6832278749070989E-2</v>
      </c>
      <c r="H2251" s="322">
        <v>422.10563948401455</v>
      </c>
      <c r="I2251" s="321">
        <v>0.33455825784989157</v>
      </c>
      <c r="J2251" s="322">
        <v>288.68547498662281</v>
      </c>
      <c r="K2251" s="321">
        <v>0.22881028004306164</v>
      </c>
      <c r="L2251" s="322">
        <v>196.45884106818767</v>
      </c>
      <c r="M2251" s="321">
        <v>0.15571203381060428</v>
      </c>
      <c r="N2251" s="322">
        <v>36.909212686889639</v>
      </c>
      <c r="O2251" s="321">
        <v>2.9254008333628415E-2</v>
      </c>
      <c r="P2251" s="322">
        <v>180.12232744098799</v>
      </c>
      <c r="Q2251" s="321">
        <v>0.14276381652277548</v>
      </c>
      <c r="R2251" s="322">
        <v>36.459852461342031</v>
      </c>
      <c r="S2251" s="321">
        <v>2.8897848263390986E-2</v>
      </c>
      <c r="T2251" s="322">
        <v>1261.6805282188054</v>
      </c>
      <c r="U2251" s="321">
        <v>3.9852415457414442E-2</v>
      </c>
    </row>
    <row r="2252" spans="1:21">
      <c r="A2252" s="313" t="s">
        <v>307</v>
      </c>
      <c r="B2252" s="322">
        <v>0</v>
      </c>
      <c r="C2252" s="321">
        <v>0</v>
      </c>
      <c r="D2252" s="322">
        <v>240.91228070175438</v>
      </c>
      <c r="E2252" s="321">
        <v>7.6093417568993266E-2</v>
      </c>
      <c r="F2252" s="322">
        <v>361.36842105263156</v>
      </c>
      <c r="G2252" s="321">
        <v>0.11414012635348991</v>
      </c>
      <c r="H2252" s="322">
        <v>708.18500797448155</v>
      </c>
      <c r="I2252" s="321">
        <v>0.22368397896085596</v>
      </c>
      <c r="J2252" s="322">
        <v>116.81818181818181</v>
      </c>
      <c r="K2252" s="321">
        <v>3.6897640347965679E-2</v>
      </c>
      <c r="L2252" s="322">
        <v>507.99305448371666</v>
      </c>
      <c r="M2252" s="321">
        <v>0.16045229203085745</v>
      </c>
      <c r="N2252" s="322">
        <v>0</v>
      </c>
      <c r="O2252" s="321">
        <v>0</v>
      </c>
      <c r="P2252" s="322">
        <v>843.19298245614027</v>
      </c>
      <c r="Q2252" s="321">
        <v>0.26632696149147639</v>
      </c>
      <c r="R2252" s="322">
        <v>387.5369141328394</v>
      </c>
      <c r="S2252" s="321">
        <v>0.12240558324636081</v>
      </c>
      <c r="T2252" s="322">
        <v>3166.0068426197472</v>
      </c>
      <c r="U2252" s="321">
        <v>0.10000393698016846</v>
      </c>
    </row>
    <row r="2253" spans="1:21">
      <c r="A2253" s="313" t="s">
        <v>306</v>
      </c>
      <c r="B2253" s="322">
        <v>90.481818181818184</v>
      </c>
      <c r="C2253" s="321">
        <v>7.0794222537717749E-2</v>
      </c>
      <c r="D2253" s="322">
        <v>45.825665188470069</v>
      </c>
      <c r="E2253" s="321">
        <v>3.5854632504979854E-2</v>
      </c>
      <c r="F2253" s="322">
        <v>121.91249999999999</v>
      </c>
      <c r="G2253" s="321">
        <v>9.5386021507509952E-2</v>
      </c>
      <c r="H2253" s="322">
        <v>234.80585999366491</v>
      </c>
      <c r="I2253" s="321">
        <v>0.18371534347540319</v>
      </c>
      <c r="J2253" s="322">
        <v>194.13816518847005</v>
      </c>
      <c r="K2253" s="321">
        <v>0.15189637814084631</v>
      </c>
      <c r="L2253" s="322">
        <v>227.99521103896103</v>
      </c>
      <c r="M2253" s="321">
        <v>0.17838659779572733</v>
      </c>
      <c r="N2253" s="322">
        <v>20.528409090909093</v>
      </c>
      <c r="O2253" s="321">
        <v>1.6061710415752425E-2</v>
      </c>
      <c r="P2253" s="322">
        <v>247.18392857142857</v>
      </c>
      <c r="Q2253" s="321">
        <v>0.1934001150581367</v>
      </c>
      <c r="R2253" s="322">
        <v>95.224520905923342</v>
      </c>
      <c r="S2253" s="321">
        <v>7.4504978563926877E-2</v>
      </c>
      <c r="T2253" s="322">
        <v>1278.0960781596448</v>
      </c>
      <c r="U2253" s="321">
        <v>4.0370929694237799E-2</v>
      </c>
    </row>
    <row r="2254" spans="1:21">
      <c r="A2254" s="313" t="s">
        <v>305</v>
      </c>
      <c r="B2254" s="322">
        <v>265.07527671967944</v>
      </c>
      <c r="C2254" s="321">
        <v>5.5611126682816849E-2</v>
      </c>
      <c r="D2254" s="322">
        <v>217.50833550403752</v>
      </c>
      <c r="E2254" s="321">
        <v>4.5631881441267771E-2</v>
      </c>
      <c r="F2254" s="322">
        <v>110.33425170817721</v>
      </c>
      <c r="G2254" s="321">
        <v>2.314743240157378E-2</v>
      </c>
      <c r="H2254" s="322">
        <v>726.00155511473554</v>
      </c>
      <c r="I2254" s="321">
        <v>0.15231056231661838</v>
      </c>
      <c r="J2254" s="322">
        <v>414.71092577020841</v>
      </c>
      <c r="K2254" s="321">
        <v>8.700374518195543E-2</v>
      </c>
      <c r="L2254" s="322">
        <v>1079.8294061053173</v>
      </c>
      <c r="M2254" s="321">
        <v>0.22654142114603126</v>
      </c>
      <c r="N2254" s="322">
        <v>278.93346068131166</v>
      </c>
      <c r="O2254" s="321">
        <v>5.8518486559683461E-2</v>
      </c>
      <c r="P2254" s="322">
        <v>700.42564733622919</v>
      </c>
      <c r="Q2254" s="321">
        <v>0.14694489764543645</v>
      </c>
      <c r="R2254" s="322">
        <v>973.76819892663161</v>
      </c>
      <c r="S2254" s="321">
        <v>0.20429044662461721</v>
      </c>
      <c r="T2254" s="322">
        <v>4766.5870578663253</v>
      </c>
      <c r="U2254" s="321">
        <v>0.15056109965666362</v>
      </c>
    </row>
    <row r="2255" spans="1:21" ht="28.5">
      <c r="A2255" s="313" t="s">
        <v>304</v>
      </c>
      <c r="B2255" s="322">
        <v>555.91818760915078</v>
      </c>
      <c r="C2255" s="321">
        <v>5.1111361264269961E-2</v>
      </c>
      <c r="D2255" s="322">
        <v>756.81767089977041</v>
      </c>
      <c r="E2255" s="321">
        <v>6.9582147608629172E-2</v>
      </c>
      <c r="F2255" s="322">
        <v>460.94372968596798</v>
      </c>
      <c r="G2255" s="321">
        <v>4.2379368071770028E-2</v>
      </c>
      <c r="H2255" s="322">
        <v>1342.8458422278843</v>
      </c>
      <c r="I2255" s="321">
        <v>0.12346183394270815</v>
      </c>
      <c r="J2255" s="322">
        <v>1494.709033690064</v>
      </c>
      <c r="K2255" s="321">
        <v>0.13742420217345516</v>
      </c>
      <c r="L2255" s="322">
        <v>2536.7651980685514</v>
      </c>
      <c r="M2255" s="321">
        <v>0.23323130160344266</v>
      </c>
      <c r="N2255" s="322">
        <v>735.08854142955272</v>
      </c>
      <c r="O2255" s="321">
        <v>6.7584361943283711E-2</v>
      </c>
      <c r="P2255" s="322">
        <v>1573.0216481834118</v>
      </c>
      <c r="Q2255" s="321">
        <v>0.1446242981950179</v>
      </c>
      <c r="R2255" s="322">
        <v>1420.4971071710265</v>
      </c>
      <c r="S2255" s="321">
        <v>0.13060112519742578</v>
      </c>
      <c r="T2255" s="322">
        <v>10876.606958965353</v>
      </c>
      <c r="U2255" s="321">
        <v>0.34355690652342391</v>
      </c>
    </row>
    <row r="2256" spans="1:21" ht="28.5">
      <c r="A2256" s="313" t="s">
        <v>303</v>
      </c>
      <c r="B2256" s="322">
        <v>296.16873420761215</v>
      </c>
      <c r="C2256" s="321">
        <v>3.5484099566369429E-2</v>
      </c>
      <c r="D2256" s="322">
        <v>810.74740611351012</v>
      </c>
      <c r="E2256" s="321">
        <v>9.7135984859026123E-2</v>
      </c>
      <c r="F2256" s="322">
        <v>447.43293096340517</v>
      </c>
      <c r="G2256" s="321">
        <v>5.3607126066347294E-2</v>
      </c>
      <c r="H2256" s="322">
        <v>941.24583909460603</v>
      </c>
      <c r="I2256" s="321">
        <v>0.11277105654053036</v>
      </c>
      <c r="J2256" s="322">
        <v>1598.4323364373738</v>
      </c>
      <c r="K2256" s="321">
        <v>0.19150884487519446</v>
      </c>
      <c r="L2256" s="322">
        <v>1372.3731716174202</v>
      </c>
      <c r="M2256" s="321">
        <v>0.16442460205725226</v>
      </c>
      <c r="N2256" s="322">
        <v>266.50448317176836</v>
      </c>
      <c r="O2256" s="321">
        <v>3.1930013277910001E-2</v>
      </c>
      <c r="P2256" s="322">
        <v>1072.5972205961989</v>
      </c>
      <c r="Q2256" s="321">
        <v>0.12850832034000845</v>
      </c>
      <c r="R2256" s="322">
        <v>1541.0175253844257</v>
      </c>
      <c r="S2256" s="321">
        <v>0.18462995241736008</v>
      </c>
      <c r="T2256" s="322">
        <v>8346.519647586334</v>
      </c>
      <c r="U2256" s="321">
        <v>0.26363961492587701</v>
      </c>
    </row>
    <row r="2257" spans="1:21" ht="15.75" thickBot="1">
      <c r="A2257" s="313" t="s">
        <v>302</v>
      </c>
      <c r="B2257" s="322">
        <v>0</v>
      </c>
      <c r="C2257" s="321">
        <v>0</v>
      </c>
      <c r="D2257" s="322">
        <v>69.888888888888886</v>
      </c>
      <c r="E2257" s="321">
        <v>9.9487466129875704E-2</v>
      </c>
      <c r="F2257" s="322">
        <v>74.308035714285708</v>
      </c>
      <c r="G2257" s="321">
        <v>0.1057781616482088</v>
      </c>
      <c r="H2257" s="322">
        <v>6.7142857142857144</v>
      </c>
      <c r="I2257" s="321">
        <v>9.5578465075942358E-3</v>
      </c>
      <c r="J2257" s="322">
        <v>143.48263888888889</v>
      </c>
      <c r="K2257" s="321">
        <v>0.20424883559642557</v>
      </c>
      <c r="L2257" s="322">
        <v>140.50803571428571</v>
      </c>
      <c r="M2257" s="321">
        <v>0.20001446104436135</v>
      </c>
      <c r="N2257" s="322">
        <v>0</v>
      </c>
      <c r="O2257" s="321">
        <v>0</v>
      </c>
      <c r="P2257" s="322">
        <v>133.79374999999999</v>
      </c>
      <c r="Q2257" s="321">
        <v>0.1904566145367671</v>
      </c>
      <c r="R2257" s="322">
        <v>133.79374999999999</v>
      </c>
      <c r="S2257" s="321">
        <v>0.1904566145367671</v>
      </c>
      <c r="T2257" s="322">
        <v>702.48938492063496</v>
      </c>
      <c r="U2257" s="321">
        <v>2.2189372187430254E-2</v>
      </c>
    </row>
    <row r="2258" spans="1:21" ht="15.75" customHeight="1">
      <c r="A2258" s="316" t="s">
        <v>4</v>
      </c>
      <c r="B2258" s="315">
        <v>561.87034066105559</v>
      </c>
      <c r="C2258" s="314">
        <v>4.0125859999577143E-2</v>
      </c>
      <c r="D2258" s="315">
        <v>1359.7047175417267</v>
      </c>
      <c r="E2258" s="314">
        <v>9.7103045290935622E-2</v>
      </c>
      <c r="F2258" s="315">
        <v>519.00647026978584</v>
      </c>
      <c r="G2258" s="314">
        <v>3.7064745116138831E-2</v>
      </c>
      <c r="H2258" s="315">
        <v>2065.8723903326468</v>
      </c>
      <c r="I2258" s="314">
        <v>0.14753387091753495</v>
      </c>
      <c r="J2258" s="315">
        <v>2069.6959107709317</v>
      </c>
      <c r="K2258" s="314">
        <v>0.14780692687850924</v>
      </c>
      <c r="L2258" s="315">
        <v>3354.4507455036646</v>
      </c>
      <c r="M2258" s="314">
        <v>0.23955744101245216</v>
      </c>
      <c r="N2258" s="315">
        <v>530.4323436203091</v>
      </c>
      <c r="O2258" s="314">
        <v>3.7880721616867792E-2</v>
      </c>
      <c r="P2258" s="315">
        <v>1249.6852203580063</v>
      </c>
      <c r="Q2258" s="314">
        <v>8.9246024512754124E-2</v>
      </c>
      <c r="R2258" s="315">
        <v>2291.9808851367206</v>
      </c>
      <c r="S2258" s="314">
        <v>0.16368136465523428</v>
      </c>
      <c r="T2258" s="315">
        <v>14002.69902419479</v>
      </c>
      <c r="U2258" s="314">
        <v>1</v>
      </c>
    </row>
    <row r="2259" spans="1:21">
      <c r="A2259" s="313" t="s">
        <v>309</v>
      </c>
      <c r="B2259" s="322">
        <v>5</v>
      </c>
      <c r="C2259" s="321">
        <v>1.2508219899708302E-2</v>
      </c>
      <c r="D2259" s="322">
        <v>66.261437908496731</v>
      </c>
      <c r="E2259" s="321">
        <v>0.16576252724606899</v>
      </c>
      <c r="F2259" s="322">
        <v>39.466666666666669</v>
      </c>
      <c r="G2259" s="321">
        <v>9.8731549075030872E-2</v>
      </c>
      <c r="H2259" s="322">
        <v>11.705882352941176</v>
      </c>
      <c r="I2259" s="321">
        <v>2.9283950118140615E-2</v>
      </c>
      <c r="J2259" s="322">
        <v>0</v>
      </c>
      <c r="K2259" s="321">
        <v>0</v>
      </c>
      <c r="L2259" s="322">
        <v>113.54830659536543</v>
      </c>
      <c r="M2259" s="321">
        <v>0.28405743762686586</v>
      </c>
      <c r="N2259" s="322">
        <v>0</v>
      </c>
      <c r="O2259" s="321">
        <v>0</v>
      </c>
      <c r="P2259" s="322">
        <v>69.732620320855617</v>
      </c>
      <c r="Q2259" s="321">
        <v>0.17444618983122595</v>
      </c>
      <c r="R2259" s="322">
        <v>94.022222222222226</v>
      </c>
      <c r="S2259" s="321">
        <v>0.23521012620295922</v>
      </c>
      <c r="T2259" s="322">
        <v>399.73713606654792</v>
      </c>
      <c r="U2259" s="321">
        <v>2.8547149044327501E-2</v>
      </c>
    </row>
    <row r="2260" spans="1:21">
      <c r="A2260" s="313" t="s">
        <v>308</v>
      </c>
      <c r="B2260" s="322">
        <v>61.75252525252526</v>
      </c>
      <c r="C2260" s="321">
        <v>7.2038460191428108E-2</v>
      </c>
      <c r="D2260" s="322">
        <v>77.713645892891179</v>
      </c>
      <c r="E2260" s="321">
        <v>9.0658177347279364E-2</v>
      </c>
      <c r="F2260" s="322">
        <v>7.5707070707070709</v>
      </c>
      <c r="G2260" s="321">
        <v>8.8317372885377225E-3</v>
      </c>
      <c r="H2260" s="322">
        <v>121.75404993329522</v>
      </c>
      <c r="I2260" s="321">
        <v>0.14203426084030735</v>
      </c>
      <c r="J2260" s="322">
        <v>169.80760434534022</v>
      </c>
      <c r="K2260" s="321">
        <v>0.1980919532571396</v>
      </c>
      <c r="L2260" s="322">
        <v>158.62073565847152</v>
      </c>
      <c r="M2260" s="321">
        <v>0.18504172103958719</v>
      </c>
      <c r="N2260" s="322">
        <v>18.334858014103297</v>
      </c>
      <c r="O2260" s="321">
        <v>2.1388840922103903E-2</v>
      </c>
      <c r="P2260" s="322">
        <v>89.097484276729546</v>
      </c>
      <c r="Q2260" s="321">
        <v>0.10393818791990377</v>
      </c>
      <c r="R2260" s="322">
        <v>152.56445287031184</v>
      </c>
      <c r="S2260" s="321">
        <v>0.17797666119371425</v>
      </c>
      <c r="T2260" s="322">
        <v>857.21606331437408</v>
      </c>
      <c r="U2260" s="321">
        <v>6.1217916762562663E-2</v>
      </c>
    </row>
    <row r="2261" spans="1:21">
      <c r="A2261" s="313" t="s">
        <v>307</v>
      </c>
      <c r="B2261" s="322">
        <v>95.6640625</v>
      </c>
      <c r="C2261" s="321">
        <v>7.3992154412337363E-2</v>
      </c>
      <c r="D2261" s="322">
        <v>263.79108796296293</v>
      </c>
      <c r="E2261" s="321">
        <v>0.20403138235065046</v>
      </c>
      <c r="F2261" s="322">
        <v>95.6640625</v>
      </c>
      <c r="G2261" s="321">
        <v>7.3992154412337363E-2</v>
      </c>
      <c r="H2261" s="322">
        <v>263.79108796296293</v>
      </c>
      <c r="I2261" s="321">
        <v>0.20403138235065046</v>
      </c>
      <c r="J2261" s="322">
        <v>0</v>
      </c>
      <c r="K2261" s="321">
        <v>0</v>
      </c>
      <c r="L2261" s="322">
        <v>382.65625</v>
      </c>
      <c r="M2261" s="321">
        <v>0.29596861764934945</v>
      </c>
      <c r="N2261" s="322">
        <v>0</v>
      </c>
      <c r="O2261" s="321">
        <v>0</v>
      </c>
      <c r="P2261" s="322">
        <v>95.6640625</v>
      </c>
      <c r="Q2261" s="321">
        <v>7.3992154412337363E-2</v>
      </c>
      <c r="R2261" s="322">
        <v>95.6640625</v>
      </c>
      <c r="S2261" s="321">
        <v>7.3992154412337363E-2</v>
      </c>
      <c r="T2261" s="322">
        <v>1292.8946759259261</v>
      </c>
      <c r="U2261" s="321">
        <v>9.2331819293693107E-2</v>
      </c>
    </row>
    <row r="2262" spans="1:21">
      <c r="A2262" s="313" t="s">
        <v>306</v>
      </c>
      <c r="B2262" s="322">
        <v>0</v>
      </c>
      <c r="C2262" s="321">
        <v>0</v>
      </c>
      <c r="D2262" s="322">
        <v>43.354259259259258</v>
      </c>
      <c r="E2262" s="321">
        <v>9.3735909422622846E-2</v>
      </c>
      <c r="F2262" s="322">
        <v>8.9333333333333336</v>
      </c>
      <c r="G2262" s="321">
        <v>1.9314691070326406E-2</v>
      </c>
      <c r="H2262" s="322">
        <v>119.46932578209277</v>
      </c>
      <c r="I2262" s="321">
        <v>0.2583037074471608</v>
      </c>
      <c r="J2262" s="322">
        <v>88.502407407407418</v>
      </c>
      <c r="K2262" s="321">
        <v>0.19135037217025094</v>
      </c>
      <c r="L2262" s="322">
        <v>36.094999999999999</v>
      </c>
      <c r="M2262" s="321">
        <v>7.8040720990682641E-2</v>
      </c>
      <c r="N2262" s="322">
        <v>61.12833333333333</v>
      </c>
      <c r="O2262" s="321">
        <v>0.1321650978332764</v>
      </c>
      <c r="P2262" s="322">
        <v>0</v>
      </c>
      <c r="Q2262" s="321">
        <v>0</v>
      </c>
      <c r="R2262" s="322">
        <v>105.03228874505574</v>
      </c>
      <c r="S2262" s="321">
        <v>0.22708950106567979</v>
      </c>
      <c r="T2262" s="322">
        <v>462.51494786048193</v>
      </c>
      <c r="U2262" s="321">
        <v>3.3030414140967967E-2</v>
      </c>
    </row>
    <row r="2263" spans="1:21">
      <c r="A2263" s="313" t="s">
        <v>305</v>
      </c>
      <c r="B2263" s="322">
        <v>53.390165728580364</v>
      </c>
      <c r="C2263" s="321">
        <v>2.6278664376499346E-2</v>
      </c>
      <c r="D2263" s="322">
        <v>67.447947214076251</v>
      </c>
      <c r="E2263" s="321">
        <v>3.3197910954858599E-2</v>
      </c>
      <c r="F2263" s="322">
        <v>57.136086474501106</v>
      </c>
      <c r="G2263" s="321">
        <v>2.8122408307983765E-2</v>
      </c>
      <c r="H2263" s="322">
        <v>388.25786782061363</v>
      </c>
      <c r="I2263" s="321">
        <v>0.1911007029246104</v>
      </c>
      <c r="J2263" s="322">
        <v>254.65848279279692</v>
      </c>
      <c r="K2263" s="321">
        <v>0.12534302354409241</v>
      </c>
      <c r="L2263" s="322">
        <v>582.90430083523177</v>
      </c>
      <c r="M2263" s="321">
        <v>0.28690576768648601</v>
      </c>
      <c r="N2263" s="322">
        <v>63.702026468155502</v>
      </c>
      <c r="O2263" s="321">
        <v>3.135416702337418E-2</v>
      </c>
      <c r="P2263" s="322">
        <v>283.0705600457764</v>
      </c>
      <c r="Q2263" s="321">
        <v>0.1393274611681648</v>
      </c>
      <c r="R2263" s="322">
        <v>281.12507802552119</v>
      </c>
      <c r="S2263" s="321">
        <v>0.13836989401393077</v>
      </c>
      <c r="T2263" s="322">
        <v>2031.6925154052526</v>
      </c>
      <c r="U2263" s="321">
        <v>0.14509292186418918</v>
      </c>
    </row>
    <row r="2264" spans="1:21" ht="28.5">
      <c r="A2264" s="313" t="s">
        <v>304</v>
      </c>
      <c r="B2264" s="322">
        <v>164.21042437868826</v>
      </c>
      <c r="C2264" s="321">
        <v>3.3256225139512645E-2</v>
      </c>
      <c r="D2264" s="322">
        <v>463.45467331298744</v>
      </c>
      <c r="E2264" s="321">
        <v>9.385977178959358E-2</v>
      </c>
      <c r="F2264" s="322">
        <v>259.06754039787631</v>
      </c>
      <c r="G2264" s="321">
        <v>5.2466878898887508E-2</v>
      </c>
      <c r="H2264" s="322">
        <v>783.56742539592028</v>
      </c>
      <c r="I2264" s="321">
        <v>0.15868964963430762</v>
      </c>
      <c r="J2264" s="322">
        <v>733.72782255732693</v>
      </c>
      <c r="K2264" s="321">
        <v>0.14859603311065853</v>
      </c>
      <c r="L2264" s="322">
        <v>1315.2085002386366</v>
      </c>
      <c r="M2264" s="321">
        <v>0.26635866848787854</v>
      </c>
      <c r="N2264" s="322">
        <v>208.15922900023909</v>
      </c>
      <c r="O2264" s="321">
        <v>4.2156825370203217E-2</v>
      </c>
      <c r="P2264" s="322">
        <v>306.78277979641422</v>
      </c>
      <c r="Q2264" s="321">
        <v>6.213026506957367E-2</v>
      </c>
      <c r="R2264" s="322">
        <v>703.55653093387127</v>
      </c>
      <c r="S2264" s="321">
        <v>0.14248568249938665</v>
      </c>
      <c r="T2264" s="322">
        <v>4937.7349260119508</v>
      </c>
      <c r="U2264" s="321">
        <v>0.3526273697292362</v>
      </c>
    </row>
    <row r="2265" spans="1:21" ht="28.5">
      <c r="A2265" s="313" t="s">
        <v>303</v>
      </c>
      <c r="B2265" s="322">
        <v>181.8531628012619</v>
      </c>
      <c r="C2265" s="321">
        <v>5.0876511479998998E-2</v>
      </c>
      <c r="D2265" s="322">
        <v>377.68166599105166</v>
      </c>
      <c r="E2265" s="321">
        <v>0.10566286183638236</v>
      </c>
      <c r="F2265" s="322">
        <v>51.168073826701466</v>
      </c>
      <c r="G2265" s="321">
        <v>1.4315137858221232E-2</v>
      </c>
      <c r="H2265" s="322">
        <v>339.1162247690288</v>
      </c>
      <c r="I2265" s="321">
        <v>9.4873524533474279E-2</v>
      </c>
      <c r="J2265" s="322">
        <v>763.59334366805786</v>
      </c>
      <c r="K2265" s="321">
        <v>0.21362820924723114</v>
      </c>
      <c r="L2265" s="322">
        <v>706.01140217595889</v>
      </c>
      <c r="M2265" s="321">
        <v>0.19751868295559891</v>
      </c>
      <c r="N2265" s="322">
        <v>60.295396804477974</v>
      </c>
      <c r="O2265" s="321">
        <v>1.6868661509432004E-2</v>
      </c>
      <c r="P2265" s="322">
        <v>345.93146341823046</v>
      </c>
      <c r="Q2265" s="321">
        <v>9.6780203317796409E-2</v>
      </c>
      <c r="R2265" s="322">
        <v>748.75241470041783</v>
      </c>
      <c r="S2265" s="321">
        <v>0.20947620726186478</v>
      </c>
      <c r="T2265" s="322">
        <v>3574.4031481551865</v>
      </c>
      <c r="U2265" s="321">
        <v>0.25526529863843367</v>
      </c>
    </row>
    <row r="2266" spans="1:21" ht="15.75" thickBot="1">
      <c r="A2266" s="310" t="s">
        <v>302</v>
      </c>
      <c r="B2266" s="320">
        <v>0</v>
      </c>
      <c r="C2266" s="319">
        <v>0</v>
      </c>
      <c r="D2266" s="320">
        <v>0</v>
      </c>
      <c r="E2266" s="319">
        <v>0</v>
      </c>
      <c r="F2266" s="320">
        <v>0</v>
      </c>
      <c r="G2266" s="319">
        <v>0</v>
      </c>
      <c r="H2266" s="320">
        <v>38.210526315789473</v>
      </c>
      <c r="I2266" s="319">
        <v>8.5576810986240315E-2</v>
      </c>
      <c r="J2266" s="320">
        <v>59.40625</v>
      </c>
      <c r="K2266" s="319">
        <v>0.13304704011759705</v>
      </c>
      <c r="L2266" s="320">
        <v>59.40625</v>
      </c>
      <c r="M2266" s="319">
        <v>0.13304704011759705</v>
      </c>
      <c r="N2266" s="320">
        <v>118.8125</v>
      </c>
      <c r="O2266" s="319">
        <v>0.2660940802351941</v>
      </c>
      <c r="P2266" s="320">
        <v>59.40625</v>
      </c>
      <c r="Q2266" s="319">
        <v>0.13304704011759705</v>
      </c>
      <c r="R2266" s="320">
        <v>111.26383513931889</v>
      </c>
      <c r="S2266" s="319">
        <v>0.24918798842577444</v>
      </c>
      <c r="T2266" s="320">
        <v>446.50561145510835</v>
      </c>
      <c r="U2266" s="319">
        <v>3.1887110526592516E-2</v>
      </c>
    </row>
    <row r="2269" spans="1:21" ht="15.75" thickBot="1"/>
    <row r="2270" spans="1:21" ht="15" customHeight="1">
      <c r="A2270" s="752" t="s">
        <v>310</v>
      </c>
      <c r="B2270" s="763" t="s">
        <v>375</v>
      </c>
      <c r="C2270" s="764"/>
      <c r="D2270" s="764"/>
      <c r="E2270" s="764"/>
      <c r="F2270" s="764"/>
      <c r="G2270" s="765"/>
      <c r="H2270" s="307"/>
    </row>
    <row r="2271" spans="1:21" ht="15" customHeight="1">
      <c r="A2271" s="753"/>
      <c r="B2271" s="767" t="s">
        <v>27</v>
      </c>
      <c r="C2271" s="759"/>
      <c r="D2271" s="768" t="s">
        <v>26</v>
      </c>
      <c r="E2271" s="759"/>
      <c r="F2271" s="769" t="s">
        <v>9</v>
      </c>
      <c r="G2271" s="766"/>
      <c r="H2271" s="307"/>
    </row>
    <row r="2272" spans="1:21" ht="15.75" customHeight="1" thickBot="1">
      <c r="A2272" s="754"/>
      <c r="B2272" s="318" t="s">
        <v>7</v>
      </c>
      <c r="C2272" s="318" t="s">
        <v>8</v>
      </c>
      <c r="D2272" s="318" t="s">
        <v>7</v>
      </c>
      <c r="E2272" s="318" t="s">
        <v>8</v>
      </c>
      <c r="F2272" s="318" t="s">
        <v>7</v>
      </c>
      <c r="G2272" s="318" t="s">
        <v>6</v>
      </c>
      <c r="H2272" s="307"/>
    </row>
    <row r="2273" spans="1:8" ht="15.75" customHeight="1">
      <c r="A2273" s="316" t="s">
        <v>5</v>
      </c>
      <c r="B2273" s="315">
        <v>191840.50405410584</v>
      </c>
      <c r="C2273" s="314">
        <v>0.76906026628561686</v>
      </c>
      <c r="D2273" s="315">
        <v>57607.442308599777</v>
      </c>
      <c r="E2273" s="314">
        <v>0.23093973371436655</v>
      </c>
      <c r="F2273" s="315">
        <v>249447.94636270974</v>
      </c>
      <c r="G2273" s="314">
        <v>1</v>
      </c>
      <c r="H2273" s="307"/>
    </row>
    <row r="2274" spans="1:8">
      <c r="A2274" s="313" t="s">
        <v>309</v>
      </c>
      <c r="B2274" s="312">
        <v>4576.1723106000009</v>
      </c>
      <c r="C2274" s="311">
        <v>0.90080078269094188</v>
      </c>
      <c r="D2274" s="312">
        <v>503.94351360000007</v>
      </c>
      <c r="E2274" s="311">
        <v>9.9199217309057966E-2</v>
      </c>
      <c r="F2274" s="312">
        <v>5080.115824200002</v>
      </c>
      <c r="G2274" s="311">
        <v>2.0365434545663731E-2</v>
      </c>
      <c r="H2274" s="307"/>
    </row>
    <row r="2275" spans="1:8">
      <c r="A2275" s="313" t="s">
        <v>308</v>
      </c>
      <c r="B2275" s="312">
        <v>7511.2508230000012</v>
      </c>
      <c r="C2275" s="311">
        <v>0.73966498587132168</v>
      </c>
      <c r="D2275" s="312">
        <v>2643.6854880000019</v>
      </c>
      <c r="E2275" s="311">
        <v>0.26033501412867666</v>
      </c>
      <c r="F2275" s="312">
        <v>10154.936311000019</v>
      </c>
      <c r="G2275" s="311">
        <v>4.0709640865249842E-2</v>
      </c>
      <c r="H2275" s="307"/>
    </row>
    <row r="2276" spans="1:8">
      <c r="A2276" s="313" t="s">
        <v>307</v>
      </c>
      <c r="B2276" s="312">
        <v>12925.503263999992</v>
      </c>
      <c r="C2276" s="311">
        <v>0.68772681493523624</v>
      </c>
      <c r="D2276" s="312">
        <v>5869.0282029999953</v>
      </c>
      <c r="E2276" s="311">
        <v>0.31227318506476243</v>
      </c>
      <c r="F2276" s="312">
        <v>18794.531467000012</v>
      </c>
      <c r="G2276" s="311">
        <v>7.5344502695050566E-2</v>
      </c>
      <c r="H2276" s="307"/>
    </row>
    <row r="2277" spans="1:8">
      <c r="A2277" s="313" t="s">
        <v>306</v>
      </c>
      <c r="B2277" s="312">
        <v>13405.073374499991</v>
      </c>
      <c r="C2277" s="311">
        <v>0.69060085652231051</v>
      </c>
      <c r="D2277" s="312">
        <v>6005.6661979999972</v>
      </c>
      <c r="E2277" s="311">
        <v>0.3093991434776901</v>
      </c>
      <c r="F2277" s="312">
        <v>19410.739572499977</v>
      </c>
      <c r="G2277" s="311">
        <v>7.7814790041509485E-2</v>
      </c>
      <c r="H2277" s="307"/>
    </row>
    <row r="2278" spans="1:8">
      <c r="A2278" s="313" t="s">
        <v>305</v>
      </c>
      <c r="B2278" s="312">
        <v>22493.215381000031</v>
      </c>
      <c r="C2278" s="311">
        <v>0.7185849066416381</v>
      </c>
      <c r="D2278" s="312">
        <v>8808.8829140000071</v>
      </c>
      <c r="E2278" s="311">
        <v>0.28141509335835968</v>
      </c>
      <c r="F2278" s="312">
        <v>31302.098295000105</v>
      </c>
      <c r="G2278" s="311">
        <v>0.12548549206929649</v>
      </c>
      <c r="H2278" s="307"/>
    </row>
    <row r="2279" spans="1:8" ht="28.5">
      <c r="A2279" s="313" t="s">
        <v>304</v>
      </c>
      <c r="B2279" s="312">
        <v>75359.377503998927</v>
      </c>
      <c r="C2279" s="311">
        <v>0.80762037688693855</v>
      </c>
      <c r="D2279" s="312">
        <v>17951.018890999974</v>
      </c>
      <c r="E2279" s="311">
        <v>0.19237962311305767</v>
      </c>
      <c r="F2279" s="312">
        <v>93310.396394999261</v>
      </c>
      <c r="G2279" s="311">
        <v>0.37406760711239251</v>
      </c>
      <c r="H2279" s="307"/>
    </row>
    <row r="2280" spans="1:8" ht="28.5">
      <c r="A2280" s="313" t="s">
        <v>303</v>
      </c>
      <c r="B2280" s="312">
        <v>52656.119697000817</v>
      </c>
      <c r="C2280" s="311">
        <v>0.78669742333789927</v>
      </c>
      <c r="D2280" s="312">
        <v>14277.008765000024</v>
      </c>
      <c r="E2280" s="311">
        <v>0.21330257666209795</v>
      </c>
      <c r="F2280" s="312">
        <v>66933.128462001026</v>
      </c>
      <c r="G2280" s="311">
        <v>0.26832503308997752</v>
      </c>
      <c r="H2280" s="307"/>
    </row>
    <row r="2281" spans="1:8" ht="15.75" thickBot="1">
      <c r="A2281" s="313" t="s">
        <v>302</v>
      </c>
      <c r="B2281" s="312">
        <v>2913.7916999999989</v>
      </c>
      <c r="C2281" s="311">
        <v>0.65302368366005081</v>
      </c>
      <c r="D2281" s="312">
        <v>1548.2083360000001</v>
      </c>
      <c r="E2281" s="311">
        <v>0.34697631633994908</v>
      </c>
      <c r="F2281" s="312">
        <v>4462.0000359999995</v>
      </c>
      <c r="G2281" s="311">
        <v>1.7887499580822482E-2</v>
      </c>
      <c r="H2281" s="307"/>
    </row>
    <row r="2282" spans="1:8" ht="15" customHeight="1">
      <c r="A2282" s="316" t="s">
        <v>4</v>
      </c>
      <c r="B2282" s="315">
        <v>167917.43585634767</v>
      </c>
      <c r="C2282" s="314">
        <v>0.76605958407953567</v>
      </c>
      <c r="D2282" s="315">
        <v>51278.87647503605</v>
      </c>
      <c r="E2282" s="314">
        <v>0.23394041592046513</v>
      </c>
      <c r="F2282" s="315">
        <v>219196.31233138355</v>
      </c>
      <c r="G2282" s="314">
        <v>1</v>
      </c>
      <c r="H2282" s="307"/>
    </row>
    <row r="2283" spans="1:8">
      <c r="A2283" s="313" t="s">
        <v>309</v>
      </c>
      <c r="B2283" s="312">
        <v>6502.2426980913724</v>
      </c>
      <c r="C2283" s="311">
        <v>0.90756632069688392</v>
      </c>
      <c r="D2283" s="312">
        <v>662.2394447657606</v>
      </c>
      <c r="E2283" s="311">
        <v>9.2433679303116453E-2</v>
      </c>
      <c r="F2283" s="312">
        <v>7164.4821428571304</v>
      </c>
      <c r="G2283" s="311">
        <v>3.2685231182291892E-2</v>
      </c>
      <c r="H2283" s="307"/>
    </row>
    <row r="2284" spans="1:8">
      <c r="A2284" s="313" t="s">
        <v>308</v>
      </c>
      <c r="B2284" s="312">
        <v>8141.6459303369411</v>
      </c>
      <c r="C2284" s="311">
        <v>0.85769077552324258</v>
      </c>
      <c r="D2284" s="312">
        <v>1350.873008519625</v>
      </c>
      <c r="E2284" s="311">
        <v>0.14230922447675926</v>
      </c>
      <c r="F2284" s="312">
        <v>9492.5189388565486</v>
      </c>
      <c r="G2284" s="311">
        <v>4.330601568016184E-2</v>
      </c>
      <c r="H2284" s="307"/>
    </row>
    <row r="2285" spans="1:8">
      <c r="A2285" s="313" t="s">
        <v>307</v>
      </c>
      <c r="B2285" s="312">
        <v>12332.41235787418</v>
      </c>
      <c r="C2285" s="311">
        <v>0.63443982676005761</v>
      </c>
      <c r="D2285" s="312">
        <v>7105.8571796059059</v>
      </c>
      <c r="E2285" s="311">
        <v>0.36556017323994161</v>
      </c>
      <c r="F2285" s="312">
        <v>19438.269537480101</v>
      </c>
      <c r="G2285" s="311">
        <v>8.867972882724913E-2</v>
      </c>
      <c r="H2285" s="307"/>
    </row>
    <row r="2286" spans="1:8">
      <c r="A2286" s="313" t="s">
        <v>306</v>
      </c>
      <c r="B2286" s="312">
        <v>12881.629654339558</v>
      </c>
      <c r="C2286" s="311">
        <v>0.70492308614331467</v>
      </c>
      <c r="D2286" s="312">
        <v>5392.1790881374782</v>
      </c>
      <c r="E2286" s="311">
        <v>0.29507691385668827</v>
      </c>
      <c r="F2286" s="312">
        <v>18273.808742476984</v>
      </c>
      <c r="G2286" s="311">
        <v>8.3367318309855609E-2</v>
      </c>
      <c r="H2286" s="307"/>
    </row>
    <row r="2287" spans="1:8">
      <c r="A2287" s="313" t="s">
        <v>305</v>
      </c>
      <c r="B2287" s="312">
        <v>20030.633711653911</v>
      </c>
      <c r="C2287" s="311">
        <v>0.7129568586383328</v>
      </c>
      <c r="D2287" s="312">
        <v>8064.5216528797118</v>
      </c>
      <c r="E2287" s="311">
        <v>0.28704314136166142</v>
      </c>
      <c r="F2287" s="312">
        <v>28095.155364533784</v>
      </c>
      <c r="G2287" s="311">
        <v>0.12817348551949725</v>
      </c>
      <c r="H2287" s="307"/>
    </row>
    <row r="2288" spans="1:8" ht="28.5">
      <c r="A2288" s="313" t="s">
        <v>304</v>
      </c>
      <c r="B2288" s="312">
        <v>58729.643657502151</v>
      </c>
      <c r="C2288" s="311">
        <v>0.77997689758128164</v>
      </c>
      <c r="D2288" s="312">
        <v>16567.001460608408</v>
      </c>
      <c r="E2288" s="311">
        <v>0.2200231024187265</v>
      </c>
      <c r="F2288" s="312">
        <v>75296.645118109955</v>
      </c>
      <c r="G2288" s="311">
        <v>0.34351237170575932</v>
      </c>
      <c r="H2288" s="307"/>
    </row>
    <row r="2289" spans="1:8" ht="28.5">
      <c r="A2289" s="313" t="s">
        <v>303</v>
      </c>
      <c r="B2289" s="312">
        <v>46414.184195755777</v>
      </c>
      <c r="C2289" s="311">
        <v>0.80324543675940174</v>
      </c>
      <c r="D2289" s="312">
        <v>11369.130930201631</v>
      </c>
      <c r="E2289" s="311">
        <v>0.19675456324059884</v>
      </c>
      <c r="F2289" s="312">
        <v>57783.315125957371</v>
      </c>
      <c r="G2289" s="311">
        <v>0.26361444912722748</v>
      </c>
      <c r="H2289" s="307"/>
    </row>
    <row r="2290" spans="1:8" ht="15.75" thickBot="1">
      <c r="A2290" s="313" t="s">
        <v>302</v>
      </c>
      <c r="B2290" s="312">
        <v>2885.0436507936502</v>
      </c>
      <c r="C2290" s="311">
        <v>0.78996466036784541</v>
      </c>
      <c r="D2290" s="312">
        <v>767.07371031746015</v>
      </c>
      <c r="E2290" s="311">
        <v>0.21003533963215454</v>
      </c>
      <c r="F2290" s="312">
        <v>3652.1173611111108</v>
      </c>
      <c r="G2290" s="311">
        <v>1.6661399647954829E-2</v>
      </c>
      <c r="H2290" s="307"/>
    </row>
    <row r="2291" spans="1:8" ht="15.75" customHeight="1">
      <c r="A2291" s="316" t="s">
        <v>3</v>
      </c>
      <c r="B2291" s="315">
        <v>107232.53373849159</v>
      </c>
      <c r="C2291" s="314">
        <v>0.73815513037582747</v>
      </c>
      <c r="D2291" s="315">
        <v>38038.465981979571</v>
      </c>
      <c r="E2291" s="314">
        <v>0.26184486962416875</v>
      </c>
      <c r="F2291" s="315">
        <v>145270.99972047171</v>
      </c>
      <c r="G2291" s="314">
        <v>1</v>
      </c>
      <c r="H2291" s="307"/>
    </row>
    <row r="2292" spans="1:8">
      <c r="A2292" s="313" t="s">
        <v>309</v>
      </c>
      <c r="B2292" s="312">
        <v>2585.0503862150931</v>
      </c>
      <c r="C2292" s="311">
        <v>0.91417587922381716</v>
      </c>
      <c r="D2292" s="312">
        <v>242.68817587641118</v>
      </c>
      <c r="E2292" s="311">
        <v>8.5824120776182969E-2</v>
      </c>
      <c r="F2292" s="312">
        <v>2827.7385620915038</v>
      </c>
      <c r="G2292" s="311">
        <v>1.9465265383542457E-2</v>
      </c>
      <c r="H2292" s="307"/>
    </row>
    <row r="2293" spans="1:8">
      <c r="A2293" s="313" t="s">
        <v>308</v>
      </c>
      <c r="B2293" s="312">
        <v>5929.1335700600757</v>
      </c>
      <c r="C2293" s="311">
        <v>0.80545508696312906</v>
      </c>
      <c r="D2293" s="312">
        <v>1432.0882609611517</v>
      </c>
      <c r="E2293" s="311">
        <v>0.1945449130368728</v>
      </c>
      <c r="F2293" s="312">
        <v>7361.2218310212138</v>
      </c>
      <c r="G2293" s="311">
        <v>5.0672342347650716E-2</v>
      </c>
      <c r="H2293" s="307"/>
    </row>
    <row r="2294" spans="1:8">
      <c r="A2294" s="313" t="s">
        <v>307</v>
      </c>
      <c r="B2294" s="312">
        <v>9276.2306134259252</v>
      </c>
      <c r="C2294" s="311">
        <v>0.589862794835462</v>
      </c>
      <c r="D2294" s="312">
        <v>6449.8512731481451</v>
      </c>
      <c r="E2294" s="311">
        <v>0.41013720516453711</v>
      </c>
      <c r="F2294" s="312">
        <v>15726.081886574084</v>
      </c>
      <c r="G2294" s="311">
        <v>0.10825341545686321</v>
      </c>
      <c r="H2294" s="307"/>
    </row>
    <row r="2295" spans="1:8">
      <c r="A2295" s="313" t="s">
        <v>306</v>
      </c>
      <c r="B2295" s="312">
        <v>8305.1610427903652</v>
      </c>
      <c r="C2295" s="311">
        <v>0.67293558281653898</v>
      </c>
      <c r="D2295" s="312">
        <v>4036.5270100683128</v>
      </c>
      <c r="E2295" s="311">
        <v>0.32706441718346169</v>
      </c>
      <c r="F2295" s="312">
        <v>12341.68805285867</v>
      </c>
      <c r="G2295" s="311">
        <v>8.4956309770059843E-2</v>
      </c>
      <c r="H2295" s="307"/>
    </row>
    <row r="2296" spans="1:8">
      <c r="A2296" s="313" t="s">
        <v>305</v>
      </c>
      <c r="B2296" s="312">
        <v>15561.703285556707</v>
      </c>
      <c r="C2296" s="311">
        <v>0.6777195369710417</v>
      </c>
      <c r="D2296" s="312">
        <v>7400.1598991866222</v>
      </c>
      <c r="E2296" s="311">
        <v>0.32228046302895513</v>
      </c>
      <c r="F2296" s="312">
        <v>22961.863184743401</v>
      </c>
      <c r="G2296" s="311">
        <v>0.15806226451890792</v>
      </c>
      <c r="H2296" s="307"/>
    </row>
    <row r="2297" spans="1:8" ht="28.5">
      <c r="A2297" s="313" t="s">
        <v>304</v>
      </c>
      <c r="B2297" s="312">
        <v>33934.673770098809</v>
      </c>
      <c r="C2297" s="311">
        <v>0.77985852144257306</v>
      </c>
      <c r="D2297" s="312">
        <v>9579.2109116084375</v>
      </c>
      <c r="E2297" s="311">
        <v>0.22014147855742791</v>
      </c>
      <c r="F2297" s="312">
        <v>43513.884681707204</v>
      </c>
      <c r="G2297" s="311">
        <v>0.29953593466993395</v>
      </c>
      <c r="H2297" s="307"/>
    </row>
    <row r="2298" spans="1:8" ht="28.5">
      <c r="A2298" s="313" t="s">
        <v>303</v>
      </c>
      <c r="B2298" s="312">
        <v>29556.197072667797</v>
      </c>
      <c r="C2298" s="311">
        <v>0.78431531637081076</v>
      </c>
      <c r="D2298" s="312">
        <v>8127.8777576318516</v>
      </c>
      <c r="E2298" s="311">
        <v>0.21568468362918852</v>
      </c>
      <c r="F2298" s="312">
        <v>37684.074830299673</v>
      </c>
      <c r="G2298" s="311">
        <v>0.25940535208548715</v>
      </c>
      <c r="H2298" s="307"/>
    </row>
    <row r="2299" spans="1:8" ht="15.75" thickBot="1">
      <c r="A2299" s="310" t="s">
        <v>302</v>
      </c>
      <c r="B2299" s="309">
        <v>2084.3839976780182</v>
      </c>
      <c r="C2299" s="308">
        <v>0.73022348048088137</v>
      </c>
      <c r="D2299" s="309">
        <v>770.06269349845195</v>
      </c>
      <c r="E2299" s="308">
        <v>0.2697765195191183</v>
      </c>
      <c r="F2299" s="309">
        <v>2854.4466911764712</v>
      </c>
      <c r="G2299" s="308">
        <v>1.9649115767558255E-2</v>
      </c>
      <c r="H2299" s="307"/>
    </row>
    <row r="2305" spans="1:20" ht="15.75" thickBot="1"/>
    <row r="2306" spans="1:20" ht="15" customHeight="1">
      <c r="A2306" s="752" t="s">
        <v>310</v>
      </c>
      <c r="B2306" s="763" t="s">
        <v>376</v>
      </c>
      <c r="C2306" s="764"/>
      <c r="D2306" s="764"/>
      <c r="E2306" s="764"/>
      <c r="F2306" s="764"/>
      <c r="G2306" s="764"/>
      <c r="H2306" s="764"/>
      <c r="I2306" s="764"/>
      <c r="J2306" s="764"/>
      <c r="K2306" s="764"/>
      <c r="L2306" s="764"/>
      <c r="M2306" s="764"/>
      <c r="N2306" s="764"/>
      <c r="O2306" s="764"/>
      <c r="P2306" s="764"/>
      <c r="Q2306" s="764"/>
      <c r="R2306" s="764"/>
      <c r="S2306" s="765"/>
      <c r="T2306" s="307"/>
    </row>
    <row r="2307" spans="1:20" ht="60.75" customHeight="1">
      <c r="A2307" s="753"/>
      <c r="B2307" s="758" t="s">
        <v>44</v>
      </c>
      <c r="C2307" s="759"/>
      <c r="D2307" s="760" t="s">
        <v>43</v>
      </c>
      <c r="E2307" s="759"/>
      <c r="F2307" s="760" t="s">
        <v>42</v>
      </c>
      <c r="G2307" s="759"/>
      <c r="H2307" s="760" t="s">
        <v>41</v>
      </c>
      <c r="I2307" s="759"/>
      <c r="J2307" s="760" t="s">
        <v>40</v>
      </c>
      <c r="K2307" s="759"/>
      <c r="L2307" s="760" t="s">
        <v>39</v>
      </c>
      <c r="M2307" s="759"/>
      <c r="N2307" s="760" t="s">
        <v>38</v>
      </c>
      <c r="O2307" s="759"/>
      <c r="P2307" s="760" t="s">
        <v>14</v>
      </c>
      <c r="Q2307" s="759"/>
      <c r="R2307" s="761" t="s">
        <v>9</v>
      </c>
      <c r="S2307" s="766"/>
      <c r="T2307" s="307"/>
    </row>
    <row r="2308" spans="1:20" ht="15.75" customHeight="1" thickBot="1">
      <c r="A2308" s="754"/>
      <c r="B2308" s="318" t="s">
        <v>7</v>
      </c>
      <c r="C2308" s="318" t="s">
        <v>8</v>
      </c>
      <c r="D2308" s="318" t="s">
        <v>7</v>
      </c>
      <c r="E2308" s="318" t="s">
        <v>8</v>
      </c>
      <c r="F2308" s="318" t="s">
        <v>7</v>
      </c>
      <c r="G2308" s="318" t="s">
        <v>8</v>
      </c>
      <c r="H2308" s="318" t="s">
        <v>7</v>
      </c>
      <c r="I2308" s="318" t="s">
        <v>8</v>
      </c>
      <c r="J2308" s="318" t="s">
        <v>7</v>
      </c>
      <c r="K2308" s="318" t="s">
        <v>8</v>
      </c>
      <c r="L2308" s="318" t="s">
        <v>7</v>
      </c>
      <c r="M2308" s="318" t="s">
        <v>8</v>
      </c>
      <c r="N2308" s="318" t="s">
        <v>7</v>
      </c>
      <c r="O2308" s="318" t="s">
        <v>8</v>
      </c>
      <c r="P2308" s="318" t="s">
        <v>7</v>
      </c>
      <c r="Q2308" s="318" t="s">
        <v>8</v>
      </c>
      <c r="R2308" s="318" t="s">
        <v>7</v>
      </c>
      <c r="S2308" s="318" t="s">
        <v>6</v>
      </c>
      <c r="T2308" s="307"/>
    </row>
    <row r="2309" spans="1:20" ht="15.75" customHeight="1">
      <c r="A2309" s="316" t="s">
        <v>5</v>
      </c>
      <c r="B2309" s="315">
        <v>70955.259864399588</v>
      </c>
      <c r="C2309" s="314">
        <v>0.36986589570463019</v>
      </c>
      <c r="D2309" s="315">
        <v>44288.255670299863</v>
      </c>
      <c r="E2309" s="314">
        <v>0.23085977535697569</v>
      </c>
      <c r="F2309" s="315">
        <v>4081.7353092999988</v>
      </c>
      <c r="G2309" s="314">
        <v>2.1276712805908832E-2</v>
      </c>
      <c r="H2309" s="315">
        <v>9491.7925034999989</v>
      </c>
      <c r="I2309" s="314">
        <v>4.94775206638478E-2</v>
      </c>
      <c r="J2309" s="315">
        <v>31252.444740600065</v>
      </c>
      <c r="K2309" s="314">
        <v>0.16290847907585651</v>
      </c>
      <c r="L2309" s="315">
        <v>14501.201650000001</v>
      </c>
      <c r="M2309" s="314">
        <v>7.5589885053211431E-2</v>
      </c>
      <c r="N2309" s="315">
        <v>11311.726927000009</v>
      </c>
      <c r="O2309" s="314">
        <v>5.8964226469138653E-2</v>
      </c>
      <c r="P2309" s="315">
        <v>5958.087389000003</v>
      </c>
      <c r="Q2309" s="314">
        <v>3.1057504870398017E-2</v>
      </c>
      <c r="R2309" s="315">
        <v>191840.50405410584</v>
      </c>
      <c r="S2309" s="314">
        <v>1</v>
      </c>
      <c r="T2309" s="307"/>
    </row>
    <row r="2310" spans="1:20">
      <c r="A2310" s="313" t="s">
        <v>309</v>
      </c>
      <c r="B2310" s="312">
        <v>1651.7931063999997</v>
      </c>
      <c r="C2310" s="311">
        <v>0.36095518138027155</v>
      </c>
      <c r="D2310" s="312">
        <v>670.2292238</v>
      </c>
      <c r="E2310" s="311">
        <v>0.14646066151126277</v>
      </c>
      <c r="F2310" s="312">
        <v>12.9797978</v>
      </c>
      <c r="G2310" s="311">
        <v>2.8363874694871715E-3</v>
      </c>
      <c r="H2310" s="312">
        <v>146.65108600000002</v>
      </c>
      <c r="I2310" s="311">
        <v>3.2046670458694332E-2</v>
      </c>
      <c r="J2310" s="312">
        <v>1205.8491586</v>
      </c>
      <c r="K2310" s="311">
        <v>0.26350606505940249</v>
      </c>
      <c r="L2310" s="312">
        <v>407.83753600000011</v>
      </c>
      <c r="M2310" s="311">
        <v>8.9121979750479904E-2</v>
      </c>
      <c r="N2310" s="312">
        <v>480.83240200000012</v>
      </c>
      <c r="O2310" s="311">
        <v>0.10507305437040157</v>
      </c>
      <c r="P2310" s="312">
        <v>0</v>
      </c>
      <c r="Q2310" s="311">
        <v>0</v>
      </c>
      <c r="R2310" s="312">
        <v>4576.1723106000009</v>
      </c>
      <c r="S2310" s="311">
        <v>2.3854046532891499E-2</v>
      </c>
      <c r="T2310" s="307"/>
    </row>
    <row r="2311" spans="1:20">
      <c r="A2311" s="313" t="s">
        <v>308</v>
      </c>
      <c r="B2311" s="312">
        <v>2855.1301570000051</v>
      </c>
      <c r="C2311" s="311">
        <v>0.38011380850941456</v>
      </c>
      <c r="D2311" s="312">
        <v>1895.7587780000006</v>
      </c>
      <c r="E2311" s="311">
        <v>0.25238922553285642</v>
      </c>
      <c r="F2311" s="312">
        <v>145.07929899999999</v>
      </c>
      <c r="G2311" s="311">
        <v>1.9314932015817729E-2</v>
      </c>
      <c r="H2311" s="312">
        <v>682.2970509999999</v>
      </c>
      <c r="I2311" s="311">
        <v>9.0836675152792964E-2</v>
      </c>
      <c r="J2311" s="312">
        <v>777.08113599999979</v>
      </c>
      <c r="K2311" s="311">
        <v>0.10345562334578422</v>
      </c>
      <c r="L2311" s="312">
        <v>602.82735999999989</v>
      </c>
      <c r="M2311" s="311">
        <v>8.0256587645042857E-2</v>
      </c>
      <c r="N2311" s="312">
        <v>339.51331399999998</v>
      </c>
      <c r="O2311" s="311">
        <v>4.520063595272112E-2</v>
      </c>
      <c r="P2311" s="312">
        <v>213.56372800000003</v>
      </c>
      <c r="Q2311" s="311">
        <v>2.8432511845570677E-2</v>
      </c>
      <c r="R2311" s="312">
        <v>7511.2508230000012</v>
      </c>
      <c r="S2311" s="311">
        <v>3.9153623266552515E-2</v>
      </c>
      <c r="T2311" s="307"/>
    </row>
    <row r="2312" spans="1:20">
      <c r="A2312" s="313" t="s">
        <v>307</v>
      </c>
      <c r="B2312" s="312">
        <v>4085.5474559999989</v>
      </c>
      <c r="C2312" s="311">
        <v>0.31608420752010741</v>
      </c>
      <c r="D2312" s="312">
        <v>3028.2937329999991</v>
      </c>
      <c r="E2312" s="311">
        <v>0.23428826492461446</v>
      </c>
      <c r="F2312" s="312">
        <v>573.19485399999996</v>
      </c>
      <c r="G2312" s="311">
        <v>4.4346037619785193E-2</v>
      </c>
      <c r="H2312" s="312">
        <v>368.04911599999997</v>
      </c>
      <c r="I2312" s="311">
        <v>2.8474644931241279E-2</v>
      </c>
      <c r="J2312" s="312">
        <v>2444.2890299999995</v>
      </c>
      <c r="K2312" s="311">
        <v>0.18910590791523096</v>
      </c>
      <c r="L2312" s="312">
        <v>904.65529599999991</v>
      </c>
      <c r="M2312" s="311">
        <v>6.9989947588318557E-2</v>
      </c>
      <c r="N2312" s="312">
        <v>669.72583499999996</v>
      </c>
      <c r="O2312" s="311">
        <v>5.181429467936579E-2</v>
      </c>
      <c r="P2312" s="312">
        <v>851.74794399999996</v>
      </c>
      <c r="Q2312" s="311">
        <v>6.5896694821336782E-2</v>
      </c>
      <c r="R2312" s="312">
        <v>12925.503263999992</v>
      </c>
      <c r="S2312" s="311">
        <v>6.7376299534505704E-2</v>
      </c>
      <c r="T2312" s="307"/>
    </row>
    <row r="2313" spans="1:20">
      <c r="A2313" s="313" t="s">
        <v>306</v>
      </c>
      <c r="B2313" s="312">
        <v>5519.7508470000002</v>
      </c>
      <c r="C2313" s="311">
        <v>0.41176580633270027</v>
      </c>
      <c r="D2313" s="312">
        <v>2824.8904964999997</v>
      </c>
      <c r="E2313" s="311">
        <v>0.21073293801387852</v>
      </c>
      <c r="F2313" s="312">
        <v>288.04128549999996</v>
      </c>
      <c r="G2313" s="311">
        <v>2.1487482944176267E-2</v>
      </c>
      <c r="H2313" s="312">
        <v>648.80126150000001</v>
      </c>
      <c r="I2313" s="311">
        <v>4.8399679984907226E-2</v>
      </c>
      <c r="J2313" s="312">
        <v>2048.056662</v>
      </c>
      <c r="K2313" s="311">
        <v>0.15278220452682845</v>
      </c>
      <c r="L2313" s="312">
        <v>983.88007800000014</v>
      </c>
      <c r="M2313" s="311">
        <v>7.3396097918538905E-2</v>
      </c>
      <c r="N2313" s="312">
        <v>773.56566400000008</v>
      </c>
      <c r="O2313" s="311">
        <v>5.7706932471666098E-2</v>
      </c>
      <c r="P2313" s="312">
        <v>318.08708000000001</v>
      </c>
      <c r="Q2313" s="311">
        <v>2.3728857807304965E-2</v>
      </c>
      <c r="R2313" s="312">
        <v>13405.073374499991</v>
      </c>
      <c r="S2313" s="311">
        <v>6.9876137161937829E-2</v>
      </c>
      <c r="T2313" s="307"/>
    </row>
    <row r="2314" spans="1:20">
      <c r="A2314" s="313" t="s">
        <v>305</v>
      </c>
      <c r="B2314" s="312">
        <v>8943.3530450000035</v>
      </c>
      <c r="C2314" s="311">
        <v>0.39760224999020971</v>
      </c>
      <c r="D2314" s="312">
        <v>5538.4808910000047</v>
      </c>
      <c r="E2314" s="311">
        <v>0.24622895380614845</v>
      </c>
      <c r="F2314" s="312">
        <v>168.57808900000001</v>
      </c>
      <c r="G2314" s="311">
        <v>7.4946194283275992E-3</v>
      </c>
      <c r="H2314" s="312">
        <v>1008.1042289999998</v>
      </c>
      <c r="I2314" s="311">
        <v>4.4818146802237224E-2</v>
      </c>
      <c r="J2314" s="312">
        <v>3790.0712859999976</v>
      </c>
      <c r="K2314" s="311">
        <v>0.16849842149297437</v>
      </c>
      <c r="L2314" s="312">
        <v>1262.0243780000001</v>
      </c>
      <c r="M2314" s="311">
        <v>5.6106890750089435E-2</v>
      </c>
      <c r="N2314" s="312">
        <v>793.6958699999999</v>
      </c>
      <c r="O2314" s="311">
        <v>3.5286012095470928E-2</v>
      </c>
      <c r="P2314" s="312">
        <v>988.90759300000002</v>
      </c>
      <c r="Q2314" s="311">
        <v>4.3964705634541162E-2</v>
      </c>
      <c r="R2314" s="312">
        <v>22493.215381000031</v>
      </c>
      <c r="S2314" s="311">
        <v>0.11724956359922899</v>
      </c>
      <c r="T2314" s="307"/>
    </row>
    <row r="2315" spans="1:20" ht="28.5">
      <c r="A2315" s="313" t="s">
        <v>304</v>
      </c>
      <c r="B2315" s="312">
        <v>28344.50886500004</v>
      </c>
      <c r="C2315" s="311">
        <v>0.37612450903666167</v>
      </c>
      <c r="D2315" s="312">
        <v>16154.413238999976</v>
      </c>
      <c r="E2315" s="311">
        <v>0.21436500372024367</v>
      </c>
      <c r="F2315" s="312">
        <v>2013.5197579999988</v>
      </c>
      <c r="G2315" s="311">
        <v>2.6718901146617777E-2</v>
      </c>
      <c r="H2315" s="312">
        <v>3702.5990510000001</v>
      </c>
      <c r="I2315" s="311">
        <v>4.9132558861749123E-2</v>
      </c>
      <c r="J2315" s="312">
        <v>12128.288392999983</v>
      </c>
      <c r="K2315" s="311">
        <v>0.16093933886803136</v>
      </c>
      <c r="L2315" s="312">
        <v>5713.0421630000146</v>
      </c>
      <c r="M2315" s="311">
        <v>7.5810633689176288E-2</v>
      </c>
      <c r="N2315" s="312">
        <v>5707.160509000013</v>
      </c>
      <c r="O2315" s="311">
        <v>7.5732585618785986E-2</v>
      </c>
      <c r="P2315" s="312">
        <v>1595.8455259999996</v>
      </c>
      <c r="Q2315" s="311">
        <v>2.1176469058748749E-2</v>
      </c>
      <c r="R2315" s="312">
        <v>75359.377503998927</v>
      </c>
      <c r="S2315" s="311">
        <v>0.39282307912798697</v>
      </c>
      <c r="T2315" s="307"/>
    </row>
    <row r="2316" spans="1:20" ht="28.5">
      <c r="A2316" s="313" t="s">
        <v>303</v>
      </c>
      <c r="B2316" s="312">
        <v>18533.934708000044</v>
      </c>
      <c r="C2316" s="311">
        <v>0.35198063994555412</v>
      </c>
      <c r="D2316" s="312">
        <v>13311.880969000033</v>
      </c>
      <c r="E2316" s="311">
        <v>0.25280786061716298</v>
      </c>
      <c r="F2316" s="312">
        <v>880.34222599999964</v>
      </c>
      <c r="G2316" s="311">
        <v>1.6718706791646519E-2</v>
      </c>
      <c r="H2316" s="312">
        <v>2812.8907089999975</v>
      </c>
      <c r="I2316" s="311">
        <v>5.3420015093900174E-2</v>
      </c>
      <c r="J2316" s="312">
        <v>8021.2340650000069</v>
      </c>
      <c r="K2316" s="311">
        <v>0.15233241855185314</v>
      </c>
      <c r="L2316" s="312">
        <v>4626.9348390000005</v>
      </c>
      <c r="M2316" s="311">
        <v>8.787079005488399E-2</v>
      </c>
      <c r="N2316" s="312">
        <v>2478.9666629999997</v>
      </c>
      <c r="O2316" s="311">
        <v>4.7078415144616068E-2</v>
      </c>
      <c r="P2316" s="312">
        <v>1989.9355180000002</v>
      </c>
      <c r="Q2316" s="311">
        <v>3.7791153800369057E-2</v>
      </c>
      <c r="R2316" s="312">
        <v>52656.119697000817</v>
      </c>
      <c r="S2316" s="311">
        <v>0.27447863503397552</v>
      </c>
      <c r="T2316" s="307"/>
    </row>
    <row r="2317" spans="1:20" ht="15.75" thickBot="1">
      <c r="A2317" s="313" t="s">
        <v>302</v>
      </c>
      <c r="B2317" s="312">
        <v>1021.2416799999997</v>
      </c>
      <c r="C2317" s="311">
        <v>0.35048547910957401</v>
      </c>
      <c r="D2317" s="312">
        <v>864.30833999999982</v>
      </c>
      <c r="E2317" s="311">
        <v>0.29662667375982993</v>
      </c>
      <c r="F2317" s="312">
        <v>0</v>
      </c>
      <c r="G2317" s="311">
        <v>0</v>
      </c>
      <c r="H2317" s="312">
        <v>122.4</v>
      </c>
      <c r="I2317" s="311">
        <v>4.2007120824731584E-2</v>
      </c>
      <c r="J2317" s="312">
        <v>837.57500999999979</v>
      </c>
      <c r="K2317" s="311">
        <v>0.28745191703305356</v>
      </c>
      <c r="L2317" s="312">
        <v>0</v>
      </c>
      <c r="M2317" s="311">
        <v>0</v>
      </c>
      <c r="N2317" s="312">
        <v>68.266670000000005</v>
      </c>
      <c r="O2317" s="311">
        <v>2.3428809272811105E-2</v>
      </c>
      <c r="P2317" s="312">
        <v>0</v>
      </c>
      <c r="Q2317" s="311">
        <v>0</v>
      </c>
      <c r="R2317" s="312">
        <v>2913.7916999999989</v>
      </c>
      <c r="S2317" s="311">
        <v>1.5188615742889241E-2</v>
      </c>
      <c r="T2317" s="307"/>
    </row>
    <row r="2318" spans="1:20" ht="15" customHeight="1">
      <c r="A2318" s="316" t="s">
        <v>4</v>
      </c>
      <c r="B2318" s="315">
        <v>61116.562441239272</v>
      </c>
      <c r="C2318" s="314">
        <v>0.36396793536988092</v>
      </c>
      <c r="D2318" s="315">
        <v>48967.957805886916</v>
      </c>
      <c r="E2318" s="314">
        <v>0.29161925654807347</v>
      </c>
      <c r="F2318" s="315">
        <v>3049.6137259938059</v>
      </c>
      <c r="G2318" s="314">
        <v>1.8161388127691108E-2</v>
      </c>
      <c r="H2318" s="315">
        <v>8948.0046149637565</v>
      </c>
      <c r="I2318" s="314">
        <v>5.3288120851361261E-2</v>
      </c>
      <c r="J2318" s="315">
        <v>22781.640146247635</v>
      </c>
      <c r="K2318" s="314">
        <v>0.13567167715529665</v>
      </c>
      <c r="L2318" s="315">
        <v>11838.234588410174</v>
      </c>
      <c r="M2318" s="314">
        <v>7.0500329689036648E-2</v>
      </c>
      <c r="N2318" s="315">
        <v>5886.1781783502456</v>
      </c>
      <c r="O2318" s="314">
        <v>3.505400227398562E-2</v>
      </c>
      <c r="P2318" s="315">
        <v>5329.2443552559671</v>
      </c>
      <c r="Q2318" s="314">
        <v>3.1737289984674982E-2</v>
      </c>
      <c r="R2318" s="315">
        <v>167917.43585634767</v>
      </c>
      <c r="S2318" s="314">
        <v>1</v>
      </c>
      <c r="T2318" s="307"/>
    </row>
    <row r="2319" spans="1:20">
      <c r="A2319" s="313" t="s">
        <v>309</v>
      </c>
      <c r="B2319" s="312">
        <v>1816.6807403123196</v>
      </c>
      <c r="C2319" s="311">
        <v>0.27939294558254135</v>
      </c>
      <c r="D2319" s="312">
        <v>1809.6093117408911</v>
      </c>
      <c r="E2319" s="311">
        <v>0.27830540872798742</v>
      </c>
      <c r="F2319" s="312">
        <v>239.03571428571431</v>
      </c>
      <c r="G2319" s="311">
        <v>3.6762041250148869E-2</v>
      </c>
      <c r="H2319" s="312">
        <v>281.62312030075191</v>
      </c>
      <c r="I2319" s="311">
        <v>4.3311690039410218E-2</v>
      </c>
      <c r="J2319" s="312">
        <v>942.61444476576025</v>
      </c>
      <c r="K2319" s="311">
        <v>0.1449675886509818</v>
      </c>
      <c r="L2319" s="312">
        <v>639.98713128976294</v>
      </c>
      <c r="M2319" s="311">
        <v>9.8425598828788846E-2</v>
      </c>
      <c r="N2319" s="312">
        <v>601.64827935222672</v>
      </c>
      <c r="O2319" s="311">
        <v>9.2529348301445408E-2</v>
      </c>
      <c r="P2319" s="312">
        <v>171.04395604395606</v>
      </c>
      <c r="Q2319" s="311">
        <v>2.6305378618697705E-2</v>
      </c>
      <c r="R2319" s="312">
        <v>6502.2426980913724</v>
      </c>
      <c r="S2319" s="311">
        <v>3.8722856056794493E-2</v>
      </c>
      <c r="T2319" s="307"/>
    </row>
    <row r="2320" spans="1:20">
      <c r="A2320" s="313" t="s">
        <v>308</v>
      </c>
      <c r="B2320" s="312">
        <v>2654.896841818435</v>
      </c>
      <c r="C2320" s="311">
        <v>0.32608846718891427</v>
      </c>
      <c r="D2320" s="312">
        <v>1828.6749873285987</v>
      </c>
      <c r="E2320" s="311">
        <v>0.22460753058723582</v>
      </c>
      <c r="F2320" s="312">
        <v>108.51577006393883</v>
      </c>
      <c r="G2320" s="311">
        <v>1.3328480628172924E-2</v>
      </c>
      <c r="H2320" s="312">
        <v>953.00602054963053</v>
      </c>
      <c r="I2320" s="311">
        <v>0.11705323821545634</v>
      </c>
      <c r="J2320" s="312">
        <v>944.08837510759099</v>
      </c>
      <c r="K2320" s="311">
        <v>0.11595792585253335</v>
      </c>
      <c r="L2320" s="312">
        <v>839.3283174271528</v>
      </c>
      <c r="M2320" s="311">
        <v>0.10309074167665472</v>
      </c>
      <c r="N2320" s="312">
        <v>273.06346525624826</v>
      </c>
      <c r="O2320" s="311">
        <v>3.3539098554848053E-2</v>
      </c>
      <c r="P2320" s="312">
        <v>540.07215278535728</v>
      </c>
      <c r="Q2320" s="311">
        <v>6.6334517296185891E-2</v>
      </c>
      <c r="R2320" s="312">
        <v>8141.6459303369411</v>
      </c>
      <c r="S2320" s="311">
        <v>4.8486006761692506E-2</v>
      </c>
      <c r="T2320" s="307"/>
    </row>
    <row r="2321" spans="1:20">
      <c r="A2321" s="313" t="s">
        <v>307</v>
      </c>
      <c r="B2321" s="312">
        <v>4829.3347224365916</v>
      </c>
      <c r="C2321" s="311">
        <v>0.39159692218311909</v>
      </c>
      <c r="D2321" s="312">
        <v>2684.1822812162372</v>
      </c>
      <c r="E2321" s="311">
        <v>0.21765265410561796</v>
      </c>
      <c r="F2321" s="312">
        <v>270.71873231465759</v>
      </c>
      <c r="G2321" s="311">
        <v>2.1951806707290737E-2</v>
      </c>
      <c r="H2321" s="312">
        <v>270.71873231465759</v>
      </c>
      <c r="I2321" s="311">
        <v>2.1951806707290737E-2</v>
      </c>
      <c r="J2321" s="312">
        <v>2332.4974018624271</v>
      </c>
      <c r="K2321" s="311">
        <v>0.18913553440930311</v>
      </c>
      <c r="L2321" s="312">
        <v>537.79950609661978</v>
      </c>
      <c r="M2321" s="311">
        <v>4.3608621775709414E-2</v>
      </c>
      <c r="N2321" s="312">
        <v>296.88722539486548</v>
      </c>
      <c r="O2321" s="311">
        <v>2.4073734868693762E-2</v>
      </c>
      <c r="P2321" s="312">
        <v>1110.2737562381024</v>
      </c>
      <c r="Q2321" s="311">
        <v>9.0028919242973446E-2</v>
      </c>
      <c r="R2321" s="312">
        <v>12332.41235787418</v>
      </c>
      <c r="S2321" s="311">
        <v>7.3443310368462772E-2</v>
      </c>
      <c r="T2321" s="307"/>
    </row>
    <row r="2322" spans="1:20">
      <c r="A2322" s="313" t="s">
        <v>306</v>
      </c>
      <c r="B2322" s="312">
        <v>5676.8203793158109</v>
      </c>
      <c r="C2322" s="311">
        <v>0.44069116498807326</v>
      </c>
      <c r="D2322" s="312">
        <v>3446.9345205099789</v>
      </c>
      <c r="E2322" s="311">
        <v>0.26758528330681958</v>
      </c>
      <c r="F2322" s="312">
        <v>257.43166376306618</v>
      </c>
      <c r="G2322" s="311">
        <v>1.998440187079456E-2</v>
      </c>
      <c r="H2322" s="312">
        <v>299.00691518847009</v>
      </c>
      <c r="I2322" s="311">
        <v>2.3211885701724139E-2</v>
      </c>
      <c r="J2322" s="312">
        <v>1876.6781160912253</v>
      </c>
      <c r="K2322" s="311">
        <v>0.14568638956787666</v>
      </c>
      <c r="L2322" s="312">
        <v>724.06252375673103</v>
      </c>
      <c r="M2322" s="311">
        <v>5.6208922565384352E-2</v>
      </c>
      <c r="N2322" s="312">
        <v>257.98303571428573</v>
      </c>
      <c r="O2322" s="311">
        <v>2.0027204836414195E-2</v>
      </c>
      <c r="P2322" s="312">
        <v>342.71250000000003</v>
      </c>
      <c r="Q2322" s="311">
        <v>2.6604747162914066E-2</v>
      </c>
      <c r="R2322" s="312">
        <v>12881.629654339558</v>
      </c>
      <c r="S2322" s="311">
        <v>7.6714068367264215E-2</v>
      </c>
      <c r="T2322" s="307"/>
    </row>
    <row r="2323" spans="1:20">
      <c r="A2323" s="313" t="s">
        <v>305</v>
      </c>
      <c r="B2323" s="312">
        <v>6903.7649319688571</v>
      </c>
      <c r="C2323" s="311">
        <v>0.344660335331888</v>
      </c>
      <c r="D2323" s="312">
        <v>5738.1495984062885</v>
      </c>
      <c r="E2323" s="311">
        <v>0.28646869994271862</v>
      </c>
      <c r="F2323" s="312">
        <v>391.51615453018474</v>
      </c>
      <c r="G2323" s="311">
        <v>1.9545869599841913E-2</v>
      </c>
      <c r="H2323" s="312">
        <v>1248.9593855682679</v>
      </c>
      <c r="I2323" s="311">
        <v>6.2352464906870013E-2</v>
      </c>
      <c r="J2323" s="312">
        <v>2578.5366192996362</v>
      </c>
      <c r="K2323" s="311">
        <v>0.12872965760436386</v>
      </c>
      <c r="L2323" s="312">
        <v>1560.8094734366839</v>
      </c>
      <c r="M2323" s="311">
        <v>7.7921123011130605E-2</v>
      </c>
      <c r="N2323" s="312">
        <v>307.745192763521</v>
      </c>
      <c r="O2323" s="311">
        <v>1.5363727238668114E-2</v>
      </c>
      <c r="P2323" s="312">
        <v>1301.1523556804159</v>
      </c>
      <c r="Q2323" s="311">
        <v>6.4958122364516091E-2</v>
      </c>
      <c r="R2323" s="312">
        <v>20030.633711653911</v>
      </c>
      <c r="S2323" s="311">
        <v>0.1192885873316336</v>
      </c>
      <c r="T2323" s="307"/>
    </row>
    <row r="2324" spans="1:20" ht="28.5">
      <c r="A2324" s="313" t="s">
        <v>304</v>
      </c>
      <c r="B2324" s="312">
        <v>20215.687520256572</v>
      </c>
      <c r="C2324" s="311">
        <v>0.34421607660604647</v>
      </c>
      <c r="D2324" s="312">
        <v>18049.27032685174</v>
      </c>
      <c r="E2324" s="311">
        <v>0.30732810898889418</v>
      </c>
      <c r="F2324" s="312">
        <v>1041.0947361293377</v>
      </c>
      <c r="G2324" s="311">
        <v>1.772690367748124E-2</v>
      </c>
      <c r="H2324" s="312">
        <v>3097.6353693873157</v>
      </c>
      <c r="I2324" s="311">
        <v>5.274398372740037E-2</v>
      </c>
      <c r="J2324" s="312">
        <v>8245.8546976334164</v>
      </c>
      <c r="K2324" s="311">
        <v>0.14040362215921751</v>
      </c>
      <c r="L2324" s="312">
        <v>4615.9609700510027</v>
      </c>
      <c r="M2324" s="311">
        <v>7.859678149879866E-2</v>
      </c>
      <c r="N2324" s="312">
        <v>2425.7746194385036</v>
      </c>
      <c r="O2324" s="311">
        <v>4.1304092249989911E-2</v>
      </c>
      <c r="P2324" s="312">
        <v>1038.3654177544333</v>
      </c>
      <c r="Q2324" s="311">
        <v>1.7680431092174556E-2</v>
      </c>
      <c r="R2324" s="312">
        <v>58729.643657502151</v>
      </c>
      <c r="S2324" s="311">
        <v>0.34975309953961542</v>
      </c>
      <c r="T2324" s="307"/>
    </row>
    <row r="2325" spans="1:20" ht="28.5">
      <c r="A2325" s="313" t="s">
        <v>303</v>
      </c>
      <c r="B2325" s="312">
        <v>18101.03702735293</v>
      </c>
      <c r="C2325" s="311">
        <v>0.3899893392720265</v>
      </c>
      <c r="D2325" s="312">
        <v>14363.300867134745</v>
      </c>
      <c r="E2325" s="311">
        <v>0.30945929818687107</v>
      </c>
      <c r="F2325" s="312">
        <v>675.10095490690674</v>
      </c>
      <c r="G2325" s="311">
        <v>1.4545143184238916E-2</v>
      </c>
      <c r="H2325" s="312">
        <v>2777.6265002261057</v>
      </c>
      <c r="I2325" s="311">
        <v>5.9844346041098756E-2</v>
      </c>
      <c r="J2325" s="312">
        <v>5505.401741487497</v>
      </c>
      <c r="K2325" s="311">
        <v>0.11861463983225465</v>
      </c>
      <c r="L2325" s="312">
        <v>2854.0866663522306</v>
      </c>
      <c r="M2325" s="311">
        <v>6.1491690865768028E-2</v>
      </c>
      <c r="N2325" s="312">
        <v>1379.5999715417129</v>
      </c>
      <c r="O2325" s="311">
        <v>2.9723671663022935E-2</v>
      </c>
      <c r="P2325" s="312">
        <v>758.03046675370399</v>
      </c>
      <c r="Q2325" s="311">
        <v>1.633187095472035E-2</v>
      </c>
      <c r="R2325" s="312">
        <v>46414.184195755777</v>
      </c>
      <c r="S2325" s="311">
        <v>0.27641074888412914</v>
      </c>
      <c r="T2325" s="307"/>
    </row>
    <row r="2326" spans="1:20" ht="15.75" thickBot="1">
      <c r="A2326" s="313" t="s">
        <v>302</v>
      </c>
      <c r="B2326" s="312">
        <v>918.34027777777794</v>
      </c>
      <c r="C2326" s="311">
        <v>0.31831070477049822</v>
      </c>
      <c r="D2326" s="312">
        <v>1047.8359126984128</v>
      </c>
      <c r="E2326" s="311">
        <v>0.36319586097429146</v>
      </c>
      <c r="F2326" s="312">
        <v>66.2</v>
      </c>
      <c r="G2326" s="311">
        <v>2.2945926652371086E-2</v>
      </c>
      <c r="H2326" s="312">
        <v>19.428571428571431</v>
      </c>
      <c r="I2326" s="311">
        <v>6.7342382924524555E-3</v>
      </c>
      <c r="J2326" s="312">
        <v>355.96875</v>
      </c>
      <c r="K2326" s="311">
        <v>0.12338418169239004</v>
      </c>
      <c r="L2326" s="312">
        <v>66.2</v>
      </c>
      <c r="M2326" s="311">
        <v>2.2945926652371086E-2</v>
      </c>
      <c r="N2326" s="312">
        <v>343.47638888888889</v>
      </c>
      <c r="O2326" s="311">
        <v>0.11905413936957299</v>
      </c>
      <c r="P2326" s="312">
        <v>67.59375</v>
      </c>
      <c r="Q2326" s="311">
        <v>2.3429021596052993E-2</v>
      </c>
      <c r="R2326" s="312">
        <v>2885.0436507936502</v>
      </c>
      <c r="S2326" s="311">
        <v>1.718132269040713E-2</v>
      </c>
      <c r="T2326" s="307"/>
    </row>
    <row r="2327" spans="1:20" ht="15.75" customHeight="1">
      <c r="A2327" s="316" t="s">
        <v>3</v>
      </c>
      <c r="B2327" s="315">
        <v>37125.349100981235</v>
      </c>
      <c r="C2327" s="314">
        <v>0.34621348397417306</v>
      </c>
      <c r="D2327" s="315">
        <v>32010.837989950993</v>
      </c>
      <c r="E2327" s="314">
        <v>0.29851796720588503</v>
      </c>
      <c r="F2327" s="315">
        <v>2455.3716997822203</v>
      </c>
      <c r="G2327" s="314">
        <v>2.2897637630853201E-2</v>
      </c>
      <c r="H2327" s="315">
        <v>7771.3627387080323</v>
      </c>
      <c r="I2327" s="314">
        <v>7.2472061115893105E-2</v>
      </c>
      <c r="J2327" s="315">
        <v>12113.088962005908</v>
      </c>
      <c r="K2327" s="314">
        <v>0.11296095074603148</v>
      </c>
      <c r="L2327" s="315">
        <v>9362.8497283503621</v>
      </c>
      <c r="M2327" s="314">
        <v>8.7313517660447898E-2</v>
      </c>
      <c r="N2327" s="315">
        <v>3326.3347584684129</v>
      </c>
      <c r="O2327" s="314">
        <v>3.1019828054985245E-2</v>
      </c>
      <c r="P2327" s="315">
        <v>3067.3387602456032</v>
      </c>
      <c r="Q2327" s="314">
        <v>2.8604553611741888E-2</v>
      </c>
      <c r="R2327" s="315">
        <v>107232.53373849159</v>
      </c>
      <c r="S2327" s="314">
        <v>1</v>
      </c>
      <c r="T2327" s="307"/>
    </row>
    <row r="2328" spans="1:20">
      <c r="A2328" s="313" t="s">
        <v>309</v>
      </c>
      <c r="B2328" s="312">
        <v>912.00843731431985</v>
      </c>
      <c r="C2328" s="311">
        <v>0.35280102940261793</v>
      </c>
      <c r="D2328" s="312">
        <v>582.05276292335134</v>
      </c>
      <c r="E2328" s="311">
        <v>0.22516109009989749</v>
      </c>
      <c r="F2328" s="312">
        <v>23.411764705882351</v>
      </c>
      <c r="G2328" s="311">
        <v>9.0565989857399783E-3</v>
      </c>
      <c r="H2328" s="312">
        <v>292.24373143196669</v>
      </c>
      <c r="I2328" s="311">
        <v>0.11305146429267708</v>
      </c>
      <c r="J2328" s="312">
        <v>440.15210932857991</v>
      </c>
      <c r="K2328" s="311">
        <v>0.17026829019492712</v>
      </c>
      <c r="L2328" s="312">
        <v>201.04171122994651</v>
      </c>
      <c r="M2328" s="311">
        <v>7.7770906246938637E-2</v>
      </c>
      <c r="N2328" s="312">
        <v>71.261437908496731</v>
      </c>
      <c r="O2328" s="311">
        <v>2.7566750067426857E-2</v>
      </c>
      <c r="P2328" s="312">
        <v>62.878431372549016</v>
      </c>
      <c r="Q2328" s="311">
        <v>2.4323870709774677E-2</v>
      </c>
      <c r="R2328" s="312">
        <v>2585.0503862150931</v>
      </c>
      <c r="S2328" s="311">
        <v>2.4106959857157398E-2</v>
      </c>
      <c r="T2328" s="307"/>
    </row>
    <row r="2329" spans="1:20">
      <c r="A2329" s="313" t="s">
        <v>308</v>
      </c>
      <c r="B2329" s="312">
        <v>2231.7366214277868</v>
      </c>
      <c r="C2329" s="311">
        <v>0.37640181234864206</v>
      </c>
      <c r="D2329" s="312">
        <v>1734.2875076484829</v>
      </c>
      <c r="E2329" s="311">
        <v>0.29250268815092839</v>
      </c>
      <c r="F2329" s="312">
        <v>81.529826567562424</v>
      </c>
      <c r="G2329" s="311">
        <v>1.3750715109414603E-2</v>
      </c>
      <c r="H2329" s="312">
        <v>481.21549155908627</v>
      </c>
      <c r="I2329" s="311">
        <v>8.1161182468387272E-2</v>
      </c>
      <c r="J2329" s="312">
        <v>464.06750223185173</v>
      </c>
      <c r="K2329" s="311">
        <v>7.8269024765308115E-2</v>
      </c>
      <c r="L2329" s="312">
        <v>499.32155216514678</v>
      </c>
      <c r="M2329" s="311">
        <v>8.4214927234315534E-2</v>
      </c>
      <c r="N2329" s="312">
        <v>210.03182771107302</v>
      </c>
      <c r="O2329" s="311">
        <v>3.5423696435454885E-2</v>
      </c>
      <c r="P2329" s="312">
        <v>226.94324074909972</v>
      </c>
      <c r="Q2329" s="311">
        <v>3.8275953487551514E-2</v>
      </c>
      <c r="R2329" s="312">
        <v>5929.1335700600757</v>
      </c>
      <c r="S2329" s="311">
        <v>5.5292301350628133E-2</v>
      </c>
      <c r="T2329" s="307"/>
    </row>
    <row r="2330" spans="1:20">
      <c r="A2330" s="313" t="s">
        <v>307</v>
      </c>
      <c r="B2330" s="312">
        <v>3069.8289930555561</v>
      </c>
      <c r="C2330" s="311">
        <v>0.33093495849622884</v>
      </c>
      <c r="D2330" s="312">
        <v>2562.5882523148148</v>
      </c>
      <c r="E2330" s="311">
        <v>0.27625318506052016</v>
      </c>
      <c r="F2330" s="312">
        <v>672.50810185185173</v>
      </c>
      <c r="G2330" s="311">
        <v>7.2497992975562628E-2</v>
      </c>
      <c r="H2330" s="312">
        <v>191.328125</v>
      </c>
      <c r="I2330" s="311">
        <v>2.0625632649007429E-2</v>
      </c>
      <c r="J2330" s="312">
        <v>1318.955439814815</v>
      </c>
      <c r="K2330" s="311">
        <v>0.14218657284197189</v>
      </c>
      <c r="L2330" s="312">
        <v>887.0373263888888</v>
      </c>
      <c r="M2330" s="311">
        <v>9.5624760029686839E-2</v>
      </c>
      <c r="N2330" s="312">
        <v>191.328125</v>
      </c>
      <c r="O2330" s="311">
        <v>2.0625632649007429E-2</v>
      </c>
      <c r="P2330" s="312">
        <v>382.65625</v>
      </c>
      <c r="Q2330" s="311">
        <v>4.1251265298014858E-2</v>
      </c>
      <c r="R2330" s="312">
        <v>9276.2306134259252</v>
      </c>
      <c r="S2330" s="311">
        <v>8.650574867556432E-2</v>
      </c>
      <c r="T2330" s="307"/>
    </row>
    <row r="2331" spans="1:20">
      <c r="A2331" s="313" t="s">
        <v>306</v>
      </c>
      <c r="B2331" s="312">
        <v>3165.4031679252021</v>
      </c>
      <c r="C2331" s="311">
        <v>0.38113688002149693</v>
      </c>
      <c r="D2331" s="312">
        <v>3012.8674181948895</v>
      </c>
      <c r="E2331" s="311">
        <v>0.36277049929216387</v>
      </c>
      <c r="F2331" s="312">
        <v>153.77043689320388</v>
      </c>
      <c r="G2331" s="311">
        <v>1.8515045777070221E-2</v>
      </c>
      <c r="H2331" s="312">
        <v>668.28132506292718</v>
      </c>
      <c r="I2331" s="311">
        <v>8.0465787673443867E-2</v>
      </c>
      <c r="J2331" s="312">
        <v>513.1690219345561</v>
      </c>
      <c r="K2331" s="311">
        <v>6.1789171731959788E-2</v>
      </c>
      <c r="L2331" s="312">
        <v>338.61934016540818</v>
      </c>
      <c r="M2331" s="311">
        <v>4.0772158230376582E-2</v>
      </c>
      <c r="N2331" s="312">
        <v>119.46932578209277</v>
      </c>
      <c r="O2331" s="311">
        <v>1.4384949932524548E-2</v>
      </c>
      <c r="P2331" s="312">
        <v>333.58100683207476</v>
      </c>
      <c r="Q2331" s="311">
        <v>4.016550734096281E-2</v>
      </c>
      <c r="R2331" s="312">
        <v>8305.1610427903652</v>
      </c>
      <c r="S2331" s="311">
        <v>7.7450012167428542E-2</v>
      </c>
      <c r="T2331" s="307"/>
    </row>
    <row r="2332" spans="1:20">
      <c r="A2332" s="313" t="s">
        <v>305</v>
      </c>
      <c r="B2332" s="312">
        <v>5172.8939361979474</v>
      </c>
      <c r="C2332" s="311">
        <v>0.33241180873812631</v>
      </c>
      <c r="D2332" s="312">
        <v>4558.5282988829003</v>
      </c>
      <c r="E2332" s="311">
        <v>0.29293247758513746</v>
      </c>
      <c r="F2332" s="312">
        <v>172.33874070692579</v>
      </c>
      <c r="G2332" s="311">
        <v>1.1074542262149328E-2</v>
      </c>
      <c r="H2332" s="312">
        <v>1507.8002692298519</v>
      </c>
      <c r="I2332" s="311">
        <v>9.689172461148822E-2</v>
      </c>
      <c r="J2332" s="312">
        <v>1774.7766186236584</v>
      </c>
      <c r="K2332" s="311">
        <v>0.1140477096919643</v>
      </c>
      <c r="L2332" s="312">
        <v>1645.9704262912076</v>
      </c>
      <c r="M2332" s="311">
        <v>0.10577058282680939</v>
      </c>
      <c r="N2332" s="312">
        <v>204.44079464988198</v>
      </c>
      <c r="O2332" s="311">
        <v>1.3137430453363659E-2</v>
      </c>
      <c r="P2332" s="312">
        <v>524.95420097443161</v>
      </c>
      <c r="Q2332" s="311">
        <v>3.3733723830967635E-2</v>
      </c>
      <c r="R2332" s="312">
        <v>15561.703285556707</v>
      </c>
      <c r="S2332" s="311">
        <v>0.14512110031370792</v>
      </c>
      <c r="T2332" s="307"/>
    </row>
    <row r="2333" spans="1:20" ht="28.5">
      <c r="A2333" s="313" t="s">
        <v>304</v>
      </c>
      <c r="B2333" s="312">
        <v>11397.538295090882</v>
      </c>
      <c r="C2333" s="311">
        <v>0.33586703594992884</v>
      </c>
      <c r="D2333" s="312">
        <v>10174.099136448813</v>
      </c>
      <c r="E2333" s="311">
        <v>0.29981426093489122</v>
      </c>
      <c r="F2333" s="312">
        <v>894.53008174481386</v>
      </c>
      <c r="G2333" s="311">
        <v>2.6360356012410525E-2</v>
      </c>
      <c r="H2333" s="312">
        <v>2254.4635345514066</v>
      </c>
      <c r="I2333" s="311">
        <v>6.6435397311463293E-2</v>
      </c>
      <c r="J2333" s="312">
        <v>4334.1978727909982</v>
      </c>
      <c r="K2333" s="311">
        <v>0.1277218075574969</v>
      </c>
      <c r="L2333" s="312">
        <v>2695.1834445481904</v>
      </c>
      <c r="M2333" s="311">
        <v>7.9422700887227138E-2</v>
      </c>
      <c r="N2333" s="312">
        <v>1339.3907367627951</v>
      </c>
      <c r="O2333" s="311">
        <v>3.9469680652801369E-2</v>
      </c>
      <c r="P2333" s="312">
        <v>845.27066816075148</v>
      </c>
      <c r="Q2333" s="311">
        <v>2.490876069377608E-2</v>
      </c>
      <c r="R2333" s="312">
        <v>33934.673770098809</v>
      </c>
      <c r="S2333" s="311">
        <v>0.31645875171480542</v>
      </c>
      <c r="T2333" s="307"/>
    </row>
    <row r="2334" spans="1:20" ht="28.5">
      <c r="A2334" s="313" t="s">
        <v>303</v>
      </c>
      <c r="B2334" s="312">
        <v>10552.640598111731</v>
      </c>
      <c r="C2334" s="311">
        <v>0.35703648111990449</v>
      </c>
      <c r="D2334" s="312">
        <v>8858.6543581195601</v>
      </c>
      <c r="E2334" s="311">
        <v>0.29972240123921873</v>
      </c>
      <c r="F2334" s="312">
        <v>457.28274731197877</v>
      </c>
      <c r="G2334" s="311">
        <v>1.5471636834322393E-2</v>
      </c>
      <c r="H2334" s="312">
        <v>2278.4134855570105</v>
      </c>
      <c r="I2334" s="311">
        <v>7.708750486252447E-2</v>
      </c>
      <c r="J2334" s="312">
        <v>3000.7483384579623</v>
      </c>
      <c r="K2334" s="311">
        <v>0.10152687543259466</v>
      </c>
      <c r="L2334" s="312">
        <v>2781.6298749300222</v>
      </c>
      <c r="M2334" s="311">
        <v>9.4113253748140183E-2</v>
      </c>
      <c r="N2334" s="312">
        <v>1033.3894843382834</v>
      </c>
      <c r="O2334" s="311">
        <v>3.4963546960982819E-2</v>
      </c>
      <c r="P2334" s="312">
        <v>593.43818584090536</v>
      </c>
      <c r="Q2334" s="311">
        <v>2.0078299802300664E-2</v>
      </c>
      <c r="R2334" s="312">
        <v>29556.197072667797</v>
      </c>
      <c r="S2334" s="311">
        <v>0.27562714450771642</v>
      </c>
      <c r="T2334" s="307"/>
    </row>
    <row r="2335" spans="1:20" ht="15.75" thickBot="1">
      <c r="A2335" s="310" t="s">
        <v>302</v>
      </c>
      <c r="B2335" s="309">
        <v>623.29905185758514</v>
      </c>
      <c r="C2335" s="308">
        <v>0.29903273703498667</v>
      </c>
      <c r="D2335" s="309">
        <v>527.76025541795661</v>
      </c>
      <c r="E2335" s="308">
        <v>0.25319723045555714</v>
      </c>
      <c r="F2335" s="309">
        <v>0</v>
      </c>
      <c r="G2335" s="308">
        <v>0</v>
      </c>
      <c r="H2335" s="309">
        <v>97.61677631578948</v>
      </c>
      <c r="I2335" s="308">
        <v>4.6832434150585273E-2</v>
      </c>
      <c r="J2335" s="309">
        <v>267.02205882352939</v>
      </c>
      <c r="K2335" s="308">
        <v>0.12810598196924805</v>
      </c>
      <c r="L2335" s="309">
        <v>314.04605263157896</v>
      </c>
      <c r="M2335" s="308">
        <v>0.15066612149269182</v>
      </c>
      <c r="N2335" s="309">
        <v>157.02302631578948</v>
      </c>
      <c r="O2335" s="308">
        <v>7.5333060746345909E-2</v>
      </c>
      <c r="P2335" s="309">
        <v>97.61677631578948</v>
      </c>
      <c r="Q2335" s="308">
        <v>4.6832434150585273E-2</v>
      </c>
      <c r="R2335" s="309">
        <v>2084.3839976780182</v>
      </c>
      <c r="S2335" s="308">
        <v>1.9437981413003014E-2</v>
      </c>
      <c r="T2335" s="307"/>
    </row>
    <row r="2339" spans="1:20" ht="15.75" thickBot="1"/>
    <row r="2340" spans="1:20" ht="15" customHeight="1">
      <c r="A2340" s="752" t="s">
        <v>310</v>
      </c>
      <c r="B2340" s="763" t="s">
        <v>377</v>
      </c>
      <c r="C2340" s="764"/>
      <c r="D2340" s="764"/>
      <c r="E2340" s="764"/>
      <c r="F2340" s="764"/>
      <c r="G2340" s="764"/>
      <c r="H2340" s="764"/>
      <c r="I2340" s="764"/>
      <c r="J2340" s="764"/>
      <c r="K2340" s="764"/>
      <c r="L2340" s="764"/>
      <c r="M2340" s="764"/>
      <c r="N2340" s="764"/>
      <c r="O2340" s="764"/>
      <c r="P2340" s="764"/>
      <c r="Q2340" s="764"/>
      <c r="R2340" s="764"/>
      <c r="S2340" s="765"/>
      <c r="T2340" s="307"/>
    </row>
    <row r="2341" spans="1:20" ht="50.25" customHeight="1">
      <c r="A2341" s="753"/>
      <c r="B2341" s="758" t="s">
        <v>37</v>
      </c>
      <c r="C2341" s="759"/>
      <c r="D2341" s="760" t="s">
        <v>36</v>
      </c>
      <c r="E2341" s="759"/>
      <c r="F2341" s="760" t="s">
        <v>35</v>
      </c>
      <c r="G2341" s="759"/>
      <c r="H2341" s="760" t="s">
        <v>34</v>
      </c>
      <c r="I2341" s="759"/>
      <c r="J2341" s="760" t="s">
        <v>33</v>
      </c>
      <c r="K2341" s="759"/>
      <c r="L2341" s="760" t="s">
        <v>32</v>
      </c>
      <c r="M2341" s="759"/>
      <c r="N2341" s="760" t="s">
        <v>31</v>
      </c>
      <c r="O2341" s="759"/>
      <c r="P2341" s="760" t="s">
        <v>14</v>
      </c>
      <c r="Q2341" s="759"/>
      <c r="R2341" s="761" t="s">
        <v>9</v>
      </c>
      <c r="S2341" s="766"/>
      <c r="T2341" s="307"/>
    </row>
    <row r="2342" spans="1:20" ht="15.75" customHeight="1" thickBot="1">
      <c r="A2342" s="754"/>
      <c r="B2342" s="318" t="s">
        <v>7</v>
      </c>
      <c r="C2342" s="318" t="s">
        <v>8</v>
      </c>
      <c r="D2342" s="318" t="s">
        <v>7</v>
      </c>
      <c r="E2342" s="318" t="s">
        <v>8</v>
      </c>
      <c r="F2342" s="318" t="s">
        <v>7</v>
      </c>
      <c r="G2342" s="318" t="s">
        <v>8</v>
      </c>
      <c r="H2342" s="318" t="s">
        <v>7</v>
      </c>
      <c r="I2342" s="318" t="s">
        <v>8</v>
      </c>
      <c r="J2342" s="318" t="s">
        <v>7</v>
      </c>
      <c r="K2342" s="318" t="s">
        <v>8</v>
      </c>
      <c r="L2342" s="318" t="s">
        <v>7</v>
      </c>
      <c r="M2342" s="318" t="s">
        <v>8</v>
      </c>
      <c r="N2342" s="318" t="s">
        <v>7</v>
      </c>
      <c r="O2342" s="318" t="s">
        <v>8</v>
      </c>
      <c r="P2342" s="318" t="s">
        <v>7</v>
      </c>
      <c r="Q2342" s="318" t="s">
        <v>8</v>
      </c>
      <c r="R2342" s="318" t="s">
        <v>7</v>
      </c>
      <c r="S2342" s="318" t="s">
        <v>6</v>
      </c>
      <c r="T2342" s="307"/>
    </row>
    <row r="2343" spans="1:20" ht="15.75" customHeight="1">
      <c r="A2343" s="316" t="s">
        <v>5</v>
      </c>
      <c r="B2343" s="315">
        <v>10801.703898000005</v>
      </c>
      <c r="C2343" s="314">
        <v>5.6305648023910221E-2</v>
      </c>
      <c r="D2343" s="315">
        <v>102959.28886229893</v>
      </c>
      <c r="E2343" s="314">
        <v>0.53669213063191679</v>
      </c>
      <c r="F2343" s="315">
        <v>6633.2444358000048</v>
      </c>
      <c r="G2343" s="314">
        <v>3.4576871388584313E-2</v>
      </c>
      <c r="H2343" s="315">
        <v>10953.768512000001</v>
      </c>
      <c r="I2343" s="314">
        <v>5.7098309692256904E-2</v>
      </c>
      <c r="J2343" s="315">
        <v>26092.635098500035</v>
      </c>
      <c r="K2343" s="314">
        <v>0.13601212750744746</v>
      </c>
      <c r="L2343" s="315">
        <v>5880.5605625000044</v>
      </c>
      <c r="M2343" s="314">
        <v>3.0653383608924827E-2</v>
      </c>
      <c r="N2343" s="315">
        <v>17934.807142000001</v>
      </c>
      <c r="O2343" s="314">
        <v>9.3488115194598043E-2</v>
      </c>
      <c r="P2343" s="315">
        <v>10584.495543000001</v>
      </c>
      <c r="Q2343" s="314">
        <v>5.5173413952325709E-2</v>
      </c>
      <c r="R2343" s="315">
        <v>191840.50405410584</v>
      </c>
      <c r="S2343" s="314">
        <v>1</v>
      </c>
      <c r="T2343" s="307"/>
    </row>
    <row r="2344" spans="1:20">
      <c r="A2344" s="313" t="s">
        <v>309</v>
      </c>
      <c r="B2344" s="312">
        <v>114.14124700000001</v>
      </c>
      <c r="C2344" s="311">
        <v>2.4942515109321675E-2</v>
      </c>
      <c r="D2344" s="312">
        <v>3159.1349217999996</v>
      </c>
      <c r="E2344" s="311">
        <v>0.69034439863253139</v>
      </c>
      <c r="F2344" s="312">
        <v>284.74361880000004</v>
      </c>
      <c r="G2344" s="311">
        <v>6.2223098142619143E-2</v>
      </c>
      <c r="H2344" s="312">
        <v>157.741995</v>
      </c>
      <c r="I2344" s="311">
        <v>3.4470291827651434E-2</v>
      </c>
      <c r="J2344" s="312">
        <v>528.55588699999998</v>
      </c>
      <c r="K2344" s="311">
        <v>0.11550174493553955</v>
      </c>
      <c r="L2344" s="312">
        <v>52.237290000000002</v>
      </c>
      <c r="M2344" s="311">
        <v>1.1415061858357112E-2</v>
      </c>
      <c r="N2344" s="312">
        <v>106.26759299999999</v>
      </c>
      <c r="O2344" s="311">
        <v>2.3221938726793009E-2</v>
      </c>
      <c r="P2344" s="312">
        <v>173.34975800000001</v>
      </c>
      <c r="Q2344" s="311">
        <v>3.7880950767186346E-2</v>
      </c>
      <c r="R2344" s="312">
        <v>4576.1723106000009</v>
      </c>
      <c r="S2344" s="311">
        <v>2.3854046532891499E-2</v>
      </c>
      <c r="T2344" s="307"/>
    </row>
    <row r="2345" spans="1:20">
      <c r="A2345" s="313" t="s">
        <v>308</v>
      </c>
      <c r="B2345" s="312">
        <v>775.69976699999984</v>
      </c>
      <c r="C2345" s="311">
        <v>0.10327171669261133</v>
      </c>
      <c r="D2345" s="312">
        <v>3344.9518200000066</v>
      </c>
      <c r="E2345" s="311">
        <v>0.44532553882470793</v>
      </c>
      <c r="F2345" s="312">
        <v>283.7308559999999</v>
      </c>
      <c r="G2345" s="311">
        <v>3.7774115481697824E-2</v>
      </c>
      <c r="H2345" s="312">
        <v>770.58718899999985</v>
      </c>
      <c r="I2345" s="311">
        <v>0.10259106068464727</v>
      </c>
      <c r="J2345" s="312">
        <v>915.19179599999973</v>
      </c>
      <c r="K2345" s="311">
        <v>0.12184279523692849</v>
      </c>
      <c r="L2345" s="312">
        <v>268.84430800000001</v>
      </c>
      <c r="M2345" s="311">
        <v>3.579221548251045E-2</v>
      </c>
      <c r="N2345" s="312">
        <v>709.07751299999995</v>
      </c>
      <c r="O2345" s="311">
        <v>9.4402054958510048E-2</v>
      </c>
      <c r="P2345" s="312">
        <v>443.16757399999995</v>
      </c>
      <c r="Q2345" s="311">
        <v>5.9000502638387242E-2</v>
      </c>
      <c r="R2345" s="312">
        <v>7511.2508230000012</v>
      </c>
      <c r="S2345" s="311">
        <v>3.9153623266552515E-2</v>
      </c>
      <c r="T2345" s="307"/>
    </row>
    <row r="2346" spans="1:20">
      <c r="A2346" s="313" t="s">
        <v>307</v>
      </c>
      <c r="B2346" s="312">
        <v>635.47720600000002</v>
      </c>
      <c r="C2346" s="311">
        <v>4.9164600636473946E-2</v>
      </c>
      <c r="D2346" s="312">
        <v>7839.9557510000013</v>
      </c>
      <c r="E2346" s="311">
        <v>0.60654936143459759</v>
      </c>
      <c r="F2346" s="312">
        <v>241.73441199999999</v>
      </c>
      <c r="G2346" s="311">
        <v>1.8702127651251829E-2</v>
      </c>
      <c r="H2346" s="312">
        <v>641.69211200000007</v>
      </c>
      <c r="I2346" s="311">
        <v>4.9645425705568916E-2</v>
      </c>
      <c r="J2346" s="312">
        <v>1693.8908840000001</v>
      </c>
      <c r="K2346" s="311">
        <v>0.13105028480537478</v>
      </c>
      <c r="L2346" s="312">
        <v>241.73441199999999</v>
      </c>
      <c r="M2346" s="311">
        <v>1.8702127651251829E-2</v>
      </c>
      <c r="N2346" s="312">
        <v>1021.825004</v>
      </c>
      <c r="O2346" s="311">
        <v>7.9054949206192909E-2</v>
      </c>
      <c r="P2346" s="312">
        <v>609.19348300000001</v>
      </c>
      <c r="Q2346" s="311">
        <v>4.7131122909289024E-2</v>
      </c>
      <c r="R2346" s="312">
        <v>12925.503263999992</v>
      </c>
      <c r="S2346" s="311">
        <v>6.7376299534505704E-2</v>
      </c>
      <c r="T2346" s="307"/>
    </row>
    <row r="2347" spans="1:20">
      <c r="A2347" s="313" t="s">
        <v>306</v>
      </c>
      <c r="B2347" s="312">
        <v>746.95872499999996</v>
      </c>
      <c r="C2347" s="311">
        <v>5.5722091489697763E-2</v>
      </c>
      <c r="D2347" s="312">
        <v>8602.7243934999969</v>
      </c>
      <c r="E2347" s="311">
        <v>0.64175138420835975</v>
      </c>
      <c r="F2347" s="312">
        <v>408.05658299999999</v>
      </c>
      <c r="G2347" s="311">
        <v>3.044045874274974E-2</v>
      </c>
      <c r="H2347" s="312">
        <v>697.54418299999998</v>
      </c>
      <c r="I2347" s="311">
        <v>5.2035834755437757E-2</v>
      </c>
      <c r="J2347" s="312">
        <v>1653.8365525000004</v>
      </c>
      <c r="K2347" s="311">
        <v>0.1233739276389219</v>
      </c>
      <c r="L2347" s="312">
        <v>342.35815250000002</v>
      </c>
      <c r="M2347" s="311">
        <v>2.5539446367466825E-2</v>
      </c>
      <c r="N2347" s="312">
        <v>732.92868099999998</v>
      </c>
      <c r="O2347" s="311">
        <v>5.4675469542317084E-2</v>
      </c>
      <c r="P2347" s="312">
        <v>220.66610399999996</v>
      </c>
      <c r="Q2347" s="311">
        <v>1.646138725504968E-2</v>
      </c>
      <c r="R2347" s="312">
        <v>13405.073374499991</v>
      </c>
      <c r="S2347" s="311">
        <v>6.9876137161937829E-2</v>
      </c>
      <c r="T2347" s="307"/>
    </row>
    <row r="2348" spans="1:20">
      <c r="A2348" s="313" t="s">
        <v>305</v>
      </c>
      <c r="B2348" s="312">
        <v>1050.5484000000001</v>
      </c>
      <c r="C2348" s="311">
        <v>4.6705123398560262E-2</v>
      </c>
      <c r="D2348" s="312">
        <v>10380.086923999992</v>
      </c>
      <c r="E2348" s="311">
        <v>0.46147634956485717</v>
      </c>
      <c r="F2348" s="312">
        <v>1143.439374</v>
      </c>
      <c r="G2348" s="311">
        <v>5.083485640589476E-2</v>
      </c>
      <c r="H2348" s="312">
        <v>1759.9192890000011</v>
      </c>
      <c r="I2348" s="311">
        <v>7.8242228120333615E-2</v>
      </c>
      <c r="J2348" s="312">
        <v>3241.5136709999988</v>
      </c>
      <c r="K2348" s="311">
        <v>0.14411072921740206</v>
      </c>
      <c r="L2348" s="312">
        <v>980.79492999999991</v>
      </c>
      <c r="M2348" s="311">
        <v>4.3604034078136962E-2</v>
      </c>
      <c r="N2348" s="312">
        <v>2467.5742530000002</v>
      </c>
      <c r="O2348" s="311">
        <v>0.10970304650549671</v>
      </c>
      <c r="P2348" s="312">
        <v>1469.3385400000002</v>
      </c>
      <c r="Q2348" s="311">
        <v>6.5323632709316751E-2</v>
      </c>
      <c r="R2348" s="312">
        <v>22493.215381000031</v>
      </c>
      <c r="S2348" s="311">
        <v>0.11724956359922899</v>
      </c>
      <c r="T2348" s="307"/>
    </row>
    <row r="2349" spans="1:20" ht="28.5">
      <c r="A2349" s="313" t="s">
        <v>304</v>
      </c>
      <c r="B2349" s="312">
        <v>4234.4327120000016</v>
      </c>
      <c r="C2349" s="311">
        <v>5.6189857881659151E-2</v>
      </c>
      <c r="D2349" s="312">
        <v>42607.763623999199</v>
      </c>
      <c r="E2349" s="311">
        <v>0.56539431501724158</v>
      </c>
      <c r="F2349" s="312">
        <v>2020.6375629999993</v>
      </c>
      <c r="G2349" s="311">
        <v>2.6813352630105983E-2</v>
      </c>
      <c r="H2349" s="312">
        <v>2908.513715</v>
      </c>
      <c r="I2349" s="311">
        <v>3.8595246024234482E-2</v>
      </c>
      <c r="J2349" s="312">
        <v>9637.4564269999973</v>
      </c>
      <c r="K2349" s="311">
        <v>0.12788662468036693</v>
      </c>
      <c r="L2349" s="312">
        <v>2219.4457410000009</v>
      </c>
      <c r="M2349" s="311">
        <v>2.9451487187274427E-2</v>
      </c>
      <c r="N2349" s="312">
        <v>7502.6398890000155</v>
      </c>
      <c r="O2349" s="311">
        <v>9.9558145747712545E-2</v>
      </c>
      <c r="P2349" s="312">
        <v>4228.4878330000001</v>
      </c>
      <c r="Q2349" s="311">
        <v>5.6110970831408695E-2</v>
      </c>
      <c r="R2349" s="312">
        <v>75359.377503998927</v>
      </c>
      <c r="S2349" s="311">
        <v>0.39282307912798697</v>
      </c>
      <c r="T2349" s="307"/>
    </row>
    <row r="2350" spans="1:20" ht="28.5">
      <c r="A2350" s="313" t="s">
        <v>303</v>
      </c>
      <c r="B2350" s="312">
        <v>3039.6458309999975</v>
      </c>
      <c r="C2350" s="311">
        <v>5.7726354476764261E-2</v>
      </c>
      <c r="D2350" s="312">
        <v>24986.179734000067</v>
      </c>
      <c r="E2350" s="311">
        <v>0.47451616028256688</v>
      </c>
      <c r="F2350" s="312">
        <v>2128.5020290000002</v>
      </c>
      <c r="G2350" s="311">
        <v>4.0422690491590391E-2</v>
      </c>
      <c r="H2350" s="312">
        <v>4010.7700289999984</v>
      </c>
      <c r="I2350" s="311">
        <v>7.6169114854629974E-2</v>
      </c>
      <c r="J2350" s="312">
        <v>8283.3815470000063</v>
      </c>
      <c r="K2350" s="311">
        <v>0.15731089937247714</v>
      </c>
      <c r="L2350" s="312">
        <v>1775.1457290000003</v>
      </c>
      <c r="M2350" s="311">
        <v>3.3712049790503434E-2</v>
      </c>
      <c r="N2350" s="312">
        <v>5323.9525450000019</v>
      </c>
      <c r="O2350" s="311">
        <v>0.10110795432013657</v>
      </c>
      <c r="P2350" s="312">
        <v>3108.5422529999983</v>
      </c>
      <c r="Q2350" s="311">
        <v>5.9034776411317186E-2</v>
      </c>
      <c r="R2350" s="312">
        <v>52656.119697000817</v>
      </c>
      <c r="S2350" s="311">
        <v>0.27447863503397552</v>
      </c>
      <c r="T2350" s="307"/>
    </row>
    <row r="2351" spans="1:20" ht="15.75" thickBot="1">
      <c r="A2351" s="313" t="s">
        <v>302</v>
      </c>
      <c r="B2351" s="312">
        <v>204.80001000000001</v>
      </c>
      <c r="C2351" s="311">
        <v>7.0286427818433306E-2</v>
      </c>
      <c r="D2351" s="312">
        <v>2038.4916939999998</v>
      </c>
      <c r="E2351" s="311">
        <v>0.69960103668357643</v>
      </c>
      <c r="F2351" s="312">
        <v>122.4</v>
      </c>
      <c r="G2351" s="311">
        <v>4.2007120824731584E-2</v>
      </c>
      <c r="H2351" s="312">
        <v>7</v>
      </c>
      <c r="I2351" s="311">
        <v>2.402368021022231E-3</v>
      </c>
      <c r="J2351" s="312">
        <v>138.808334</v>
      </c>
      <c r="K2351" s="311">
        <v>4.7638386093281838E-2</v>
      </c>
      <c r="L2351" s="312">
        <v>0</v>
      </c>
      <c r="M2351" s="311">
        <v>0</v>
      </c>
      <c r="N2351" s="312">
        <v>70.541663999999997</v>
      </c>
      <c r="O2351" s="311">
        <v>2.420957682047074E-2</v>
      </c>
      <c r="P2351" s="312">
        <v>331.74999800000001</v>
      </c>
      <c r="Q2351" s="311">
        <v>0.11385508373848417</v>
      </c>
      <c r="R2351" s="312">
        <v>2913.7916999999989</v>
      </c>
      <c r="S2351" s="311">
        <v>1.5188615742889241E-2</v>
      </c>
      <c r="T2351" s="307"/>
    </row>
    <row r="2352" spans="1:20" ht="15" customHeight="1">
      <c r="A2352" s="316" t="s">
        <v>4</v>
      </c>
      <c r="B2352" s="315">
        <v>9720.0493556376878</v>
      </c>
      <c r="C2352" s="314">
        <v>5.7885884846128367E-2</v>
      </c>
      <c r="D2352" s="315">
        <v>89147.492421567105</v>
      </c>
      <c r="E2352" s="314">
        <v>0.53090074873363502</v>
      </c>
      <c r="F2352" s="315">
        <v>6437.9761772961656</v>
      </c>
      <c r="G2352" s="314">
        <v>3.8340129150160523E-2</v>
      </c>
      <c r="H2352" s="315">
        <v>8334.3109907918624</v>
      </c>
      <c r="I2352" s="314">
        <v>4.963338648120981E-2</v>
      </c>
      <c r="J2352" s="315">
        <v>21057.316530496195</v>
      </c>
      <c r="K2352" s="314">
        <v>0.1254027994359716</v>
      </c>
      <c r="L2352" s="315">
        <v>6467.3791724256989</v>
      </c>
      <c r="M2352" s="314">
        <v>3.8515233033682705E-2</v>
      </c>
      <c r="N2352" s="315">
        <v>14831.286192866171</v>
      </c>
      <c r="O2352" s="314">
        <v>8.8324872978373992E-2</v>
      </c>
      <c r="P2352" s="315">
        <v>11921.625015266663</v>
      </c>
      <c r="Q2352" s="314">
        <v>7.0996945340837267E-2</v>
      </c>
      <c r="R2352" s="315">
        <v>167917.43585634767</v>
      </c>
      <c r="S2352" s="314">
        <v>1</v>
      </c>
      <c r="T2352" s="307"/>
    </row>
    <row r="2353" spans="1:20">
      <c r="A2353" s="313" t="s">
        <v>309</v>
      </c>
      <c r="B2353" s="312">
        <v>171.10714285714286</v>
      </c>
      <c r="C2353" s="311">
        <v>2.6315096313979262E-2</v>
      </c>
      <c r="D2353" s="312">
        <v>4132.6028050896502</v>
      </c>
      <c r="E2353" s="311">
        <v>0.63556575738132759</v>
      </c>
      <c r="F2353" s="312">
        <v>321.46240601503757</v>
      </c>
      <c r="G2353" s="311">
        <v>4.9438696914435018E-2</v>
      </c>
      <c r="H2353" s="312">
        <v>144.45467032967034</v>
      </c>
      <c r="I2353" s="311">
        <v>2.2216130193367385E-2</v>
      </c>
      <c r="J2353" s="312">
        <v>850.78152111046836</v>
      </c>
      <c r="K2353" s="311">
        <v>0.13084431950843689</v>
      </c>
      <c r="L2353" s="312">
        <v>39.839285714285715</v>
      </c>
      <c r="M2353" s="311">
        <v>6.1270068750248104E-3</v>
      </c>
      <c r="N2353" s="312">
        <v>401.14097744360902</v>
      </c>
      <c r="O2353" s="311">
        <v>6.1692710664484646E-2</v>
      </c>
      <c r="P2353" s="312">
        <v>440.85388953152119</v>
      </c>
      <c r="Q2353" s="311">
        <v>6.7800282148946345E-2</v>
      </c>
      <c r="R2353" s="312">
        <v>6502.2426980913724</v>
      </c>
      <c r="S2353" s="311">
        <v>3.8722856056794493E-2</v>
      </c>
      <c r="T2353" s="307"/>
    </row>
    <row r="2354" spans="1:20">
      <c r="A2354" s="313" t="s">
        <v>308</v>
      </c>
      <c r="B2354" s="312">
        <v>464.69387324342927</v>
      </c>
      <c r="C2354" s="311">
        <v>5.7076158459791672E-2</v>
      </c>
      <c r="D2354" s="312">
        <v>3245.8592112099759</v>
      </c>
      <c r="E2354" s="311">
        <v>0.39867358995746038</v>
      </c>
      <c r="F2354" s="312">
        <v>347.28836566067719</v>
      </c>
      <c r="G2354" s="311">
        <v>4.2655793267382329E-2</v>
      </c>
      <c r="H2354" s="312">
        <v>547.93819926107165</v>
      </c>
      <c r="I2354" s="311">
        <v>6.7300666714008681E-2</v>
      </c>
      <c r="J2354" s="312">
        <v>1535.2599320637535</v>
      </c>
      <c r="K2354" s="311">
        <v>0.18856874214379118</v>
      </c>
      <c r="L2354" s="312">
        <v>268.43244805808047</v>
      </c>
      <c r="M2354" s="311">
        <v>3.2970292537269727E-2</v>
      </c>
      <c r="N2354" s="312">
        <v>755.99319897063435</v>
      </c>
      <c r="O2354" s="311">
        <v>9.2855081815053531E-2</v>
      </c>
      <c r="P2354" s="312">
        <v>976.18070186933153</v>
      </c>
      <c r="Q2354" s="311">
        <v>0.11989967510524403</v>
      </c>
      <c r="R2354" s="312">
        <v>8141.6459303369411</v>
      </c>
      <c r="S2354" s="311">
        <v>4.8486006761692506E-2</v>
      </c>
      <c r="T2354" s="307"/>
    </row>
    <row r="2355" spans="1:20">
      <c r="A2355" s="313" t="s">
        <v>307</v>
      </c>
      <c r="B2355" s="312">
        <v>982.54169882183442</v>
      </c>
      <c r="C2355" s="311">
        <v>7.9671492511721495E-2</v>
      </c>
      <c r="D2355" s="312">
        <v>8023.917682769973</v>
      </c>
      <c r="E2355" s="311">
        <v>0.65063650565063569</v>
      </c>
      <c r="F2355" s="312">
        <v>391.17487266553479</v>
      </c>
      <c r="G2355" s="311">
        <v>3.1719250160798566E-2</v>
      </c>
      <c r="H2355" s="312">
        <v>511.631013016412</v>
      </c>
      <c r="I2355" s="311">
        <v>4.1486693614306389E-2</v>
      </c>
      <c r="J2355" s="312">
        <v>1312.8733343622985</v>
      </c>
      <c r="K2355" s="311">
        <v>0.1064571388195624</v>
      </c>
      <c r="L2355" s="312">
        <v>511.631013016412</v>
      </c>
      <c r="M2355" s="311">
        <v>4.1486693614306389E-2</v>
      </c>
      <c r="N2355" s="312">
        <v>361.36842105263156</v>
      </c>
      <c r="O2355" s="311">
        <v>2.9302330360523481E-2</v>
      </c>
      <c r="P2355" s="312">
        <v>237.27432216905902</v>
      </c>
      <c r="Q2355" s="311">
        <v>1.9239895268143594E-2</v>
      </c>
      <c r="R2355" s="312">
        <v>12332.41235787418</v>
      </c>
      <c r="S2355" s="311">
        <v>7.3443310368462772E-2</v>
      </c>
      <c r="T2355" s="307"/>
    </row>
    <row r="2356" spans="1:20">
      <c r="A2356" s="313" t="s">
        <v>306</v>
      </c>
      <c r="B2356" s="312">
        <v>495.56339285714284</v>
      </c>
      <c r="C2356" s="311">
        <v>3.8470551176744756E-2</v>
      </c>
      <c r="D2356" s="312">
        <v>7730.745086316133</v>
      </c>
      <c r="E2356" s="311">
        <v>0.60013719488603701</v>
      </c>
      <c r="F2356" s="312">
        <v>755.30025142540376</v>
      </c>
      <c r="G2356" s="311">
        <v>5.8633905157408288E-2</v>
      </c>
      <c r="H2356" s="312">
        <v>875.52257285397525</v>
      </c>
      <c r="I2356" s="311">
        <v>6.7966755476394983E-2</v>
      </c>
      <c r="J2356" s="312">
        <v>1445.8673047988591</v>
      </c>
      <c r="K2356" s="311">
        <v>0.11224257672333997</v>
      </c>
      <c r="L2356" s="312">
        <v>376.08181818181816</v>
      </c>
      <c r="M2356" s="311">
        <v>2.9195204975880039E-2</v>
      </c>
      <c r="N2356" s="312">
        <v>754.17607895153628</v>
      </c>
      <c r="O2356" s="311">
        <v>5.8546635727682927E-2</v>
      </c>
      <c r="P2356" s="312">
        <v>448.37314895470388</v>
      </c>
      <c r="Q2356" s="311">
        <v>3.4807175876513122E-2</v>
      </c>
      <c r="R2356" s="312">
        <v>12881.629654339558</v>
      </c>
      <c r="S2356" s="311">
        <v>7.6714068367264215E-2</v>
      </c>
      <c r="T2356" s="307"/>
    </row>
    <row r="2357" spans="1:20">
      <c r="A2357" s="313" t="s">
        <v>305</v>
      </c>
      <c r="B2357" s="312">
        <v>1010.1064992380078</v>
      </c>
      <c r="C2357" s="311">
        <v>5.0428084991156495E-2</v>
      </c>
      <c r="D2357" s="312">
        <v>9876.1150354601941</v>
      </c>
      <c r="E2357" s="311">
        <v>0.49305055334890513</v>
      </c>
      <c r="F2357" s="312">
        <v>678.17483968457179</v>
      </c>
      <c r="G2357" s="311">
        <v>3.3856883883309527E-2</v>
      </c>
      <c r="H2357" s="312">
        <v>1146.9307334630917</v>
      </c>
      <c r="I2357" s="311">
        <v>5.7258834142416691E-2</v>
      </c>
      <c r="J2357" s="312">
        <v>2833.0038316095511</v>
      </c>
      <c r="K2357" s="311">
        <v>0.1414335598359675</v>
      </c>
      <c r="L2357" s="312">
        <v>842.01374000084593</v>
      </c>
      <c r="M2357" s="311">
        <v>4.2036300604456595E-2</v>
      </c>
      <c r="N2357" s="312">
        <v>1988.9976278867191</v>
      </c>
      <c r="O2357" s="311">
        <v>9.9297788403444845E-2</v>
      </c>
      <c r="P2357" s="312">
        <v>1655.2914043108681</v>
      </c>
      <c r="Q2357" s="311">
        <v>8.2637994790340161E-2</v>
      </c>
      <c r="R2357" s="312">
        <v>20030.633711653911</v>
      </c>
      <c r="S2357" s="311">
        <v>0.1192885873316336</v>
      </c>
      <c r="T2357" s="307"/>
    </row>
    <row r="2358" spans="1:20" ht="28.5">
      <c r="A2358" s="313" t="s">
        <v>304</v>
      </c>
      <c r="B2358" s="312">
        <v>4019.6727359776128</v>
      </c>
      <c r="C2358" s="311">
        <v>6.8443676577018331E-2</v>
      </c>
      <c r="D2358" s="312">
        <v>32696.844247324752</v>
      </c>
      <c r="E2358" s="311">
        <v>0.55673493334993263</v>
      </c>
      <c r="F2358" s="312">
        <v>1905.8942151045837</v>
      </c>
      <c r="G2358" s="311">
        <v>3.2451996920317153E-2</v>
      </c>
      <c r="H2358" s="312">
        <v>1776.8575399112585</v>
      </c>
      <c r="I2358" s="311">
        <v>3.0254866695147774E-2</v>
      </c>
      <c r="J2358" s="312">
        <v>6259.5664365635648</v>
      </c>
      <c r="K2358" s="311">
        <v>0.10658274164011491</v>
      </c>
      <c r="L2358" s="312">
        <v>2134.3258911512426</v>
      </c>
      <c r="M2358" s="311">
        <v>3.6341543354121868E-2</v>
      </c>
      <c r="N2358" s="312">
        <v>6079.5816399629848</v>
      </c>
      <c r="O2358" s="311">
        <v>0.10351810876663435</v>
      </c>
      <c r="P2358" s="312">
        <v>3856.9009515065281</v>
      </c>
      <c r="Q2358" s="311">
        <v>6.5672132696719426E-2</v>
      </c>
      <c r="R2358" s="312">
        <v>58729.643657502151</v>
      </c>
      <c r="S2358" s="311">
        <v>0.34975309953961542</v>
      </c>
      <c r="T2358" s="307"/>
    </row>
    <row r="2359" spans="1:20" ht="28.5">
      <c r="A2359" s="313" t="s">
        <v>303</v>
      </c>
      <c r="B2359" s="312">
        <v>2372.6813737536454</v>
      </c>
      <c r="C2359" s="311">
        <v>5.1119747440710357E-2</v>
      </c>
      <c r="D2359" s="312">
        <v>22073.378690698341</v>
      </c>
      <c r="E2359" s="311">
        <v>0.47557398827914299</v>
      </c>
      <c r="F2359" s="312">
        <v>1903.4937267403611</v>
      </c>
      <c r="G2359" s="311">
        <v>4.101103487486097E-2</v>
      </c>
      <c r="H2359" s="312">
        <v>3189.0744762421082</v>
      </c>
      <c r="I2359" s="311">
        <v>6.8709049431783922E-2</v>
      </c>
      <c r="J2359" s="312">
        <v>6342.8811342733734</v>
      </c>
      <c r="K2359" s="311">
        <v>0.13665824885603356</v>
      </c>
      <c r="L2359" s="312">
        <v>2161.2612263030232</v>
      </c>
      <c r="M2359" s="311">
        <v>4.6564671204555055E-2</v>
      </c>
      <c r="N2359" s="312">
        <v>4278.050470820277</v>
      </c>
      <c r="O2359" s="311">
        <v>9.2171187427904255E-2</v>
      </c>
      <c r="P2359" s="312">
        <v>4093.3630969246601</v>
      </c>
      <c r="Q2359" s="311">
        <v>8.8192072485009168E-2</v>
      </c>
      <c r="R2359" s="312">
        <v>46414.184195755777</v>
      </c>
      <c r="S2359" s="311">
        <v>0.27641074888412914</v>
      </c>
      <c r="T2359" s="307"/>
    </row>
    <row r="2360" spans="1:20" ht="15.75" thickBot="1">
      <c r="A2360" s="313" t="s">
        <v>302</v>
      </c>
      <c r="B2360" s="312">
        <v>203.6826388888889</v>
      </c>
      <c r="C2360" s="311">
        <v>7.0599499883773897E-2</v>
      </c>
      <c r="D2360" s="312">
        <v>1368.0296626984127</v>
      </c>
      <c r="E2360" s="311">
        <v>0.4741798836638329</v>
      </c>
      <c r="F2360" s="312">
        <v>135.1875</v>
      </c>
      <c r="G2360" s="311">
        <v>4.6858043192105986E-2</v>
      </c>
      <c r="H2360" s="312">
        <v>141.90178571428572</v>
      </c>
      <c r="I2360" s="311">
        <v>4.9185316719644705E-2</v>
      </c>
      <c r="J2360" s="312">
        <v>477.0830357142857</v>
      </c>
      <c r="K2360" s="311">
        <v>0.16536423481254584</v>
      </c>
      <c r="L2360" s="312">
        <v>133.79374999999999</v>
      </c>
      <c r="M2360" s="311">
        <v>4.6374948248424079E-2</v>
      </c>
      <c r="N2360" s="312">
        <v>211.97777777777776</v>
      </c>
      <c r="O2360" s="311">
        <v>7.3474721160445705E-2</v>
      </c>
      <c r="P2360" s="312">
        <v>213.38749999999999</v>
      </c>
      <c r="Q2360" s="311">
        <v>7.3963352319227113E-2</v>
      </c>
      <c r="R2360" s="312">
        <v>2885.0436507936502</v>
      </c>
      <c r="S2360" s="311">
        <v>1.718132269040713E-2</v>
      </c>
      <c r="T2360" s="307"/>
    </row>
    <row r="2361" spans="1:20" ht="15.75" customHeight="1">
      <c r="A2361" s="316" t="s">
        <v>3</v>
      </c>
      <c r="B2361" s="315">
        <v>5971.6687989199409</v>
      </c>
      <c r="C2361" s="314">
        <v>5.5688964819977801E-2</v>
      </c>
      <c r="D2361" s="315">
        <v>51766.503664430122</v>
      </c>
      <c r="E2361" s="314">
        <v>0.4827499813692111</v>
      </c>
      <c r="F2361" s="315">
        <v>3557.9643282587249</v>
      </c>
      <c r="G2361" s="314">
        <v>3.3179896102572257E-2</v>
      </c>
      <c r="H2361" s="315">
        <v>6414.0525944120345</v>
      </c>
      <c r="I2361" s="314">
        <v>5.9814427308544353E-2</v>
      </c>
      <c r="J2361" s="315">
        <v>14962.747478996622</v>
      </c>
      <c r="K2361" s="314">
        <v>0.13953552114590834</v>
      </c>
      <c r="L2361" s="315">
        <v>5587.3880168580945</v>
      </c>
      <c r="M2361" s="314">
        <v>5.2105343612266777E-2</v>
      </c>
      <c r="N2361" s="315">
        <v>10484.788927649182</v>
      </c>
      <c r="O2361" s="314">
        <v>9.7776193120816104E-2</v>
      </c>
      <c r="P2361" s="315">
        <v>8487.4199289677526</v>
      </c>
      <c r="Q2361" s="314">
        <v>7.9149672520711464E-2</v>
      </c>
      <c r="R2361" s="315">
        <v>107232.53373849159</v>
      </c>
      <c r="S2361" s="314">
        <v>1</v>
      </c>
      <c r="T2361" s="307"/>
    </row>
    <row r="2362" spans="1:20">
      <c r="A2362" s="313" t="s">
        <v>309</v>
      </c>
      <c r="B2362" s="312">
        <v>66.261437908496731</v>
      </c>
      <c r="C2362" s="311">
        <v>2.5632551791577862E-2</v>
      </c>
      <c r="D2362" s="312">
        <v>1790.9505644682129</v>
      </c>
      <c r="E2362" s="311">
        <v>0.69281069878503876</v>
      </c>
      <c r="F2362" s="312">
        <v>107.58229352346999</v>
      </c>
      <c r="G2362" s="311">
        <v>4.1617097328995135E-2</v>
      </c>
      <c r="H2362" s="312">
        <v>206.60451574569223</v>
      </c>
      <c r="I2362" s="311">
        <v>7.9922819627586697E-2</v>
      </c>
      <c r="J2362" s="312">
        <v>231.48496732026146</v>
      </c>
      <c r="K2362" s="311">
        <v>8.954756493516193E-2</v>
      </c>
      <c r="L2362" s="312">
        <v>84.170528817587638</v>
      </c>
      <c r="M2362" s="311">
        <v>3.2560498343255154E-2</v>
      </c>
      <c r="N2362" s="312">
        <v>86.290196078431364</v>
      </c>
      <c r="O2362" s="311">
        <v>3.3380469695514649E-2</v>
      </c>
      <c r="P2362" s="312">
        <v>11.705882352941176</v>
      </c>
      <c r="Q2362" s="311">
        <v>4.5282994928699891E-3</v>
      </c>
      <c r="R2362" s="312">
        <v>2585.0503862150931</v>
      </c>
      <c r="S2362" s="311">
        <v>2.4106959857157398E-2</v>
      </c>
      <c r="T2362" s="307"/>
    </row>
    <row r="2363" spans="1:20">
      <c r="A2363" s="313" t="s">
        <v>308</v>
      </c>
      <c r="B2363" s="312">
        <v>201.9030874785592</v>
      </c>
      <c r="C2363" s="311">
        <v>3.4052713620434334E-2</v>
      </c>
      <c r="D2363" s="312">
        <v>2640.6112264652511</v>
      </c>
      <c r="E2363" s="311">
        <v>0.44536207445205117</v>
      </c>
      <c r="F2363" s="312">
        <v>188.90356394129981</v>
      </c>
      <c r="G2363" s="311">
        <v>3.186023079243698E-2</v>
      </c>
      <c r="H2363" s="312">
        <v>411.90613684009895</v>
      </c>
      <c r="I2363" s="311">
        <v>6.94715563366749E-2</v>
      </c>
      <c r="J2363" s="312">
        <v>874.98069072051135</v>
      </c>
      <c r="K2363" s="311">
        <v>0.14757311171717216</v>
      </c>
      <c r="L2363" s="312">
        <v>365.14751286449393</v>
      </c>
      <c r="M2363" s="311">
        <v>6.1585307288126098E-2</v>
      </c>
      <c r="N2363" s="312">
        <v>550.93266327625793</v>
      </c>
      <c r="O2363" s="311">
        <v>9.2919590487598971E-2</v>
      </c>
      <c r="P2363" s="312">
        <v>694.74868847361347</v>
      </c>
      <c r="Q2363" s="311">
        <v>0.11717541530550711</v>
      </c>
      <c r="R2363" s="312">
        <v>5929.1335700600757</v>
      </c>
      <c r="S2363" s="311">
        <v>5.5292301350628133E-2</v>
      </c>
      <c r="T2363" s="307"/>
    </row>
    <row r="2364" spans="1:20">
      <c r="A2364" s="313" t="s">
        <v>307</v>
      </c>
      <c r="B2364" s="312">
        <v>286.9921875</v>
      </c>
      <c r="C2364" s="311">
        <v>3.0938448973511147E-2</v>
      </c>
      <c r="D2364" s="312">
        <v>6087.5364583333321</v>
      </c>
      <c r="E2364" s="311">
        <v>0.65625109077415056</v>
      </c>
      <c r="F2364" s="312">
        <v>72.462962962962962</v>
      </c>
      <c r="G2364" s="311">
        <v>7.8116819193869451E-3</v>
      </c>
      <c r="H2364" s="312">
        <v>550.78327546296293</v>
      </c>
      <c r="I2364" s="311">
        <v>5.9375763541905525E-2</v>
      </c>
      <c r="J2364" s="312">
        <v>1150.8284143518517</v>
      </c>
      <c r="K2364" s="311">
        <v>0.1240620745980812</v>
      </c>
      <c r="L2364" s="312">
        <v>286.9921875</v>
      </c>
      <c r="M2364" s="311">
        <v>3.0938448973511147E-2</v>
      </c>
      <c r="N2364" s="312">
        <v>576.84403935185185</v>
      </c>
      <c r="O2364" s="311">
        <v>6.2185176651058924E-2</v>
      </c>
      <c r="P2364" s="312">
        <v>263.79108796296293</v>
      </c>
      <c r="Q2364" s="311">
        <v>2.8437314568394375E-2</v>
      </c>
      <c r="R2364" s="312">
        <v>9276.2306134259252</v>
      </c>
      <c r="S2364" s="311">
        <v>8.650574867556432E-2</v>
      </c>
      <c r="T2364" s="307"/>
    </row>
    <row r="2365" spans="1:20">
      <c r="A2365" s="313" t="s">
        <v>306</v>
      </c>
      <c r="B2365" s="312">
        <v>395.37377022653732</v>
      </c>
      <c r="C2365" s="311">
        <v>4.7605792132081257E-2</v>
      </c>
      <c r="D2365" s="312">
        <v>3955.5245451276433</v>
      </c>
      <c r="E2365" s="311">
        <v>0.47627306981137929</v>
      </c>
      <c r="F2365" s="312">
        <v>287.63846637900036</v>
      </c>
      <c r="G2365" s="311">
        <v>3.4633701248779118E-2</v>
      </c>
      <c r="H2365" s="312">
        <v>922.53795397339104</v>
      </c>
      <c r="I2365" s="311">
        <v>0.11108008011165994</v>
      </c>
      <c r="J2365" s="312">
        <v>763.92824343761254</v>
      </c>
      <c r="K2365" s="311">
        <v>9.1982351636729756E-2</v>
      </c>
      <c r="L2365" s="312">
        <v>372.13432578209279</v>
      </c>
      <c r="M2365" s="311">
        <v>4.4807599017617994E-2</v>
      </c>
      <c r="N2365" s="312">
        <v>884.86147249190958</v>
      </c>
      <c r="O2365" s="311">
        <v>0.10654356585415642</v>
      </c>
      <c r="P2365" s="312">
        <v>723.16226537216846</v>
      </c>
      <c r="Q2365" s="311">
        <v>8.707384018759505E-2</v>
      </c>
      <c r="R2365" s="312">
        <v>8305.1610427903652</v>
      </c>
      <c r="S2365" s="311">
        <v>7.7450012167428542E-2</v>
      </c>
      <c r="T2365" s="307"/>
    </row>
    <row r="2366" spans="1:20">
      <c r="A2366" s="313" t="s">
        <v>305</v>
      </c>
      <c r="B2366" s="312">
        <v>682.60119319442686</v>
      </c>
      <c r="C2366" s="311">
        <v>4.3864169665024384E-2</v>
      </c>
      <c r="D2366" s="312">
        <v>6833.2927518768056</v>
      </c>
      <c r="E2366" s="311">
        <v>0.43910956445359001</v>
      </c>
      <c r="F2366" s="312">
        <v>568.03250596343685</v>
      </c>
      <c r="G2366" s="311">
        <v>3.6501949403613496E-2</v>
      </c>
      <c r="H2366" s="312">
        <v>1318.3781606539278</v>
      </c>
      <c r="I2366" s="311">
        <v>8.471939969948887E-2</v>
      </c>
      <c r="J2366" s="312">
        <v>2128.0564691976383</v>
      </c>
      <c r="K2366" s="311">
        <v>0.13674958519307798</v>
      </c>
      <c r="L2366" s="312">
        <v>1197.2435334292834</v>
      </c>
      <c r="M2366" s="311">
        <v>7.6935250046855849E-2</v>
      </c>
      <c r="N2366" s="312">
        <v>1093.8566643801116</v>
      </c>
      <c r="O2366" s="311">
        <v>7.0291576976368231E-2</v>
      </c>
      <c r="P2366" s="312">
        <v>1740.2420068611748</v>
      </c>
      <c r="Q2366" s="311">
        <v>0.11182850456198755</v>
      </c>
      <c r="R2366" s="312">
        <v>15561.703285556707</v>
      </c>
      <c r="S2366" s="311">
        <v>0.14512110031370792</v>
      </c>
      <c r="T2366" s="307"/>
    </row>
    <row r="2367" spans="1:20" ht="28.5">
      <c r="A2367" s="313" t="s">
        <v>304</v>
      </c>
      <c r="B2367" s="312">
        <v>2829.761575849649</v>
      </c>
      <c r="C2367" s="311">
        <v>8.3388500948049907E-2</v>
      </c>
      <c r="D2367" s="312">
        <v>16589.137004605807</v>
      </c>
      <c r="E2367" s="311">
        <v>0.48885506066727408</v>
      </c>
      <c r="F2367" s="312">
        <v>1048.5084536952752</v>
      </c>
      <c r="G2367" s="311">
        <v>3.0897849815758587E-2</v>
      </c>
      <c r="H2367" s="312">
        <v>873.52343087880217</v>
      </c>
      <c r="I2367" s="311">
        <v>2.5741323956633949E-2</v>
      </c>
      <c r="J2367" s="312">
        <v>4455.0093502804475</v>
      </c>
      <c r="K2367" s="311">
        <v>0.13128192657640733</v>
      </c>
      <c r="L2367" s="312">
        <v>1640.7937548595639</v>
      </c>
      <c r="M2367" s="311">
        <v>4.835154055040107E-2</v>
      </c>
      <c r="N2367" s="312">
        <v>4028.2568478724115</v>
      </c>
      <c r="O2367" s="311">
        <v>0.11870621993195257</v>
      </c>
      <c r="P2367" s="312">
        <v>2469.6833520566584</v>
      </c>
      <c r="Q2367" s="311">
        <v>7.2777577553516798E-2</v>
      </c>
      <c r="R2367" s="312">
        <v>33934.673770098809</v>
      </c>
      <c r="S2367" s="311">
        <v>0.31645875171480542</v>
      </c>
      <c r="T2367" s="307"/>
    </row>
    <row r="2368" spans="1:20" ht="28.5">
      <c r="A2368" s="313" t="s">
        <v>303</v>
      </c>
      <c r="B2368" s="312">
        <v>1313.5419941306998</v>
      </c>
      <c r="C2368" s="311">
        <v>4.4442185538998265E-2</v>
      </c>
      <c r="D2368" s="312">
        <v>13039.801055503372</v>
      </c>
      <c r="E2368" s="311">
        <v>0.44118670015101424</v>
      </c>
      <c r="F2368" s="312">
        <v>1149.0087791616968</v>
      </c>
      <c r="G2368" s="311">
        <v>3.8875393080398932E-2</v>
      </c>
      <c r="H2368" s="312">
        <v>2053.8980682255883</v>
      </c>
      <c r="I2368" s="311">
        <v>6.9491283441364585E-2</v>
      </c>
      <c r="J2368" s="312">
        <v>4852.547482233239</v>
      </c>
      <c r="K2368" s="311">
        <v>0.1641803737572399</v>
      </c>
      <c r="L2368" s="312">
        <v>1522.0936736050749</v>
      </c>
      <c r="M2368" s="311">
        <v>5.149829221475305E-2</v>
      </c>
      <c r="N2368" s="312">
        <v>3177.0466765511728</v>
      </c>
      <c r="O2368" s="311">
        <v>0.10749172732675945</v>
      </c>
      <c r="P2368" s="312">
        <v>2448.2593432566678</v>
      </c>
      <c r="Q2368" s="311">
        <v>8.2834044489461897E-2</v>
      </c>
      <c r="R2368" s="312">
        <v>29556.197072667797</v>
      </c>
      <c r="S2368" s="311">
        <v>0.27562714450771642</v>
      </c>
      <c r="T2368" s="307"/>
    </row>
    <row r="2369" spans="1:20" ht="15.75" thickBot="1">
      <c r="A2369" s="310" t="s">
        <v>302</v>
      </c>
      <c r="B2369" s="309">
        <v>195.23355263157896</v>
      </c>
      <c r="C2369" s="308">
        <v>9.3664868301170545E-2</v>
      </c>
      <c r="D2369" s="309">
        <v>829.65005804953557</v>
      </c>
      <c r="E2369" s="308">
        <v>0.39803129316563407</v>
      </c>
      <c r="F2369" s="309">
        <v>135.82730263157896</v>
      </c>
      <c r="G2369" s="308">
        <v>6.5164241705409923E-2</v>
      </c>
      <c r="H2369" s="309">
        <v>76.421052631578945</v>
      </c>
      <c r="I2369" s="308">
        <v>3.6663615109649272E-2</v>
      </c>
      <c r="J2369" s="309">
        <v>505.91186145510835</v>
      </c>
      <c r="K2369" s="308">
        <v>0.24271528759513067</v>
      </c>
      <c r="L2369" s="309">
        <v>118.8125</v>
      </c>
      <c r="M2369" s="308">
        <v>5.7001253191521266E-2</v>
      </c>
      <c r="N2369" s="309">
        <v>86.700367647058826</v>
      </c>
      <c r="O2369" s="308">
        <v>4.159519922607452E-2</v>
      </c>
      <c r="P2369" s="309">
        <v>135.82730263157896</v>
      </c>
      <c r="Q2369" s="308">
        <v>6.5164241705409923E-2</v>
      </c>
      <c r="R2369" s="309">
        <v>2084.3839976780182</v>
      </c>
      <c r="S2369" s="308">
        <v>1.9437981413003014E-2</v>
      </c>
      <c r="T2369" s="307"/>
    </row>
    <row r="2373" spans="1:20" ht="15.75" thickBot="1"/>
    <row r="2374" spans="1:20" ht="29.25" customHeight="1">
      <c r="A2374" s="752" t="s">
        <v>310</v>
      </c>
      <c r="B2374" s="763" t="s">
        <v>378</v>
      </c>
      <c r="C2374" s="764"/>
      <c r="D2374" s="764"/>
      <c r="E2374" s="764"/>
      <c r="F2374" s="764"/>
      <c r="G2374" s="764"/>
      <c r="H2374" s="764"/>
      <c r="I2374" s="765"/>
      <c r="J2374" s="307"/>
    </row>
    <row r="2375" spans="1:20" ht="15" customHeight="1">
      <c r="A2375" s="753"/>
      <c r="B2375" s="767" t="s">
        <v>30</v>
      </c>
      <c r="C2375" s="759"/>
      <c r="D2375" s="768" t="s">
        <v>29</v>
      </c>
      <c r="E2375" s="759"/>
      <c r="F2375" s="768" t="s">
        <v>28</v>
      </c>
      <c r="G2375" s="759"/>
      <c r="H2375" s="769" t="s">
        <v>9</v>
      </c>
      <c r="I2375" s="766"/>
      <c r="J2375" s="307"/>
    </row>
    <row r="2376" spans="1:20" ht="15.75" customHeight="1" thickBot="1">
      <c r="A2376" s="754"/>
      <c r="B2376" s="318" t="s">
        <v>7</v>
      </c>
      <c r="C2376" s="318" t="s">
        <v>8</v>
      </c>
      <c r="D2376" s="318" t="s">
        <v>7</v>
      </c>
      <c r="E2376" s="318" t="s">
        <v>8</v>
      </c>
      <c r="F2376" s="318" t="s">
        <v>7</v>
      </c>
      <c r="G2376" s="318" t="s">
        <v>8</v>
      </c>
      <c r="H2376" s="318" t="s">
        <v>7</v>
      </c>
      <c r="I2376" s="318" t="s">
        <v>6</v>
      </c>
      <c r="J2376" s="307"/>
    </row>
    <row r="2377" spans="1:20" ht="15.75" customHeight="1">
      <c r="A2377" s="316" t="s">
        <v>5</v>
      </c>
      <c r="B2377" s="315">
        <v>8101.9700380000104</v>
      </c>
      <c r="C2377" s="314">
        <v>3.1642264135140527E-2</v>
      </c>
      <c r="D2377" s="315">
        <v>61937.524120999566</v>
      </c>
      <c r="E2377" s="314">
        <v>0.24189715450948493</v>
      </c>
      <c r="F2377" s="315">
        <v>186009.50421220477</v>
      </c>
      <c r="G2377" s="314">
        <v>0.72646058135535041</v>
      </c>
      <c r="H2377" s="315">
        <v>256048.9983712105</v>
      </c>
      <c r="I2377" s="314">
        <v>1</v>
      </c>
      <c r="J2377" s="307"/>
    </row>
    <row r="2378" spans="1:20">
      <c r="A2378" s="313" t="s">
        <v>309</v>
      </c>
      <c r="B2378" s="312">
        <v>56.873564999999999</v>
      </c>
      <c r="C2378" s="311">
        <v>1.0020007615302078E-2</v>
      </c>
      <c r="D2378" s="312">
        <v>1053.740213</v>
      </c>
      <c r="E2378" s="311">
        <v>0.18564837563479686</v>
      </c>
      <c r="F2378" s="312">
        <v>4565.3863992000015</v>
      </c>
      <c r="G2378" s="311">
        <v>0.8043316167499005</v>
      </c>
      <c r="H2378" s="312">
        <v>5676.0001772000051</v>
      </c>
      <c r="I2378" s="311">
        <v>2.2167632809760682E-2</v>
      </c>
      <c r="J2378" s="307"/>
    </row>
    <row r="2379" spans="1:20">
      <c r="A2379" s="313" t="s">
        <v>308</v>
      </c>
      <c r="B2379" s="312">
        <v>894.07386599999984</v>
      </c>
      <c r="C2379" s="311">
        <v>8.5028422703240333E-2</v>
      </c>
      <c r="D2379" s="312">
        <v>2899.9793970000055</v>
      </c>
      <c r="E2379" s="311">
        <v>0.27579452143253286</v>
      </c>
      <c r="F2379" s="312">
        <v>6720.9467519999998</v>
      </c>
      <c r="G2379" s="311">
        <v>0.63917705586422568</v>
      </c>
      <c r="H2379" s="312">
        <v>10515.000015000018</v>
      </c>
      <c r="I2379" s="311">
        <v>4.1066358712154596E-2</v>
      </c>
      <c r="J2379" s="307"/>
    </row>
    <row r="2380" spans="1:20">
      <c r="A2380" s="313" t="s">
        <v>307</v>
      </c>
      <c r="B2380" s="312">
        <v>91.476029999999994</v>
      </c>
      <c r="C2380" s="311">
        <v>4.74509952376678E-3</v>
      </c>
      <c r="D2380" s="312">
        <v>3482.5627489999979</v>
      </c>
      <c r="E2380" s="311">
        <v>0.18064958483405782</v>
      </c>
      <c r="F2380" s="312">
        <v>15703.961511999987</v>
      </c>
      <c r="G2380" s="311">
        <v>0.81460531564217409</v>
      </c>
      <c r="H2380" s="312">
        <v>19278.000291000011</v>
      </c>
      <c r="I2380" s="311">
        <v>7.5290278085960199E-2</v>
      </c>
      <c r="J2380" s="307"/>
    </row>
    <row r="2381" spans="1:20">
      <c r="A2381" s="313" t="s">
        <v>306</v>
      </c>
      <c r="B2381" s="312">
        <v>393.59441700000002</v>
      </c>
      <c r="C2381" s="311">
        <v>1.9579863864422248E-2</v>
      </c>
      <c r="D2381" s="312">
        <v>3568.6839260000002</v>
      </c>
      <c r="E2381" s="311">
        <v>0.17752880231081103</v>
      </c>
      <c r="F2381" s="312">
        <v>16139.721329999986</v>
      </c>
      <c r="G2381" s="311">
        <v>0.80289133382476729</v>
      </c>
      <c r="H2381" s="312">
        <v>20101.999672999973</v>
      </c>
      <c r="I2381" s="311">
        <v>7.8508409721864347E-2</v>
      </c>
      <c r="J2381" s="307"/>
    </row>
    <row r="2382" spans="1:20">
      <c r="A2382" s="313" t="s">
        <v>305</v>
      </c>
      <c r="B2382" s="312">
        <v>1386.1609090000004</v>
      </c>
      <c r="C2382" s="311">
        <v>4.3688884470358985E-2</v>
      </c>
      <c r="D2382" s="312">
        <v>8343.3548370000026</v>
      </c>
      <c r="E2382" s="311">
        <v>0.26296504482431904</v>
      </c>
      <c r="F2382" s="312">
        <v>21998.483854000031</v>
      </c>
      <c r="G2382" s="311">
        <v>0.69334607070531984</v>
      </c>
      <c r="H2382" s="312">
        <v>31727.999600000101</v>
      </c>
      <c r="I2382" s="311">
        <v>0.12391378135368453</v>
      </c>
      <c r="J2382" s="307"/>
    </row>
    <row r="2383" spans="1:20" ht="28.5">
      <c r="A2383" s="313" t="s">
        <v>304</v>
      </c>
      <c r="B2383" s="312">
        <v>3083.0819310000006</v>
      </c>
      <c r="C2383" s="311">
        <v>3.2340133219330353E-2</v>
      </c>
      <c r="D2383" s="312">
        <v>25412.84376400003</v>
      </c>
      <c r="E2383" s="311">
        <v>0.26656922235706532</v>
      </c>
      <c r="F2383" s="312">
        <v>66837.074638998631</v>
      </c>
      <c r="G2383" s="311">
        <v>0.70109064442359814</v>
      </c>
      <c r="H2383" s="312">
        <v>95333.000333999255</v>
      </c>
      <c r="I2383" s="311">
        <v>0.37232326992269249</v>
      </c>
      <c r="J2383" s="307"/>
    </row>
    <row r="2384" spans="1:20" ht="28.5">
      <c r="A2384" s="313" t="s">
        <v>303</v>
      </c>
      <c r="B2384" s="312">
        <v>2128.44265</v>
      </c>
      <c r="C2384" s="311">
        <v>3.0870260256675771E-2</v>
      </c>
      <c r="D2384" s="312">
        <v>16148.292573000059</v>
      </c>
      <c r="E2384" s="311">
        <v>0.23420973754188598</v>
      </c>
      <c r="F2384" s="312">
        <v>50671.263022000749</v>
      </c>
      <c r="G2384" s="311">
        <v>0.73492000220143794</v>
      </c>
      <c r="H2384" s="312">
        <v>68947.998245000825</v>
      </c>
      <c r="I2384" s="311">
        <v>0.2692765786376658</v>
      </c>
      <c r="J2384" s="307"/>
    </row>
    <row r="2385" spans="1:10" ht="15.75" thickBot="1">
      <c r="A2385" s="313" t="s">
        <v>302</v>
      </c>
      <c r="B2385" s="312">
        <v>68.266670000000005</v>
      </c>
      <c r="C2385" s="311">
        <v>1.527560292013388E-2</v>
      </c>
      <c r="D2385" s="312">
        <v>1028.0666619999997</v>
      </c>
      <c r="E2385" s="311">
        <v>0.23004400396473834</v>
      </c>
      <c r="F2385" s="312">
        <v>3372.6667039999993</v>
      </c>
      <c r="G2385" s="311">
        <v>0.75468039311512769</v>
      </c>
      <c r="H2385" s="312">
        <v>4469.0000359999995</v>
      </c>
      <c r="I2385" s="311">
        <v>1.7453690756177091E-2</v>
      </c>
      <c r="J2385" s="307"/>
    </row>
    <row r="2386" spans="1:10" ht="15" customHeight="1">
      <c r="A2386" s="316" t="s">
        <v>4</v>
      </c>
      <c r="B2386" s="315">
        <v>10395.728350462272</v>
      </c>
      <c r="C2386" s="314">
        <v>4.6280165031929797E-2</v>
      </c>
      <c r="D2386" s="315">
        <v>65284.178086342508</v>
      </c>
      <c r="E2386" s="314">
        <v>0.29063500256578689</v>
      </c>
      <c r="F2386" s="315">
        <v>148946.09356319543</v>
      </c>
      <c r="G2386" s="314">
        <v>0.66308483240228344</v>
      </c>
      <c r="H2386" s="315">
        <v>224626.0000000002</v>
      </c>
      <c r="I2386" s="314">
        <v>1</v>
      </c>
      <c r="J2386" s="307"/>
    </row>
    <row r="2387" spans="1:10">
      <c r="A2387" s="313" t="s">
        <v>309</v>
      </c>
      <c r="B2387" s="312">
        <v>639.92394447657591</v>
      </c>
      <c r="C2387" s="311">
        <v>8.7552872414362715E-2</v>
      </c>
      <c r="D2387" s="312">
        <v>1837.1683053788317</v>
      </c>
      <c r="E2387" s="311">
        <v>0.25135699895729036</v>
      </c>
      <c r="F2387" s="312">
        <v>4831.9077501445909</v>
      </c>
      <c r="G2387" s="311">
        <v>0.66109012862834859</v>
      </c>
      <c r="H2387" s="312">
        <v>7308.9999999999864</v>
      </c>
      <c r="I2387" s="311">
        <v>3.2538530713274422E-2</v>
      </c>
      <c r="J2387" s="307"/>
    </row>
    <row r="2388" spans="1:10">
      <c r="A2388" s="313" t="s">
        <v>308</v>
      </c>
      <c r="B2388" s="312">
        <v>909.1248542364483</v>
      </c>
      <c r="C2388" s="311">
        <v>9.4947765455504013E-2</v>
      </c>
      <c r="D2388" s="312">
        <v>3601.1989547193175</v>
      </c>
      <c r="E2388" s="311">
        <v>0.37610432947460337</v>
      </c>
      <c r="F2388" s="312">
        <v>5064.6761910442392</v>
      </c>
      <c r="G2388" s="311">
        <v>0.52894790506989597</v>
      </c>
      <c r="H2388" s="312">
        <v>9574.9999999999727</v>
      </c>
      <c r="I2388" s="311">
        <v>4.2626410121713268E-2</v>
      </c>
      <c r="J2388" s="307"/>
    </row>
    <row r="2389" spans="1:10">
      <c r="A2389" s="313" t="s">
        <v>307</v>
      </c>
      <c r="B2389" s="312">
        <v>120.45614035087719</v>
      </c>
      <c r="C2389" s="311">
        <v>6.083643452064494E-3</v>
      </c>
      <c r="D2389" s="312">
        <v>2665.2897052014205</v>
      </c>
      <c r="E2389" s="311">
        <v>0.1346105911717887</v>
      </c>
      <c r="F2389" s="312">
        <v>17014.254154447739</v>
      </c>
      <c r="G2389" s="311">
        <v>0.859305765376147</v>
      </c>
      <c r="H2389" s="312">
        <v>19800.000000000033</v>
      </c>
      <c r="I2389" s="311">
        <v>8.8146519102864376E-2</v>
      </c>
      <c r="J2389" s="307"/>
    </row>
    <row r="2390" spans="1:10">
      <c r="A2390" s="313" t="s">
        <v>306</v>
      </c>
      <c r="B2390" s="312">
        <v>608.98198051948054</v>
      </c>
      <c r="C2390" s="311">
        <v>3.0663745242672867E-2</v>
      </c>
      <c r="D2390" s="312">
        <v>4709.3536902122314</v>
      </c>
      <c r="E2390" s="311">
        <v>0.23712757755348698</v>
      </c>
      <c r="F2390" s="312">
        <v>14541.664329268284</v>
      </c>
      <c r="G2390" s="311">
        <v>0.73220867720384419</v>
      </c>
      <c r="H2390" s="312">
        <v>19859.999999999916</v>
      </c>
      <c r="I2390" s="311">
        <v>8.8413629766811927E-2</v>
      </c>
      <c r="J2390" s="307"/>
    </row>
    <row r="2391" spans="1:10">
      <c r="A2391" s="313" t="s">
        <v>305</v>
      </c>
      <c r="B2391" s="312">
        <v>1876.657195794138</v>
      </c>
      <c r="C2391" s="311">
        <v>6.6016716353963653E-2</v>
      </c>
      <c r="D2391" s="312">
        <v>8532.0054515575102</v>
      </c>
      <c r="E2391" s="311">
        <v>0.30013738528713724</v>
      </c>
      <c r="F2391" s="312">
        <v>18018.337352648334</v>
      </c>
      <c r="G2391" s="311">
        <v>0.63384589835889149</v>
      </c>
      <c r="H2391" s="312">
        <v>28427.0000000002</v>
      </c>
      <c r="I2391" s="311">
        <v>0.12655258073419895</v>
      </c>
      <c r="J2391" s="307"/>
    </row>
    <row r="2392" spans="1:10" ht="28.5">
      <c r="A2392" s="313" t="s">
        <v>304</v>
      </c>
      <c r="B2392" s="312">
        <v>3887.8576314916563</v>
      </c>
      <c r="C2392" s="311">
        <v>5.0475269477334592E-2</v>
      </c>
      <c r="D2392" s="312">
        <v>26123.217013320325</v>
      </c>
      <c r="E2392" s="311">
        <v>0.33915244418462315</v>
      </c>
      <c r="F2392" s="312">
        <v>47013.925355188265</v>
      </c>
      <c r="G2392" s="311">
        <v>0.61037228633805585</v>
      </c>
      <c r="H2392" s="312">
        <v>77024.9999999992</v>
      </c>
      <c r="I2392" s="311">
        <v>0.34290331484333569</v>
      </c>
      <c r="J2392" s="307"/>
    </row>
    <row r="2393" spans="1:10" ht="28.5">
      <c r="A2393" s="313" t="s">
        <v>303</v>
      </c>
      <c r="B2393" s="312">
        <v>2149.043964704214</v>
      </c>
      <c r="C2393" s="311">
        <v>3.6605640878657357E-2</v>
      </c>
      <c r="D2393" s="312">
        <v>17152.68097785785</v>
      </c>
      <c r="E2393" s="311">
        <v>0.29216939731992009</v>
      </c>
      <c r="F2393" s="312">
        <v>39406.275057437888</v>
      </c>
      <c r="G2393" s="311">
        <v>0.67122496180142277</v>
      </c>
      <c r="H2393" s="312">
        <v>58707.999999999942</v>
      </c>
      <c r="I2393" s="311">
        <v>0.26135888098439131</v>
      </c>
      <c r="J2393" s="307"/>
    </row>
    <row r="2394" spans="1:10" ht="15.75" thickBot="1">
      <c r="A2394" s="313" t="s">
        <v>302</v>
      </c>
      <c r="B2394" s="312">
        <v>203.6826388888889</v>
      </c>
      <c r="C2394" s="311">
        <v>5.1933360247039505E-2</v>
      </c>
      <c r="D2394" s="312">
        <v>663.26398809523812</v>
      </c>
      <c r="E2394" s="311">
        <v>0.16911371445569565</v>
      </c>
      <c r="F2394" s="312">
        <v>3055.0533730158722</v>
      </c>
      <c r="G2394" s="311">
        <v>0.7789529252972649</v>
      </c>
      <c r="H2394" s="312">
        <v>3921.9999999999991</v>
      </c>
      <c r="I2394" s="311">
        <v>1.7460133733405728E-2</v>
      </c>
      <c r="J2394" s="307"/>
    </row>
    <row r="2395" spans="1:10" ht="15.75" customHeight="1">
      <c r="A2395" s="316" t="s">
        <v>3</v>
      </c>
      <c r="B2395" s="315">
        <v>8251.3820944425388</v>
      </c>
      <c r="C2395" s="314">
        <v>5.536316915776554E-2</v>
      </c>
      <c r="D2395" s="315">
        <v>42763.750551182915</v>
      </c>
      <c r="E2395" s="314">
        <v>0.2869260844410792</v>
      </c>
      <c r="F2395" s="315">
        <v>98025.867354373986</v>
      </c>
      <c r="G2395" s="314">
        <v>0.6577107464011509</v>
      </c>
      <c r="H2395" s="315">
        <v>149041.00000000009</v>
      </c>
      <c r="I2395" s="314">
        <v>1</v>
      </c>
      <c r="J2395" s="307"/>
    </row>
    <row r="2396" spans="1:10">
      <c r="A2396" s="313" t="s">
        <v>309</v>
      </c>
      <c r="B2396" s="312">
        <v>133.48888888888888</v>
      </c>
      <c r="C2396" s="311">
        <v>4.6126084619519302E-2</v>
      </c>
      <c r="D2396" s="312">
        <v>688.18407605466439</v>
      </c>
      <c r="E2396" s="311">
        <v>0.23779684728910308</v>
      </c>
      <c r="F2396" s="312">
        <v>2072.3270350564494</v>
      </c>
      <c r="G2396" s="311">
        <v>0.71607706809137839</v>
      </c>
      <c r="H2396" s="312">
        <v>2894.0000000000005</v>
      </c>
      <c r="I2396" s="311">
        <v>1.9417475728155331E-2</v>
      </c>
      <c r="J2396" s="307"/>
    </row>
    <row r="2397" spans="1:10">
      <c r="A2397" s="313" t="s">
        <v>308</v>
      </c>
      <c r="B2397" s="312">
        <v>948.93371149428663</v>
      </c>
      <c r="C2397" s="311">
        <v>0.12701562193739652</v>
      </c>
      <c r="D2397" s="312">
        <v>3019.3656224609585</v>
      </c>
      <c r="E2397" s="311">
        <v>0.40414477612916178</v>
      </c>
      <c r="F2397" s="312">
        <v>3502.7006660447601</v>
      </c>
      <c r="G2397" s="311">
        <v>0.46883960193344543</v>
      </c>
      <c r="H2397" s="312">
        <v>7470.9999999999773</v>
      </c>
      <c r="I2397" s="311">
        <v>5.0127146221509336E-2</v>
      </c>
      <c r="J2397" s="307"/>
    </row>
    <row r="2398" spans="1:10">
      <c r="A2398" s="313" t="s">
        <v>307</v>
      </c>
      <c r="B2398" s="312">
        <v>504.3810763888888</v>
      </c>
      <c r="C2398" s="311">
        <v>3.1215563583914373E-2</v>
      </c>
      <c r="D2398" s="312">
        <v>3380.0222800925931</v>
      </c>
      <c r="E2398" s="311">
        <v>0.20918568387749667</v>
      </c>
      <c r="F2398" s="312">
        <v>12273.596643518522</v>
      </c>
      <c r="G2398" s="311">
        <v>0.75959875253858855</v>
      </c>
      <c r="H2398" s="312">
        <v>16158.000000000011</v>
      </c>
      <c r="I2398" s="311">
        <v>0.10841312122167727</v>
      </c>
      <c r="J2398" s="307"/>
    </row>
    <row r="2399" spans="1:10">
      <c r="A2399" s="313" t="s">
        <v>306</v>
      </c>
      <c r="B2399" s="312">
        <v>393.93105897159307</v>
      </c>
      <c r="C2399" s="311">
        <v>2.9721673379477401E-2</v>
      </c>
      <c r="D2399" s="312">
        <v>2718.843975188779</v>
      </c>
      <c r="E2399" s="311">
        <v>0.20513384451401706</v>
      </c>
      <c r="F2399" s="312">
        <v>10141.224965839625</v>
      </c>
      <c r="G2399" s="311">
        <v>0.76514448210650643</v>
      </c>
      <c r="H2399" s="312">
        <v>13253.999999999985</v>
      </c>
      <c r="I2399" s="311">
        <v>8.8928549862118317E-2</v>
      </c>
      <c r="J2399" s="307"/>
    </row>
    <row r="2400" spans="1:10">
      <c r="A2400" s="313" t="s">
        <v>305</v>
      </c>
      <c r="B2400" s="312">
        <v>1460.1519270442764</v>
      </c>
      <c r="C2400" s="311">
        <v>6.2861715474611501E-2</v>
      </c>
      <c r="D2400" s="312">
        <v>6547.4626964244744</v>
      </c>
      <c r="E2400" s="311">
        <v>0.28187802206063683</v>
      </c>
      <c r="F2400" s="312">
        <v>15220.385376531181</v>
      </c>
      <c r="G2400" s="311">
        <v>0.65526026246474844</v>
      </c>
      <c r="H2400" s="312">
        <v>23228.000000000007</v>
      </c>
      <c r="I2400" s="311">
        <v>0.15584973262390883</v>
      </c>
      <c r="J2400" s="307"/>
    </row>
    <row r="2401" spans="1:10" ht="28.5">
      <c r="A2401" s="313" t="s">
        <v>304</v>
      </c>
      <c r="B2401" s="312">
        <v>2769.8653110962318</v>
      </c>
      <c r="C2401" s="311">
        <v>6.2239968341375566E-2</v>
      </c>
      <c r="D2401" s="312">
        <v>14497.561007193735</v>
      </c>
      <c r="E2401" s="311">
        <v>0.32576592605428312</v>
      </c>
      <c r="F2401" s="312">
        <v>27235.573681709771</v>
      </c>
      <c r="G2401" s="311">
        <v>0.61199410560433731</v>
      </c>
      <c r="H2401" s="312">
        <v>44502.99999999992</v>
      </c>
      <c r="I2401" s="311">
        <v>0.29859568843472528</v>
      </c>
      <c r="J2401" s="307"/>
    </row>
    <row r="2402" spans="1:10" ht="28.5">
      <c r="A2402" s="313" t="s">
        <v>303</v>
      </c>
      <c r="B2402" s="312">
        <v>2040.6301205583861</v>
      </c>
      <c r="C2402" s="311">
        <v>5.2866065299439623E-2</v>
      </c>
      <c r="D2402" s="312">
        <v>11275.96317704922</v>
      </c>
      <c r="E2402" s="311">
        <v>0.29212339836914841</v>
      </c>
      <c r="F2402" s="312">
        <v>25283.406702392644</v>
      </c>
      <c r="G2402" s="311">
        <v>0.65501053633141026</v>
      </c>
      <c r="H2402" s="312">
        <v>38600.000000000313</v>
      </c>
      <c r="I2402" s="311">
        <v>0.25898913721727773</v>
      </c>
      <c r="J2402" s="307"/>
    </row>
    <row r="2403" spans="1:10" ht="15.75" thickBot="1">
      <c r="A2403" s="310" t="s">
        <v>302</v>
      </c>
      <c r="B2403" s="309">
        <v>0</v>
      </c>
      <c r="C2403" s="308">
        <v>0</v>
      </c>
      <c r="D2403" s="309">
        <v>636.34771671826627</v>
      </c>
      <c r="E2403" s="308">
        <v>0.21696137631035328</v>
      </c>
      <c r="F2403" s="309">
        <v>2296.6522832817336</v>
      </c>
      <c r="G2403" s="308">
        <v>0.78303862368964661</v>
      </c>
      <c r="H2403" s="309">
        <v>2933.0000000000005</v>
      </c>
      <c r="I2403" s="308">
        <v>1.9679148690628746E-2</v>
      </c>
      <c r="J2403" s="307"/>
    </row>
    <row r="2407" spans="1:10" ht="15.75" thickBot="1"/>
    <row r="2408" spans="1:10" ht="30" customHeight="1">
      <c r="A2408" s="752" t="s">
        <v>310</v>
      </c>
      <c r="B2408" s="755" t="s">
        <v>379</v>
      </c>
      <c r="C2408" s="756"/>
      <c r="D2408" s="756"/>
      <c r="E2408" s="756"/>
      <c r="F2408" s="756"/>
      <c r="G2408" s="757"/>
      <c r="H2408" s="307"/>
    </row>
    <row r="2409" spans="1:10" ht="15" customHeight="1">
      <c r="A2409" s="753"/>
      <c r="B2409" s="767" t="s">
        <v>27</v>
      </c>
      <c r="C2409" s="759"/>
      <c r="D2409" s="768" t="s">
        <v>26</v>
      </c>
      <c r="E2409" s="759"/>
      <c r="F2409" s="769" t="s">
        <v>9</v>
      </c>
      <c r="G2409" s="762"/>
      <c r="H2409" s="307"/>
    </row>
    <row r="2410" spans="1:10" ht="15.75" customHeight="1" thickBot="1">
      <c r="A2410" s="754"/>
      <c r="B2410" s="318" t="s">
        <v>7</v>
      </c>
      <c r="C2410" s="318" t="s">
        <v>8</v>
      </c>
      <c r="D2410" s="318" t="s">
        <v>7</v>
      </c>
      <c r="E2410" s="318" t="s">
        <v>8</v>
      </c>
      <c r="F2410" s="318" t="s">
        <v>7</v>
      </c>
      <c r="G2410" s="317" t="s">
        <v>8</v>
      </c>
      <c r="H2410" s="307"/>
    </row>
    <row r="2411" spans="1:10" ht="15.75" customHeight="1">
      <c r="A2411" s="316" t="s">
        <v>5</v>
      </c>
      <c r="B2411" s="315">
        <v>28380.295351000052</v>
      </c>
      <c r="C2411" s="314">
        <v>0.11083931408259343</v>
      </c>
      <c r="D2411" s="315">
        <v>227668.7030202079</v>
      </c>
      <c r="E2411" s="314">
        <v>0.88916068591739661</v>
      </c>
      <c r="F2411" s="315">
        <v>256048.9983712105</v>
      </c>
      <c r="G2411" s="314">
        <v>1</v>
      </c>
      <c r="H2411" s="307"/>
    </row>
    <row r="2412" spans="1:10">
      <c r="A2412" s="313" t="s">
        <v>309</v>
      </c>
      <c r="B2412" s="312">
        <v>605.55102000000011</v>
      </c>
      <c r="C2412" s="311">
        <v>0.10668622288498959</v>
      </c>
      <c r="D2412" s="312">
        <v>5070.4491572000015</v>
      </c>
      <c r="E2412" s="311">
        <v>0.89331377711500981</v>
      </c>
      <c r="F2412" s="312">
        <v>5676.0001772000051</v>
      </c>
      <c r="G2412" s="311">
        <v>2.2167632809760682E-2</v>
      </c>
      <c r="H2412" s="307"/>
    </row>
    <row r="2413" spans="1:10">
      <c r="A2413" s="313" t="s">
        <v>308</v>
      </c>
      <c r="B2413" s="312">
        <v>1596.4940300000001</v>
      </c>
      <c r="C2413" s="311">
        <v>0.1518301500449401</v>
      </c>
      <c r="D2413" s="312">
        <v>8918.5059850000052</v>
      </c>
      <c r="E2413" s="311">
        <v>0.84816984995505873</v>
      </c>
      <c r="F2413" s="312">
        <v>10515.000015000018</v>
      </c>
      <c r="G2413" s="311">
        <v>4.1066358712154596E-2</v>
      </c>
      <c r="H2413" s="307"/>
    </row>
    <row r="2414" spans="1:10">
      <c r="A2414" s="313" t="s">
        <v>307</v>
      </c>
      <c r="B2414" s="312">
        <v>1869.4742129999997</v>
      </c>
      <c r="C2414" s="311">
        <v>9.6974488265402156E-2</v>
      </c>
      <c r="D2414" s="312">
        <v>17408.526077999999</v>
      </c>
      <c r="E2414" s="311">
        <v>0.90302551173459722</v>
      </c>
      <c r="F2414" s="312">
        <v>19278.000291000011</v>
      </c>
      <c r="G2414" s="311">
        <v>7.5290278085960199E-2</v>
      </c>
      <c r="H2414" s="307"/>
    </row>
    <row r="2415" spans="1:10">
      <c r="A2415" s="313" t="s">
        <v>306</v>
      </c>
      <c r="B2415" s="312">
        <v>1419.8039320000003</v>
      </c>
      <c r="C2415" s="311">
        <v>7.0629984832156364E-2</v>
      </c>
      <c r="D2415" s="312">
        <v>18682.195740999992</v>
      </c>
      <c r="E2415" s="311">
        <v>0.92937001516784468</v>
      </c>
      <c r="F2415" s="312">
        <v>20101.999672999973</v>
      </c>
      <c r="G2415" s="311">
        <v>7.8508409721864347E-2</v>
      </c>
      <c r="H2415" s="307"/>
    </row>
    <row r="2416" spans="1:10">
      <c r="A2416" s="313" t="s">
        <v>305</v>
      </c>
      <c r="B2416" s="312">
        <v>4251.6736849999988</v>
      </c>
      <c r="C2416" s="311">
        <v>0.13400383694533283</v>
      </c>
      <c r="D2416" s="312">
        <v>27476.325915000074</v>
      </c>
      <c r="E2416" s="311">
        <v>0.8659961630546662</v>
      </c>
      <c r="F2416" s="312">
        <v>31727.999600000101</v>
      </c>
      <c r="G2416" s="311">
        <v>0.12391378135368453</v>
      </c>
      <c r="H2416" s="307"/>
    </row>
    <row r="2417" spans="1:8" ht="28.5">
      <c r="A2417" s="313" t="s">
        <v>304</v>
      </c>
      <c r="B2417" s="312">
        <v>9884.6269630000043</v>
      </c>
      <c r="C2417" s="311">
        <v>0.10368526038590209</v>
      </c>
      <c r="D2417" s="312">
        <v>85448.373370999179</v>
      </c>
      <c r="E2417" s="311">
        <v>0.89631473961409713</v>
      </c>
      <c r="F2417" s="312">
        <v>95333.000333999255</v>
      </c>
      <c r="G2417" s="311">
        <v>0.37232326992269249</v>
      </c>
      <c r="H2417" s="307"/>
    </row>
    <row r="2418" spans="1:8" ht="28.5">
      <c r="A2418" s="313" t="s">
        <v>303</v>
      </c>
      <c r="B2418" s="312">
        <v>8338.5215000000098</v>
      </c>
      <c r="C2418" s="311">
        <v>0.12093928340558613</v>
      </c>
      <c r="D2418" s="312">
        <v>60609.476745001106</v>
      </c>
      <c r="E2418" s="311">
        <v>0.87906071659441809</v>
      </c>
      <c r="F2418" s="312">
        <v>68947.998245000825</v>
      </c>
      <c r="G2418" s="311">
        <v>0.2692765786376658</v>
      </c>
      <c r="H2418" s="307"/>
    </row>
    <row r="2419" spans="1:8" ht="15.75" thickBot="1">
      <c r="A2419" s="313" t="s">
        <v>302</v>
      </c>
      <c r="B2419" s="312">
        <v>414.15000799999996</v>
      </c>
      <c r="C2419" s="311">
        <v>9.2671739687585006E-2</v>
      </c>
      <c r="D2419" s="312">
        <v>4054.8500279999985</v>
      </c>
      <c r="E2419" s="311">
        <v>0.90732826031241476</v>
      </c>
      <c r="F2419" s="312">
        <v>4469.0000359999995</v>
      </c>
      <c r="G2419" s="311">
        <v>1.7453690756177091E-2</v>
      </c>
      <c r="H2419" s="307"/>
    </row>
    <row r="2420" spans="1:8" ht="15" customHeight="1">
      <c r="A2420" s="316" t="s">
        <v>4</v>
      </c>
      <c r="B2420" s="315">
        <v>24874.230175655084</v>
      </c>
      <c r="C2420" s="314">
        <v>0.11073620229027389</v>
      </c>
      <c r="D2420" s="315">
        <v>199751.76982434493</v>
      </c>
      <c r="E2420" s="314">
        <v>0.8892637977097253</v>
      </c>
      <c r="F2420" s="315">
        <v>224626.0000000002</v>
      </c>
      <c r="G2420" s="314">
        <v>1</v>
      </c>
      <c r="H2420" s="307"/>
    </row>
    <row r="2421" spans="1:8">
      <c r="A2421" s="313" t="s">
        <v>309</v>
      </c>
      <c r="B2421" s="312">
        <v>928.89647194910356</v>
      </c>
      <c r="C2421" s="311">
        <v>0.127089406478192</v>
      </c>
      <c r="D2421" s="312">
        <v>6380.1035280508859</v>
      </c>
      <c r="E2421" s="311">
        <v>0.87291059352180833</v>
      </c>
      <c r="F2421" s="312">
        <v>7308.9999999999864</v>
      </c>
      <c r="G2421" s="311">
        <v>3.2538530713274422E-2</v>
      </c>
      <c r="H2421" s="307"/>
    </row>
    <row r="2422" spans="1:8">
      <c r="A2422" s="313" t="s">
        <v>308</v>
      </c>
      <c r="B2422" s="312">
        <v>1365.7481141431501</v>
      </c>
      <c r="C2422" s="311">
        <v>0.1426368787616871</v>
      </c>
      <c r="D2422" s="312">
        <v>8209.2518858568401</v>
      </c>
      <c r="E2422" s="311">
        <v>0.85736312123831471</v>
      </c>
      <c r="F2422" s="312">
        <v>9574.9999999999727</v>
      </c>
      <c r="G2422" s="311">
        <v>4.2626410121713268E-2</v>
      </c>
      <c r="H2422" s="307"/>
    </row>
    <row r="2423" spans="1:8">
      <c r="A2423" s="313" t="s">
        <v>307</v>
      </c>
      <c r="B2423" s="312">
        <v>1106.635797705407</v>
      </c>
      <c r="C2423" s="311">
        <v>5.589069685380834E-2</v>
      </c>
      <c r="D2423" s="312">
        <v>18693.36420229463</v>
      </c>
      <c r="E2423" s="311">
        <v>0.94410930314619179</v>
      </c>
      <c r="F2423" s="312">
        <v>19800.000000000033</v>
      </c>
      <c r="G2423" s="311">
        <v>8.8146519102864376E-2</v>
      </c>
      <c r="H2423" s="307"/>
    </row>
    <row r="2424" spans="1:8">
      <c r="A2424" s="313" t="s">
        <v>306</v>
      </c>
      <c r="B2424" s="312">
        <v>1683.2072557016149</v>
      </c>
      <c r="C2424" s="311">
        <v>8.4753638252851052E-2</v>
      </c>
      <c r="D2424" s="312">
        <v>18176.792744298335</v>
      </c>
      <c r="E2424" s="311">
        <v>0.91524636174715057</v>
      </c>
      <c r="F2424" s="312">
        <v>19859.999999999916</v>
      </c>
      <c r="G2424" s="311">
        <v>8.8413629766811927E-2</v>
      </c>
      <c r="H2424" s="307"/>
    </row>
    <row r="2425" spans="1:8">
      <c r="A2425" s="313" t="s">
        <v>305</v>
      </c>
      <c r="B2425" s="312">
        <v>3647.9494172954778</v>
      </c>
      <c r="C2425" s="311">
        <v>0.12832692219704689</v>
      </c>
      <c r="D2425" s="312">
        <v>24779.050582704651</v>
      </c>
      <c r="E2425" s="311">
        <v>0.87167307780295067</v>
      </c>
      <c r="F2425" s="312">
        <v>28427.0000000002</v>
      </c>
      <c r="G2425" s="311">
        <v>0.12655258073419895</v>
      </c>
      <c r="H2425" s="307"/>
    </row>
    <row r="2426" spans="1:8" ht="28.5">
      <c r="A2426" s="313" t="s">
        <v>304</v>
      </c>
      <c r="B2426" s="312">
        <v>9130.1516455929195</v>
      </c>
      <c r="C2426" s="311">
        <v>0.11853491263346984</v>
      </c>
      <c r="D2426" s="312">
        <v>67894.848354406626</v>
      </c>
      <c r="E2426" s="311">
        <v>0.88146508736653462</v>
      </c>
      <c r="F2426" s="312">
        <v>77024.9999999992</v>
      </c>
      <c r="G2426" s="311">
        <v>0.34290331484333569</v>
      </c>
      <c r="H2426" s="307"/>
    </row>
    <row r="2427" spans="1:8" ht="28.5">
      <c r="A2427" s="313" t="s">
        <v>303</v>
      </c>
      <c r="B2427" s="312">
        <v>6726.9365129498183</v>
      </c>
      <c r="C2427" s="311">
        <v>0.11458296165684105</v>
      </c>
      <c r="D2427" s="312">
        <v>51981.063487050145</v>
      </c>
      <c r="E2427" s="311">
        <v>0.88541703834315921</v>
      </c>
      <c r="F2427" s="312">
        <v>58707.999999999942</v>
      </c>
      <c r="G2427" s="311">
        <v>0.26135888098439131</v>
      </c>
      <c r="H2427" s="307"/>
    </row>
    <row r="2428" spans="1:8" ht="15.75" thickBot="1">
      <c r="A2428" s="313" t="s">
        <v>302</v>
      </c>
      <c r="B2428" s="312">
        <v>284.70496031746029</v>
      </c>
      <c r="C2428" s="311">
        <v>7.2591779785176017E-2</v>
      </c>
      <c r="D2428" s="312">
        <v>3637.2950396825386</v>
      </c>
      <c r="E2428" s="311">
        <v>0.92740822021482383</v>
      </c>
      <c r="F2428" s="312">
        <v>3921.9999999999991</v>
      </c>
      <c r="G2428" s="311">
        <v>1.7460133733405728E-2</v>
      </c>
      <c r="H2428" s="307"/>
    </row>
    <row r="2429" spans="1:8" ht="15.75" customHeight="1">
      <c r="A2429" s="316" t="s">
        <v>3</v>
      </c>
      <c r="B2429" s="315">
        <v>19561.299101996137</v>
      </c>
      <c r="C2429" s="314">
        <v>0.13124777143199606</v>
      </c>
      <c r="D2429" s="315">
        <v>129479.70089800229</v>
      </c>
      <c r="E2429" s="314">
        <v>0.86875222856799283</v>
      </c>
      <c r="F2429" s="315">
        <v>149041.00000000009</v>
      </c>
      <c r="G2429" s="314">
        <v>1</v>
      </c>
      <c r="H2429" s="307"/>
    </row>
    <row r="2430" spans="1:8">
      <c r="A2430" s="313" t="s">
        <v>309</v>
      </c>
      <c r="B2430" s="312">
        <v>348.41628045157461</v>
      </c>
      <c r="C2430" s="311">
        <v>0.12039263318990137</v>
      </c>
      <c r="D2430" s="312">
        <v>2545.5837195484269</v>
      </c>
      <c r="E2430" s="311">
        <v>0.8796073668100991</v>
      </c>
      <c r="F2430" s="312">
        <v>2894.0000000000005</v>
      </c>
      <c r="G2430" s="311">
        <v>1.9417475728155331E-2</v>
      </c>
      <c r="H2430" s="307"/>
    </row>
    <row r="2431" spans="1:8">
      <c r="A2431" s="313" t="s">
        <v>308</v>
      </c>
      <c r="B2431" s="312">
        <v>1161.4312338880359</v>
      </c>
      <c r="C2431" s="311">
        <v>0.1554586044556337</v>
      </c>
      <c r="D2431" s="312">
        <v>6309.56876611195</v>
      </c>
      <c r="E2431" s="311">
        <v>0.84454139554436747</v>
      </c>
      <c r="F2431" s="312">
        <v>7470.9999999999773</v>
      </c>
      <c r="G2431" s="311">
        <v>5.0127146221509336E-2</v>
      </c>
      <c r="H2431" s="307"/>
    </row>
    <row r="2432" spans="1:8">
      <c r="A2432" s="313" t="s">
        <v>307</v>
      </c>
      <c r="B2432" s="312">
        <v>1820.4768518518522</v>
      </c>
      <c r="C2432" s="311">
        <v>0.11266721449757711</v>
      </c>
      <c r="D2432" s="312">
        <v>14337.523148148155</v>
      </c>
      <c r="E2432" s="311">
        <v>0.88733278550242256</v>
      </c>
      <c r="F2432" s="312">
        <v>16158.000000000011</v>
      </c>
      <c r="G2432" s="311">
        <v>0.10841312122167727</v>
      </c>
      <c r="H2432" s="307"/>
    </row>
    <row r="2433" spans="1:8">
      <c r="A2433" s="313" t="s">
        <v>306</v>
      </c>
      <c r="B2433" s="312">
        <v>1267.3394732110758</v>
      </c>
      <c r="C2433" s="311">
        <v>9.5619395896414452E-2</v>
      </c>
      <c r="D2433" s="312">
        <v>11986.660526788915</v>
      </c>
      <c r="E2433" s="311">
        <v>0.90438060410358601</v>
      </c>
      <c r="F2433" s="312">
        <v>13253.999999999985</v>
      </c>
      <c r="G2433" s="311">
        <v>8.8928549862118317E-2</v>
      </c>
      <c r="H2433" s="307"/>
    </row>
    <row r="2434" spans="1:8">
      <c r="A2434" s="313" t="s">
        <v>305</v>
      </c>
      <c r="B2434" s="312">
        <v>4047.6887074199944</v>
      </c>
      <c r="C2434" s="311">
        <v>0.174259028216807</v>
      </c>
      <c r="D2434" s="312">
        <v>19180.311292579951</v>
      </c>
      <c r="E2434" s="311">
        <v>0.82574097178319039</v>
      </c>
      <c r="F2434" s="312">
        <v>23228.000000000007</v>
      </c>
      <c r="G2434" s="311">
        <v>0.15584973262390883</v>
      </c>
      <c r="H2434" s="307"/>
    </row>
    <row r="2435" spans="1:8" ht="28.5">
      <c r="A2435" s="313" t="s">
        <v>304</v>
      </c>
      <c r="B2435" s="312">
        <v>5681.4581788721998</v>
      </c>
      <c r="C2435" s="311">
        <v>0.1276646108997643</v>
      </c>
      <c r="D2435" s="312">
        <v>38821.541821127736</v>
      </c>
      <c r="E2435" s="311">
        <v>0.87233538910023611</v>
      </c>
      <c r="F2435" s="312">
        <v>44502.99999999992</v>
      </c>
      <c r="G2435" s="311">
        <v>0.29859568843472528</v>
      </c>
      <c r="H2435" s="307"/>
    </row>
    <row r="2436" spans="1:8" ht="28.5">
      <c r="A2436" s="313" t="s">
        <v>303</v>
      </c>
      <c r="B2436" s="312">
        <v>4893.1482060228082</v>
      </c>
      <c r="C2436" s="311">
        <v>0.12676549756535668</v>
      </c>
      <c r="D2436" s="312">
        <v>33706.851793977599</v>
      </c>
      <c r="E2436" s="311">
        <v>0.87323450243464573</v>
      </c>
      <c r="F2436" s="312">
        <v>38600.000000000313</v>
      </c>
      <c r="G2436" s="311">
        <v>0.25898913721727773</v>
      </c>
      <c r="H2436" s="307"/>
    </row>
    <row r="2437" spans="1:8" ht="15.75" thickBot="1">
      <c r="A2437" s="310" t="s">
        <v>302</v>
      </c>
      <c r="B2437" s="309">
        <v>341.3401702786378</v>
      </c>
      <c r="C2437" s="308">
        <v>0.11637919204863204</v>
      </c>
      <c r="D2437" s="309">
        <v>2591.6598297213618</v>
      </c>
      <c r="E2437" s="308">
        <v>0.88362080795136766</v>
      </c>
      <c r="F2437" s="309">
        <v>2933.0000000000005</v>
      </c>
      <c r="G2437" s="308">
        <v>1.9679148690628746E-2</v>
      </c>
      <c r="H2437" s="307"/>
    </row>
    <row r="2441" spans="1:8" ht="15.75" thickBot="1"/>
    <row r="2442" spans="1:8" ht="30" customHeight="1">
      <c r="A2442" s="752" t="s">
        <v>310</v>
      </c>
      <c r="B2442" s="763" t="s">
        <v>380</v>
      </c>
      <c r="C2442" s="764"/>
      <c r="D2442" s="764"/>
      <c r="E2442" s="764"/>
      <c r="F2442" s="764"/>
      <c r="G2442" s="765"/>
      <c r="H2442" s="307"/>
    </row>
    <row r="2443" spans="1:8" ht="15" customHeight="1">
      <c r="A2443" s="753"/>
      <c r="B2443" s="767" t="s">
        <v>27</v>
      </c>
      <c r="C2443" s="759"/>
      <c r="D2443" s="768" t="s">
        <v>26</v>
      </c>
      <c r="E2443" s="759"/>
      <c r="F2443" s="769" t="s">
        <v>9</v>
      </c>
      <c r="G2443" s="766"/>
      <c r="H2443" s="307"/>
    </row>
    <row r="2444" spans="1:8" ht="15.75" customHeight="1" thickBot="1">
      <c r="A2444" s="754"/>
      <c r="B2444" s="318" t="s">
        <v>7</v>
      </c>
      <c r="C2444" s="318" t="s">
        <v>8</v>
      </c>
      <c r="D2444" s="318" t="s">
        <v>7</v>
      </c>
      <c r="E2444" s="318" t="s">
        <v>8</v>
      </c>
      <c r="F2444" s="318" t="s">
        <v>7</v>
      </c>
      <c r="G2444" s="318" t="s">
        <v>6</v>
      </c>
      <c r="H2444" s="307"/>
    </row>
    <row r="2445" spans="1:8" ht="15.75" customHeight="1">
      <c r="A2445" s="316" t="s">
        <v>5</v>
      </c>
      <c r="B2445" s="315">
        <v>244172.00318620933</v>
      </c>
      <c r="C2445" s="314">
        <v>0.95361436576376546</v>
      </c>
      <c r="D2445" s="315">
        <v>11876.995185000011</v>
      </c>
      <c r="E2445" s="314">
        <v>4.6385634236229961E-2</v>
      </c>
      <c r="F2445" s="315">
        <v>256048.9983712105</v>
      </c>
      <c r="G2445" s="314">
        <v>1</v>
      </c>
      <c r="H2445" s="307"/>
    </row>
    <row r="2446" spans="1:8">
      <c r="A2446" s="313" t="s">
        <v>309</v>
      </c>
      <c r="B2446" s="312">
        <v>5448.1118002000039</v>
      </c>
      <c r="C2446" s="311">
        <v>0.95985053384680841</v>
      </c>
      <c r="D2446" s="312">
        <v>227.88837699999999</v>
      </c>
      <c r="E2446" s="311">
        <v>4.0149466153191399E-2</v>
      </c>
      <c r="F2446" s="312">
        <v>5676.0001772000051</v>
      </c>
      <c r="G2446" s="311">
        <v>2.2167632809760682E-2</v>
      </c>
      <c r="H2446" s="307"/>
    </row>
    <row r="2447" spans="1:8">
      <c r="A2447" s="313" t="s">
        <v>308</v>
      </c>
      <c r="B2447" s="312">
        <v>9480.4486600000146</v>
      </c>
      <c r="C2447" s="311">
        <v>0.90161185415842326</v>
      </c>
      <c r="D2447" s="312">
        <v>1034.5513549999998</v>
      </c>
      <c r="E2447" s="311">
        <v>9.8388145841576402E-2</v>
      </c>
      <c r="F2447" s="312">
        <v>10515.000015000018</v>
      </c>
      <c r="G2447" s="311">
        <v>4.1066358712154596E-2</v>
      </c>
      <c r="H2447" s="307"/>
    </row>
    <row r="2448" spans="1:8">
      <c r="A2448" s="313" t="s">
        <v>307</v>
      </c>
      <c r="B2448" s="312">
        <v>18946.539849000012</v>
      </c>
      <c r="C2448" s="311">
        <v>0.98280628504011669</v>
      </c>
      <c r="D2448" s="312">
        <v>331.460442</v>
      </c>
      <c r="E2448" s="311">
        <v>1.719371495988322E-2</v>
      </c>
      <c r="F2448" s="312">
        <v>19278.000291000011</v>
      </c>
      <c r="G2448" s="311">
        <v>7.5290278085960199E-2</v>
      </c>
      <c r="H2448" s="307"/>
    </row>
    <row r="2449" spans="1:8">
      <c r="A2449" s="313" t="s">
        <v>306</v>
      </c>
      <c r="B2449" s="312">
        <v>19632.296835999972</v>
      </c>
      <c r="C2449" s="311">
        <v>0.97663402424432022</v>
      </c>
      <c r="D2449" s="312">
        <v>469.70283699999999</v>
      </c>
      <c r="E2449" s="311">
        <v>2.3365975755679766E-2</v>
      </c>
      <c r="F2449" s="312">
        <v>20101.999672999973</v>
      </c>
      <c r="G2449" s="311">
        <v>7.8508409721864347E-2</v>
      </c>
      <c r="H2449" s="307"/>
    </row>
    <row r="2450" spans="1:8">
      <c r="A2450" s="313" t="s">
        <v>305</v>
      </c>
      <c r="B2450" s="312">
        <v>29818.183197000079</v>
      </c>
      <c r="C2450" s="311">
        <v>0.93980659269171141</v>
      </c>
      <c r="D2450" s="312">
        <v>1909.8164030000009</v>
      </c>
      <c r="E2450" s="311">
        <v>6.0193407308287872E-2</v>
      </c>
      <c r="F2450" s="312">
        <v>31727.999600000101</v>
      </c>
      <c r="G2450" s="311">
        <v>0.12391378135368453</v>
      </c>
      <c r="H2450" s="307"/>
    </row>
    <row r="2451" spans="1:8" ht="28.5">
      <c r="A2451" s="313" t="s">
        <v>304</v>
      </c>
      <c r="B2451" s="312">
        <v>90325.934958999293</v>
      </c>
      <c r="C2451" s="311">
        <v>0.94747815176845696</v>
      </c>
      <c r="D2451" s="312">
        <v>5007.0653750000147</v>
      </c>
      <c r="E2451" s="311">
        <v>5.2521848231543711E-2</v>
      </c>
      <c r="F2451" s="312">
        <v>95333.000333999255</v>
      </c>
      <c r="G2451" s="311">
        <v>0.37232326992269249</v>
      </c>
      <c r="H2451" s="307"/>
    </row>
    <row r="2452" spans="1:8" ht="28.5">
      <c r="A2452" s="313" t="s">
        <v>303</v>
      </c>
      <c r="B2452" s="312">
        <v>66122.029513001195</v>
      </c>
      <c r="C2452" s="311">
        <v>0.95901304165557077</v>
      </c>
      <c r="D2452" s="312">
        <v>2825.9687319999989</v>
      </c>
      <c r="E2452" s="311">
        <v>4.0986958344434603E-2</v>
      </c>
      <c r="F2452" s="312">
        <v>68947.998245000825</v>
      </c>
      <c r="G2452" s="311">
        <v>0.2692765786376658</v>
      </c>
      <c r="H2452" s="307"/>
    </row>
    <row r="2453" spans="1:8" ht="15.75" thickBot="1">
      <c r="A2453" s="313" t="s">
        <v>302</v>
      </c>
      <c r="B2453" s="312">
        <v>4398.4583719999991</v>
      </c>
      <c r="C2453" s="311">
        <v>0.98421533599647515</v>
      </c>
      <c r="D2453" s="312">
        <v>70.541663999999997</v>
      </c>
      <c r="E2453" s="311">
        <v>1.578466400352475E-2</v>
      </c>
      <c r="F2453" s="312">
        <v>4469.0000359999995</v>
      </c>
      <c r="G2453" s="311">
        <v>1.7453690756177091E-2</v>
      </c>
      <c r="H2453" s="307"/>
    </row>
    <row r="2454" spans="1:8" ht="15" customHeight="1">
      <c r="A2454" s="316" t="s">
        <v>4</v>
      </c>
      <c r="B2454" s="315">
        <v>212422.31441158982</v>
      </c>
      <c r="C2454" s="314">
        <v>0.94567109066443611</v>
      </c>
      <c r="D2454" s="315">
        <v>12203.685588410159</v>
      </c>
      <c r="E2454" s="314">
        <v>5.4328909335562878E-2</v>
      </c>
      <c r="F2454" s="315">
        <v>224626.0000000002</v>
      </c>
      <c r="G2454" s="314">
        <v>1</v>
      </c>
      <c r="H2454" s="307"/>
    </row>
    <row r="2455" spans="1:8">
      <c r="A2455" s="313" t="s">
        <v>309</v>
      </c>
      <c r="B2455" s="312">
        <v>6669.0760555234119</v>
      </c>
      <c r="C2455" s="311">
        <v>0.91244712758563751</v>
      </c>
      <c r="D2455" s="312">
        <v>639.92394447657614</v>
      </c>
      <c r="E2455" s="311">
        <v>8.7552872414362742E-2</v>
      </c>
      <c r="F2455" s="312">
        <v>7308.9999999999864</v>
      </c>
      <c r="G2455" s="311">
        <v>3.2538530713274422E-2</v>
      </c>
      <c r="H2455" s="307"/>
    </row>
    <row r="2456" spans="1:8">
      <c r="A2456" s="313" t="s">
        <v>308</v>
      </c>
      <c r="B2456" s="312">
        <v>8585.9283390916862</v>
      </c>
      <c r="C2456" s="311">
        <v>0.89670269859965646</v>
      </c>
      <c r="D2456" s="312">
        <v>989.07166090830037</v>
      </c>
      <c r="E2456" s="311">
        <v>0.10329730140034497</v>
      </c>
      <c r="F2456" s="312">
        <v>9574.9999999999727</v>
      </c>
      <c r="G2456" s="311">
        <v>4.2626410121713268E-2</v>
      </c>
      <c r="H2456" s="307"/>
    </row>
    <row r="2457" spans="1:8">
      <c r="A2457" s="313" t="s">
        <v>307</v>
      </c>
      <c r="B2457" s="312">
        <v>19559.087719298281</v>
      </c>
      <c r="C2457" s="311">
        <v>0.98783271309587106</v>
      </c>
      <c r="D2457" s="312">
        <v>240.91228070175438</v>
      </c>
      <c r="E2457" s="311">
        <v>1.2167286904128988E-2</v>
      </c>
      <c r="F2457" s="312">
        <v>19800.000000000033</v>
      </c>
      <c r="G2457" s="311">
        <v>8.8146519102864376E-2</v>
      </c>
      <c r="H2457" s="307"/>
    </row>
    <row r="2458" spans="1:8">
      <c r="A2458" s="313" t="s">
        <v>306</v>
      </c>
      <c r="B2458" s="312">
        <v>19388.31702961665</v>
      </c>
      <c r="C2458" s="311">
        <v>0.97624959867153738</v>
      </c>
      <c r="D2458" s="312">
        <v>471.68297038327523</v>
      </c>
      <c r="E2458" s="311">
        <v>2.3750401328463101E-2</v>
      </c>
      <c r="F2458" s="312">
        <v>19859.999999999916</v>
      </c>
      <c r="G2458" s="311">
        <v>8.8413629766811927E-2</v>
      </c>
      <c r="H2458" s="307"/>
    </row>
    <row r="2459" spans="1:8">
      <c r="A2459" s="313" t="s">
        <v>305</v>
      </c>
      <c r="B2459" s="312">
        <v>26708.371222581456</v>
      </c>
      <c r="C2459" s="311">
        <v>0.93954237951881192</v>
      </c>
      <c r="D2459" s="312">
        <v>1718.6287774187181</v>
      </c>
      <c r="E2459" s="311">
        <v>6.0457620481187108E-2</v>
      </c>
      <c r="F2459" s="312">
        <v>28427.0000000002</v>
      </c>
      <c r="G2459" s="311">
        <v>0.12655258073419895</v>
      </c>
      <c r="H2459" s="307"/>
    </row>
    <row r="2460" spans="1:8" ht="28.5">
      <c r="A2460" s="313" t="s">
        <v>304</v>
      </c>
      <c r="B2460" s="312">
        <v>71875.693137643655</v>
      </c>
      <c r="C2460" s="311">
        <v>0.93314759023231941</v>
      </c>
      <c r="D2460" s="312">
        <v>5149.3068623558174</v>
      </c>
      <c r="E2460" s="311">
        <v>6.685240976768414E-2</v>
      </c>
      <c r="F2460" s="312">
        <v>77024.9999999992</v>
      </c>
      <c r="G2460" s="311">
        <v>0.34290331484333569</v>
      </c>
      <c r="H2460" s="307"/>
    </row>
    <row r="2461" spans="1:8" ht="28.5">
      <c r="A2461" s="313" t="s">
        <v>303</v>
      </c>
      <c r="B2461" s="312">
        <v>55859.618685612004</v>
      </c>
      <c r="C2461" s="311">
        <v>0.95148222875267519</v>
      </c>
      <c r="D2461" s="312">
        <v>2848.3813143879443</v>
      </c>
      <c r="E2461" s="311">
        <v>4.8517771247324849E-2</v>
      </c>
      <c r="F2461" s="312">
        <v>58707.999999999942</v>
      </c>
      <c r="G2461" s="311">
        <v>0.26135888098439131</v>
      </c>
      <c r="H2461" s="307"/>
    </row>
    <row r="2462" spans="1:8" ht="15.75" thickBot="1">
      <c r="A2462" s="313" t="s">
        <v>302</v>
      </c>
      <c r="B2462" s="312">
        <v>3776.2222222222213</v>
      </c>
      <c r="C2462" s="311">
        <v>0.96283075528358553</v>
      </c>
      <c r="D2462" s="312">
        <v>145.77777777777777</v>
      </c>
      <c r="E2462" s="311">
        <v>3.7169244716414536E-2</v>
      </c>
      <c r="F2462" s="312">
        <v>3921.9999999999991</v>
      </c>
      <c r="G2462" s="311">
        <v>1.7460133733405728E-2</v>
      </c>
      <c r="H2462" s="307"/>
    </row>
    <row r="2463" spans="1:8" ht="15.75" customHeight="1">
      <c r="A2463" s="316" t="s">
        <v>3</v>
      </c>
      <c r="B2463" s="315">
        <v>140518.07725744502</v>
      </c>
      <c r="C2463" s="314">
        <v>0.94281491171855347</v>
      </c>
      <c r="D2463" s="315">
        <v>8522.9227425541885</v>
      </c>
      <c r="E2463" s="314">
        <v>5.718508828144056E-2</v>
      </c>
      <c r="F2463" s="315">
        <v>149041.00000000009</v>
      </c>
      <c r="G2463" s="314">
        <v>1</v>
      </c>
      <c r="H2463" s="307"/>
    </row>
    <row r="2464" spans="1:8">
      <c r="A2464" s="313" t="s">
        <v>309</v>
      </c>
      <c r="B2464" s="312">
        <v>2697.6326797385636</v>
      </c>
      <c r="C2464" s="311">
        <v>0.93214674489929616</v>
      </c>
      <c r="D2464" s="312">
        <v>196.36732026143792</v>
      </c>
      <c r="E2464" s="311">
        <v>6.7853255100704182E-2</v>
      </c>
      <c r="F2464" s="312">
        <v>2894.0000000000005</v>
      </c>
      <c r="G2464" s="311">
        <v>1.9417475728155331E-2</v>
      </c>
      <c r="H2464" s="307"/>
    </row>
    <row r="2465" spans="1:18">
      <c r="A2465" s="313" t="s">
        <v>308</v>
      </c>
      <c r="B2465" s="312">
        <v>6199.0130450482884</v>
      </c>
      <c r="C2465" s="311">
        <v>0.82974341387341821</v>
      </c>
      <c r="D2465" s="312">
        <v>1271.9869549517018</v>
      </c>
      <c r="E2465" s="311">
        <v>0.17025658612658354</v>
      </c>
      <c r="F2465" s="312">
        <v>7470.9999999999773</v>
      </c>
      <c r="G2465" s="311">
        <v>5.0127146221509336E-2</v>
      </c>
      <c r="H2465" s="307"/>
    </row>
    <row r="2466" spans="1:18">
      <c r="A2466" s="313" t="s">
        <v>307</v>
      </c>
      <c r="B2466" s="312">
        <v>15775.343750000011</v>
      </c>
      <c r="C2466" s="311">
        <v>0.97631784564921409</v>
      </c>
      <c r="D2466" s="312">
        <v>382.65625</v>
      </c>
      <c r="E2466" s="311">
        <v>2.3682154350785974E-2</v>
      </c>
      <c r="F2466" s="312">
        <v>16158.000000000011</v>
      </c>
      <c r="G2466" s="311">
        <v>0.10841312122167727</v>
      </c>
      <c r="H2466" s="307"/>
    </row>
    <row r="2467" spans="1:18">
      <c r="A2467" s="313" t="s">
        <v>306</v>
      </c>
      <c r="B2467" s="312">
        <v>12943.350674217892</v>
      </c>
      <c r="C2467" s="311">
        <v>0.97656184353537856</v>
      </c>
      <c r="D2467" s="312">
        <v>310.64932578209277</v>
      </c>
      <c r="E2467" s="311">
        <v>2.3438156464621482E-2</v>
      </c>
      <c r="F2467" s="312">
        <v>13253.999999999985</v>
      </c>
      <c r="G2467" s="311">
        <v>8.8928549862118317E-2</v>
      </c>
      <c r="H2467" s="307"/>
    </row>
    <row r="2468" spans="1:18">
      <c r="A2468" s="313" t="s">
        <v>305</v>
      </c>
      <c r="B2468" s="312">
        <v>21498.951762292552</v>
      </c>
      <c r="C2468" s="311">
        <v>0.92556189780835818</v>
      </c>
      <c r="D2468" s="312">
        <v>1729.0482377074336</v>
      </c>
      <c r="E2468" s="311">
        <v>7.443810219164082E-2</v>
      </c>
      <c r="F2468" s="312">
        <v>23228.000000000007</v>
      </c>
      <c r="G2468" s="311">
        <v>0.15584973262390883</v>
      </c>
      <c r="H2468" s="307"/>
    </row>
    <row r="2469" spans="1:18" ht="28.5">
      <c r="A2469" s="313" t="s">
        <v>304</v>
      </c>
      <c r="B2469" s="312">
        <v>41845.312646118909</v>
      </c>
      <c r="C2469" s="311">
        <v>0.94028071469606511</v>
      </c>
      <c r="D2469" s="312">
        <v>2657.6873538809955</v>
      </c>
      <c r="E2469" s="311">
        <v>5.9719285303934576E-2</v>
      </c>
      <c r="F2469" s="312">
        <v>44502.99999999992</v>
      </c>
      <c r="G2469" s="311">
        <v>0.29859568843472528</v>
      </c>
      <c r="H2469" s="307"/>
    </row>
    <row r="2470" spans="1:18" ht="28.5">
      <c r="A2470" s="313" t="s">
        <v>303</v>
      </c>
      <c r="B2470" s="312">
        <v>36625.472700029772</v>
      </c>
      <c r="C2470" s="311">
        <v>0.9488464430059449</v>
      </c>
      <c r="D2470" s="312">
        <v>1974.5272999705512</v>
      </c>
      <c r="E2470" s="311">
        <v>5.115355699405532E-2</v>
      </c>
      <c r="F2470" s="312">
        <v>38600.000000000313</v>
      </c>
      <c r="G2470" s="311">
        <v>0.25898913721727773</v>
      </c>
      <c r="H2470" s="307"/>
    </row>
    <row r="2471" spans="1:18" ht="15.75" thickBot="1">
      <c r="A2471" s="310" t="s">
        <v>302</v>
      </c>
      <c r="B2471" s="309">
        <v>2933.0000000000005</v>
      </c>
      <c r="C2471" s="308">
        <v>1</v>
      </c>
      <c r="D2471" s="309">
        <v>0</v>
      </c>
      <c r="E2471" s="308">
        <v>0</v>
      </c>
      <c r="F2471" s="309">
        <v>2933.0000000000005</v>
      </c>
      <c r="G2471" s="308">
        <v>1.9679148690628746E-2</v>
      </c>
      <c r="H2471" s="307"/>
    </row>
    <row r="2475" spans="1:18" ht="15.75" thickBot="1"/>
    <row r="2476" spans="1:18" ht="15" customHeight="1">
      <c r="A2476" s="752" t="s">
        <v>310</v>
      </c>
      <c r="B2476" s="763" t="s">
        <v>381</v>
      </c>
      <c r="C2476" s="764"/>
      <c r="D2476" s="764"/>
      <c r="E2476" s="764"/>
      <c r="F2476" s="764"/>
      <c r="G2476" s="764"/>
      <c r="H2476" s="764"/>
      <c r="I2476" s="764"/>
      <c r="J2476" s="764"/>
      <c r="K2476" s="764"/>
      <c r="L2476" s="764"/>
      <c r="M2476" s="764"/>
      <c r="N2476" s="764"/>
      <c r="O2476" s="764"/>
      <c r="P2476" s="764"/>
      <c r="Q2476" s="765"/>
      <c r="R2476" s="307"/>
    </row>
    <row r="2477" spans="1:18" ht="35.25" customHeight="1">
      <c r="A2477" s="753"/>
      <c r="B2477" s="758" t="s">
        <v>25</v>
      </c>
      <c r="C2477" s="759"/>
      <c r="D2477" s="760" t="s">
        <v>24</v>
      </c>
      <c r="E2477" s="759"/>
      <c r="F2477" s="760" t="s">
        <v>23</v>
      </c>
      <c r="G2477" s="759"/>
      <c r="H2477" s="760" t="s">
        <v>22</v>
      </c>
      <c r="I2477" s="759"/>
      <c r="J2477" s="760" t="s">
        <v>21</v>
      </c>
      <c r="K2477" s="759"/>
      <c r="L2477" s="760" t="s">
        <v>20</v>
      </c>
      <c r="M2477" s="759"/>
      <c r="N2477" s="760" t="s">
        <v>14</v>
      </c>
      <c r="O2477" s="759"/>
      <c r="P2477" s="761" t="s">
        <v>9</v>
      </c>
      <c r="Q2477" s="766"/>
      <c r="R2477" s="307"/>
    </row>
    <row r="2478" spans="1:18" ht="15.75" customHeight="1" thickBot="1">
      <c r="A2478" s="754"/>
      <c r="B2478" s="318" t="s">
        <v>7</v>
      </c>
      <c r="C2478" s="318" t="s">
        <v>8</v>
      </c>
      <c r="D2478" s="318" t="s">
        <v>7</v>
      </c>
      <c r="E2478" s="318" t="s">
        <v>8</v>
      </c>
      <c r="F2478" s="318" t="s">
        <v>7</v>
      </c>
      <c r="G2478" s="318" t="s">
        <v>8</v>
      </c>
      <c r="H2478" s="318" t="s">
        <v>7</v>
      </c>
      <c r="I2478" s="318" t="s">
        <v>8</v>
      </c>
      <c r="J2478" s="318" t="s">
        <v>7</v>
      </c>
      <c r="K2478" s="318" t="s">
        <v>8</v>
      </c>
      <c r="L2478" s="318" t="s">
        <v>7</v>
      </c>
      <c r="M2478" s="318" t="s">
        <v>8</v>
      </c>
      <c r="N2478" s="318" t="s">
        <v>7</v>
      </c>
      <c r="O2478" s="318" t="s">
        <v>8</v>
      </c>
      <c r="P2478" s="318" t="s">
        <v>7</v>
      </c>
      <c r="Q2478" s="318" t="s">
        <v>6</v>
      </c>
      <c r="R2478" s="307"/>
    </row>
    <row r="2479" spans="1:18" ht="15.75" customHeight="1">
      <c r="A2479" s="316" t="s">
        <v>5</v>
      </c>
      <c r="B2479" s="315">
        <v>165883.65798050232</v>
      </c>
      <c r="C2479" s="314">
        <v>0.67937214674852342</v>
      </c>
      <c r="D2479" s="315">
        <v>29472.231414100068</v>
      </c>
      <c r="E2479" s="314">
        <v>0.12070274654553285</v>
      </c>
      <c r="F2479" s="315">
        <v>5590.9043735000168</v>
      </c>
      <c r="G2479" s="314">
        <v>2.2897401424176823E-2</v>
      </c>
      <c r="H2479" s="315">
        <v>5582.3621878000095</v>
      </c>
      <c r="I2479" s="314">
        <v>2.2862417127908041E-2</v>
      </c>
      <c r="J2479" s="315">
        <v>23423.377351800053</v>
      </c>
      <c r="K2479" s="314">
        <v>9.5929824247446685E-2</v>
      </c>
      <c r="L2479" s="315">
        <v>7471.3536920000097</v>
      </c>
      <c r="M2479" s="314">
        <v>3.0598732018847552E-2</v>
      </c>
      <c r="N2479" s="315">
        <v>6748.1161865000058</v>
      </c>
      <c r="O2479" s="314">
        <v>2.7636731887536622E-2</v>
      </c>
      <c r="P2479" s="315">
        <v>244172.00318620933</v>
      </c>
      <c r="Q2479" s="314">
        <v>1</v>
      </c>
      <c r="R2479" s="307"/>
    </row>
    <row r="2480" spans="1:18">
      <c r="A2480" s="313" t="s">
        <v>309</v>
      </c>
      <c r="B2480" s="312">
        <v>3596.8693589999989</v>
      </c>
      <c r="C2480" s="311">
        <v>0.66020476284424912</v>
      </c>
      <c r="D2480" s="312">
        <v>977.29942760000017</v>
      </c>
      <c r="E2480" s="311">
        <v>0.17938314473725059</v>
      </c>
      <c r="F2480" s="312">
        <v>29.000001000000001</v>
      </c>
      <c r="G2480" s="311">
        <v>5.3229452815075108E-3</v>
      </c>
      <c r="H2480" s="312">
        <v>210.8380488</v>
      </c>
      <c r="I2480" s="311">
        <v>3.8699288218031792E-2</v>
      </c>
      <c r="J2480" s="312">
        <v>353.58517980000005</v>
      </c>
      <c r="K2480" s="311">
        <v>6.4900499983686036E-2</v>
      </c>
      <c r="L2480" s="312">
        <v>114.14124700000001</v>
      </c>
      <c r="M2480" s="311">
        <v>2.0950606592876782E-2</v>
      </c>
      <c r="N2480" s="312">
        <v>166.37853699999999</v>
      </c>
      <c r="O2480" s="311">
        <v>3.0538752342397255E-2</v>
      </c>
      <c r="P2480" s="312">
        <v>5448.1118002000039</v>
      </c>
      <c r="Q2480" s="311">
        <v>2.231259820580327E-2</v>
      </c>
      <c r="R2480" s="307"/>
    </row>
    <row r="2481" spans="1:18">
      <c r="A2481" s="313" t="s">
        <v>308</v>
      </c>
      <c r="B2481" s="312">
        <v>5940.2175490000036</v>
      </c>
      <c r="C2481" s="311">
        <v>0.62657557274298814</v>
      </c>
      <c r="D2481" s="312">
        <v>1119.4177700000002</v>
      </c>
      <c r="E2481" s="311">
        <v>0.11807645504405891</v>
      </c>
      <c r="F2481" s="312">
        <v>380.23788199999996</v>
      </c>
      <c r="G2481" s="311">
        <v>4.0107583051876297E-2</v>
      </c>
      <c r="H2481" s="312">
        <v>330.89505199999996</v>
      </c>
      <c r="I2481" s="311">
        <v>3.4902889501012231E-2</v>
      </c>
      <c r="J2481" s="312">
        <v>1116.7556299999999</v>
      </c>
      <c r="K2481" s="311">
        <v>0.1177956518779353</v>
      </c>
      <c r="L2481" s="312">
        <v>27.621051999999999</v>
      </c>
      <c r="M2481" s="311">
        <v>2.9134751941159664E-3</v>
      </c>
      <c r="N2481" s="312">
        <v>565.30372499999999</v>
      </c>
      <c r="O2481" s="311">
        <v>5.9628372588012006E-2</v>
      </c>
      <c r="P2481" s="312">
        <v>9480.4486600000146</v>
      </c>
      <c r="Q2481" s="311">
        <v>3.8826927478536832E-2</v>
      </c>
      <c r="R2481" s="307"/>
    </row>
    <row r="2482" spans="1:18">
      <c r="A2482" s="313" t="s">
        <v>307</v>
      </c>
      <c r="B2482" s="312">
        <v>13277.262526999992</v>
      </c>
      <c r="C2482" s="311">
        <v>0.70077505617474312</v>
      </c>
      <c r="D2482" s="312">
        <v>2053.3649140000002</v>
      </c>
      <c r="E2482" s="311">
        <v>0.10837677646498475</v>
      </c>
      <c r="F2482" s="312">
        <v>89.726029999999994</v>
      </c>
      <c r="G2482" s="311">
        <v>4.7357475673710254E-3</v>
      </c>
      <c r="H2482" s="312">
        <v>697.16951300000005</v>
      </c>
      <c r="I2482" s="311">
        <v>3.6796666755845461E-2</v>
      </c>
      <c r="J2482" s="312">
        <v>1852.9342210000002</v>
      </c>
      <c r="K2482" s="311">
        <v>9.7798027279255281E-2</v>
      </c>
      <c r="L2482" s="312">
        <v>304.01676399999997</v>
      </c>
      <c r="M2482" s="311">
        <v>1.6046030907118158E-2</v>
      </c>
      <c r="N2482" s="312">
        <v>672.06587999999988</v>
      </c>
      <c r="O2482" s="311">
        <v>3.5471694850681204E-2</v>
      </c>
      <c r="P2482" s="312">
        <v>18946.539849000012</v>
      </c>
      <c r="Q2482" s="311">
        <v>7.7595054313213327E-2</v>
      </c>
      <c r="R2482" s="307"/>
    </row>
    <row r="2483" spans="1:18">
      <c r="A2483" s="313" t="s">
        <v>306</v>
      </c>
      <c r="B2483" s="312">
        <v>14386.562734499985</v>
      </c>
      <c r="C2483" s="311">
        <v>0.73280079527522102</v>
      </c>
      <c r="D2483" s="312">
        <v>2886.4073484999999</v>
      </c>
      <c r="E2483" s="311">
        <v>0.147023416190772</v>
      </c>
      <c r="F2483" s="312">
        <v>95.283463499999996</v>
      </c>
      <c r="G2483" s="311">
        <v>4.853403771140909E-3</v>
      </c>
      <c r="H2483" s="312">
        <v>207.278154</v>
      </c>
      <c r="I2483" s="311">
        <v>1.0558018541157732E-2</v>
      </c>
      <c r="J2483" s="312">
        <v>962.82218599999999</v>
      </c>
      <c r="K2483" s="311">
        <v>4.9042768354768437E-2</v>
      </c>
      <c r="L2483" s="312">
        <v>707.02200200000004</v>
      </c>
      <c r="M2483" s="311">
        <v>3.6013208638101146E-2</v>
      </c>
      <c r="N2483" s="312">
        <v>386.92094750000001</v>
      </c>
      <c r="O2483" s="311">
        <v>1.9708389228839416E-2</v>
      </c>
      <c r="P2483" s="312">
        <v>19632.296835999972</v>
      </c>
      <c r="Q2483" s="311">
        <v>8.0403553969404434E-2</v>
      </c>
      <c r="R2483" s="307"/>
    </row>
    <row r="2484" spans="1:18">
      <c r="A2484" s="313" t="s">
        <v>305</v>
      </c>
      <c r="B2484" s="312">
        <v>21871.158774000029</v>
      </c>
      <c r="C2484" s="311">
        <v>0.7334839493574653</v>
      </c>
      <c r="D2484" s="312">
        <v>3635.1891109999988</v>
      </c>
      <c r="E2484" s="311">
        <v>0.12191182430476598</v>
      </c>
      <c r="F2484" s="312">
        <v>551.0796499999999</v>
      </c>
      <c r="G2484" s="311">
        <v>1.8481328871017281E-2</v>
      </c>
      <c r="H2484" s="312">
        <v>267.80645299999998</v>
      </c>
      <c r="I2484" s="311">
        <v>8.9813135572573456E-3</v>
      </c>
      <c r="J2484" s="312">
        <v>2010.0336670000002</v>
      </c>
      <c r="K2484" s="311">
        <v>6.7409662544504853E-2</v>
      </c>
      <c r="L2484" s="312">
        <v>846.01554599999974</v>
      </c>
      <c r="M2484" s="311">
        <v>2.8372471267300917E-2</v>
      </c>
      <c r="N2484" s="312">
        <v>636.89999599999987</v>
      </c>
      <c r="O2484" s="311">
        <v>2.1359450097686587E-2</v>
      </c>
      <c r="P2484" s="312">
        <v>29818.183197000079</v>
      </c>
      <c r="Q2484" s="311">
        <v>0.12211958294932065</v>
      </c>
      <c r="R2484" s="307"/>
    </row>
    <row r="2485" spans="1:18" ht="28.5">
      <c r="A2485" s="313" t="s">
        <v>304</v>
      </c>
      <c r="B2485" s="312">
        <v>56185.319212998904</v>
      </c>
      <c r="C2485" s="311">
        <v>0.62202864812307246</v>
      </c>
      <c r="D2485" s="312">
        <v>10775.143262999989</v>
      </c>
      <c r="E2485" s="311">
        <v>0.11929179883818569</v>
      </c>
      <c r="F2485" s="312">
        <v>3316.7682350000014</v>
      </c>
      <c r="G2485" s="311">
        <v>3.6719998929494027E-2</v>
      </c>
      <c r="H2485" s="312">
        <v>2790.5962829999999</v>
      </c>
      <c r="I2485" s="311">
        <v>3.0894740079543116E-2</v>
      </c>
      <c r="J2485" s="312">
        <v>11042.12328999999</v>
      </c>
      <c r="K2485" s="311">
        <v>0.12224753936964201</v>
      </c>
      <c r="L2485" s="312">
        <v>3279.5789560000003</v>
      </c>
      <c r="M2485" s="311">
        <v>3.6308275773604397E-2</v>
      </c>
      <c r="N2485" s="312">
        <v>2936.4057190000008</v>
      </c>
      <c r="O2485" s="311">
        <v>3.2508998886453734E-2</v>
      </c>
      <c r="P2485" s="312">
        <v>90325.934958999293</v>
      </c>
      <c r="Q2485" s="311">
        <v>0.36992748464333702</v>
      </c>
      <c r="R2485" s="307"/>
    </row>
    <row r="2486" spans="1:18" ht="28.5">
      <c r="A2486" s="313" t="s">
        <v>303</v>
      </c>
      <c r="B2486" s="312">
        <v>47105.384452000602</v>
      </c>
      <c r="C2486" s="311">
        <v>0.71240076565917476</v>
      </c>
      <c r="D2486" s="312">
        <v>7505.2679059999991</v>
      </c>
      <c r="E2486" s="311">
        <v>0.11350631493433337</v>
      </c>
      <c r="F2486" s="312">
        <v>1128.8091120000004</v>
      </c>
      <c r="G2486" s="311">
        <v>1.7071604128213413E-2</v>
      </c>
      <c r="H2486" s="312">
        <v>1007.2370199999988</v>
      </c>
      <c r="I2486" s="311">
        <v>1.5233002184271302E-2</v>
      </c>
      <c r="J2486" s="312">
        <v>5798.2315160000026</v>
      </c>
      <c r="K2486" s="311">
        <v>8.7689860076964651E-2</v>
      </c>
      <c r="L2486" s="312">
        <v>2192.9581250000001</v>
      </c>
      <c r="M2486" s="311">
        <v>3.3165317839628797E-2</v>
      </c>
      <c r="N2486" s="312">
        <v>1384.1413820000002</v>
      </c>
      <c r="O2486" s="311">
        <v>2.0933135177404746E-2</v>
      </c>
      <c r="P2486" s="312">
        <v>66122.029513001195</v>
      </c>
      <c r="Q2486" s="311">
        <v>0.27080102816937418</v>
      </c>
      <c r="R2486" s="307"/>
    </row>
    <row r="2487" spans="1:18" ht="15.75" thickBot="1">
      <c r="A2487" s="313" t="s">
        <v>302</v>
      </c>
      <c r="B2487" s="312">
        <v>3520.8833719999989</v>
      </c>
      <c r="C2487" s="311">
        <v>0.8004812309725321</v>
      </c>
      <c r="D2487" s="312">
        <v>520.14167399999997</v>
      </c>
      <c r="E2487" s="311">
        <v>0.1182554499801914</v>
      </c>
      <c r="F2487" s="312">
        <v>0</v>
      </c>
      <c r="G2487" s="311">
        <v>0</v>
      </c>
      <c r="H2487" s="312">
        <v>70.541663999999997</v>
      </c>
      <c r="I2487" s="311">
        <v>1.6037815533064687E-2</v>
      </c>
      <c r="J2487" s="312">
        <v>286.891662</v>
      </c>
      <c r="K2487" s="311">
        <v>6.5225503514211733E-2</v>
      </c>
      <c r="L2487" s="312">
        <v>0</v>
      </c>
      <c r="M2487" s="311">
        <v>0</v>
      </c>
      <c r="N2487" s="312">
        <v>0</v>
      </c>
      <c r="O2487" s="311">
        <v>0</v>
      </c>
      <c r="P2487" s="312">
        <v>4398.4583719999991</v>
      </c>
      <c r="Q2487" s="311">
        <v>1.801377027097438E-2</v>
      </c>
      <c r="R2487" s="307"/>
    </row>
    <row r="2488" spans="1:18" ht="15" customHeight="1">
      <c r="A2488" s="316" t="s">
        <v>4</v>
      </c>
      <c r="B2488" s="315">
        <v>139621.2766943954</v>
      </c>
      <c r="C2488" s="314">
        <v>0.65728159059535041</v>
      </c>
      <c r="D2488" s="315">
        <v>26151.705487464624</v>
      </c>
      <c r="E2488" s="314">
        <v>0.12311185649165386</v>
      </c>
      <c r="F2488" s="315">
        <v>4912.7671604785255</v>
      </c>
      <c r="G2488" s="314">
        <v>2.3127359166982525E-2</v>
      </c>
      <c r="H2488" s="315">
        <v>4669.1829243366856</v>
      </c>
      <c r="I2488" s="314">
        <v>2.1980661199697077E-2</v>
      </c>
      <c r="J2488" s="315">
        <v>21377.380413730316</v>
      </c>
      <c r="K2488" s="314">
        <v>0.10063622775670106</v>
      </c>
      <c r="L2488" s="315">
        <v>8707.668252193258</v>
      </c>
      <c r="M2488" s="314">
        <v>4.0992248278216507E-2</v>
      </c>
      <c r="N2488" s="315">
        <v>6982.3334789914306</v>
      </c>
      <c r="O2488" s="314">
        <v>3.2870056511400444E-2</v>
      </c>
      <c r="P2488" s="315">
        <v>212422.31441158982</v>
      </c>
      <c r="Q2488" s="314">
        <v>1</v>
      </c>
      <c r="R2488" s="307"/>
    </row>
    <row r="2489" spans="1:18">
      <c r="A2489" s="313" t="s">
        <v>309</v>
      </c>
      <c r="B2489" s="312">
        <v>3858.0020242915011</v>
      </c>
      <c r="C2489" s="311">
        <v>0.57849123209447517</v>
      </c>
      <c r="D2489" s="312">
        <v>1088.5695488721801</v>
      </c>
      <c r="E2489" s="311">
        <v>0.16322644093563954</v>
      </c>
      <c r="F2489" s="312">
        <v>465.9802631578948</v>
      </c>
      <c r="G2489" s="311">
        <v>6.9871787227852075E-2</v>
      </c>
      <c r="H2489" s="312">
        <v>79.678571428571431</v>
      </c>
      <c r="I2489" s="311">
        <v>1.1947467799918197E-2</v>
      </c>
      <c r="J2489" s="312">
        <v>501.29301619433204</v>
      </c>
      <c r="K2489" s="311">
        <v>7.5166786526471671E-2</v>
      </c>
      <c r="L2489" s="312">
        <v>355.46428571428572</v>
      </c>
      <c r="M2489" s="311">
        <v>5.3300379656022329E-2</v>
      </c>
      <c r="N2489" s="312">
        <v>320.08834586466168</v>
      </c>
      <c r="O2489" s="311">
        <v>4.7995905759623259E-2</v>
      </c>
      <c r="P2489" s="312">
        <v>6669.0760555234119</v>
      </c>
      <c r="Q2489" s="311">
        <v>3.1395364813705022E-2</v>
      </c>
      <c r="R2489" s="307"/>
    </row>
    <row r="2490" spans="1:18">
      <c r="A2490" s="313" t="s">
        <v>308</v>
      </c>
      <c r="B2490" s="312">
        <v>5143.5586857220605</v>
      </c>
      <c r="C2490" s="311">
        <v>0.59906843879694005</v>
      </c>
      <c r="D2490" s="312">
        <v>1442.5569107448171</v>
      </c>
      <c r="E2490" s="311">
        <v>0.16801408697727688</v>
      </c>
      <c r="F2490" s="312">
        <v>374.63622212682628</v>
      </c>
      <c r="G2490" s="311">
        <v>4.3633746676071068E-2</v>
      </c>
      <c r="H2490" s="312">
        <v>391.2702796353276</v>
      </c>
      <c r="I2490" s="311">
        <v>4.5571109399303519E-2</v>
      </c>
      <c r="J2490" s="312">
        <v>599.12249042698056</v>
      </c>
      <c r="K2490" s="311">
        <v>6.9779581981738545E-2</v>
      </c>
      <c r="L2490" s="312">
        <v>216.81239044259962</v>
      </c>
      <c r="M2490" s="311">
        <v>2.5252061498749524E-2</v>
      </c>
      <c r="N2490" s="312">
        <v>417.9713599930904</v>
      </c>
      <c r="O2490" s="311">
        <v>4.8680974669922293E-2</v>
      </c>
      <c r="P2490" s="312">
        <v>8585.9283390916862</v>
      </c>
      <c r="Q2490" s="311">
        <v>4.0419145054862639E-2</v>
      </c>
      <c r="R2490" s="307"/>
    </row>
    <row r="2491" spans="1:18">
      <c r="A2491" s="313" t="s">
        <v>307</v>
      </c>
      <c r="B2491" s="312">
        <v>15676.442660904491</v>
      </c>
      <c r="C2491" s="311">
        <v>0.80149150542625169</v>
      </c>
      <c r="D2491" s="312">
        <v>1590.8679837423465</v>
      </c>
      <c r="E2491" s="311">
        <v>8.1336512549749024E-2</v>
      </c>
      <c r="F2491" s="312">
        <v>59.612903225806448</v>
      </c>
      <c r="G2491" s="311">
        <v>3.0478365904043903E-3</v>
      </c>
      <c r="H2491" s="312">
        <v>237.27432216905902</v>
      </c>
      <c r="I2491" s="311">
        <v>1.2131154866438305E-2</v>
      </c>
      <c r="J2491" s="312">
        <v>862.08555847095749</v>
      </c>
      <c r="K2491" s="311">
        <v>4.4075959515247086E-2</v>
      </c>
      <c r="L2491" s="312">
        <v>1012.3481504347376</v>
      </c>
      <c r="M2491" s="311">
        <v>5.175845443117924E-2</v>
      </c>
      <c r="N2491" s="312">
        <v>120.45614035087719</v>
      </c>
      <c r="O2491" s="311">
        <v>6.1585766207299768E-3</v>
      </c>
      <c r="P2491" s="312">
        <v>19559.087719298281</v>
      </c>
      <c r="Q2491" s="311">
        <v>9.207642696802823E-2</v>
      </c>
      <c r="R2491" s="307"/>
    </row>
    <row r="2492" spans="1:18">
      <c r="A2492" s="313" t="s">
        <v>306</v>
      </c>
      <c r="B2492" s="312">
        <v>14884.334126544174</v>
      </c>
      <c r="C2492" s="311">
        <v>0.76769603590696345</v>
      </c>
      <c r="D2492" s="312">
        <v>2186.0688707633822</v>
      </c>
      <c r="E2492" s="311">
        <v>0.11275186327023895</v>
      </c>
      <c r="F2492" s="312">
        <v>99.260551948051955</v>
      </c>
      <c r="G2492" s="311">
        <v>5.1196063998967187E-3</v>
      </c>
      <c r="H2492" s="312">
        <v>249.06348194488439</v>
      </c>
      <c r="I2492" s="311">
        <v>1.2846059901147022E-2</v>
      </c>
      <c r="J2492" s="312">
        <v>1051.9828971333545</v>
      </c>
      <c r="K2492" s="311">
        <v>5.4258597872440223E-2</v>
      </c>
      <c r="L2492" s="312">
        <v>726.09281556857775</v>
      </c>
      <c r="M2492" s="311">
        <v>3.7450017681237298E-2</v>
      </c>
      <c r="N2492" s="312">
        <v>191.51428571428571</v>
      </c>
      <c r="O2492" s="311">
        <v>9.8778189680794777E-3</v>
      </c>
      <c r="P2492" s="312">
        <v>19388.31702961665</v>
      </c>
      <c r="Q2492" s="311">
        <v>9.1272506296348019E-2</v>
      </c>
      <c r="R2492" s="307"/>
    </row>
    <row r="2493" spans="1:18">
      <c r="A2493" s="313" t="s">
        <v>305</v>
      </c>
      <c r="B2493" s="312">
        <v>17559.290361758685</v>
      </c>
      <c r="C2493" s="311">
        <v>0.65744519631779785</v>
      </c>
      <c r="D2493" s="312">
        <v>4385.274600949333</v>
      </c>
      <c r="E2493" s="311">
        <v>0.16419101578315867</v>
      </c>
      <c r="F2493" s="312">
        <v>144.55118969559243</v>
      </c>
      <c r="G2493" s="311">
        <v>5.4122053528062753E-3</v>
      </c>
      <c r="H2493" s="312">
        <v>645.3191848332151</v>
      </c>
      <c r="I2493" s="311">
        <v>2.4161682472333211E-2</v>
      </c>
      <c r="J2493" s="312">
        <v>1792.488775904792</v>
      </c>
      <c r="K2493" s="311">
        <v>6.7113369099395859E-2</v>
      </c>
      <c r="L2493" s="312">
        <v>774.80610379750772</v>
      </c>
      <c r="M2493" s="311">
        <v>2.9009859767952562E-2</v>
      </c>
      <c r="N2493" s="312">
        <v>1406.6410056421412</v>
      </c>
      <c r="O2493" s="311">
        <v>5.2666671206548568E-2</v>
      </c>
      <c r="P2493" s="312">
        <v>26708.371222581456</v>
      </c>
      <c r="Q2493" s="311">
        <v>0.12573241797390114</v>
      </c>
      <c r="R2493" s="307"/>
    </row>
    <row r="2494" spans="1:18" ht="28.5">
      <c r="A2494" s="313" t="s">
        <v>304</v>
      </c>
      <c r="B2494" s="312">
        <v>42983.294846495119</v>
      </c>
      <c r="C2494" s="311">
        <v>0.59802268291425154</v>
      </c>
      <c r="D2494" s="312">
        <v>8596.9472990776121</v>
      </c>
      <c r="E2494" s="311">
        <v>0.11960854808891032</v>
      </c>
      <c r="F2494" s="312">
        <v>2925.5163935080836</v>
      </c>
      <c r="G2494" s="311">
        <v>4.0702444258946494E-2</v>
      </c>
      <c r="H2494" s="312">
        <v>2083.8767287646951</v>
      </c>
      <c r="I2494" s="311">
        <v>2.8992787934218899E-2</v>
      </c>
      <c r="J2494" s="312">
        <v>9894.9729952499856</v>
      </c>
      <c r="K2494" s="311">
        <v>0.1376678618778796</v>
      </c>
      <c r="L2494" s="312">
        <v>2585.7008875217803</v>
      </c>
      <c r="M2494" s="311">
        <v>3.5974621943055236E-2</v>
      </c>
      <c r="N2494" s="312">
        <v>2805.3839870269321</v>
      </c>
      <c r="O2494" s="311">
        <v>3.9031052982745576E-2</v>
      </c>
      <c r="P2494" s="312">
        <v>71875.693137643655</v>
      </c>
      <c r="Q2494" s="311">
        <v>0.33836225415742904</v>
      </c>
      <c r="R2494" s="307"/>
    </row>
    <row r="2495" spans="1:18" ht="28.5">
      <c r="A2495" s="313" t="s">
        <v>303</v>
      </c>
      <c r="B2495" s="312">
        <v>36399.757659314055</v>
      </c>
      <c r="C2495" s="311">
        <v>0.65162918250800184</v>
      </c>
      <c r="D2495" s="312">
        <v>6555.6899161719866</v>
      </c>
      <c r="E2495" s="311">
        <v>0.11736009071362608</v>
      </c>
      <c r="F2495" s="312">
        <v>843.20963681627757</v>
      </c>
      <c r="G2495" s="311">
        <v>1.5095155617907334E-2</v>
      </c>
      <c r="H2495" s="312">
        <v>982.70035556093353</v>
      </c>
      <c r="I2495" s="311">
        <v>1.7592321227463945E-2</v>
      </c>
      <c r="J2495" s="312">
        <v>6474.047180349854</v>
      </c>
      <c r="K2495" s="311">
        <v>0.11589852084001785</v>
      </c>
      <c r="L2495" s="312">
        <v>2883.9355829994893</v>
      </c>
      <c r="M2495" s="311">
        <v>5.1628271922706775E-2</v>
      </c>
      <c r="N2495" s="312">
        <v>1720.2783543994587</v>
      </c>
      <c r="O2495" s="311">
        <v>3.0796457170277066E-2</v>
      </c>
      <c r="P2495" s="312">
        <v>55859.618685612004</v>
      </c>
      <c r="Q2495" s="311">
        <v>0.26296492833318025</v>
      </c>
      <c r="R2495" s="307"/>
    </row>
    <row r="2496" spans="1:18" ht="15.75" thickBot="1">
      <c r="A2496" s="313" t="s">
        <v>302</v>
      </c>
      <c r="B2496" s="312">
        <v>3116.5963293650784</v>
      </c>
      <c r="C2496" s="311">
        <v>0.825321219451707</v>
      </c>
      <c r="D2496" s="312">
        <v>305.73035714285714</v>
      </c>
      <c r="E2496" s="311">
        <v>8.0961961227732443E-2</v>
      </c>
      <c r="F2496" s="312">
        <v>0</v>
      </c>
      <c r="G2496" s="311">
        <v>0</v>
      </c>
      <c r="H2496" s="312">
        <v>0</v>
      </c>
      <c r="I2496" s="311">
        <v>0</v>
      </c>
      <c r="J2496" s="312">
        <v>201.38749999999999</v>
      </c>
      <c r="K2496" s="311">
        <v>5.3330415465191558E-2</v>
      </c>
      <c r="L2496" s="312">
        <v>152.50803571428571</v>
      </c>
      <c r="M2496" s="311">
        <v>4.0386403855369027E-2</v>
      </c>
      <c r="N2496" s="312">
        <v>0</v>
      </c>
      <c r="O2496" s="311">
        <v>0</v>
      </c>
      <c r="P2496" s="312">
        <v>3776.2222222222213</v>
      </c>
      <c r="Q2496" s="311">
        <v>1.7776956402543505E-2</v>
      </c>
      <c r="R2496" s="307"/>
    </row>
    <row r="2497" spans="1:18" ht="15.75" customHeight="1">
      <c r="A2497" s="316" t="s">
        <v>3</v>
      </c>
      <c r="B2497" s="315">
        <v>96438.554681050955</v>
      </c>
      <c r="C2497" s="314">
        <v>0.68630710413411511</v>
      </c>
      <c r="D2497" s="315">
        <v>18103.772721415127</v>
      </c>
      <c r="E2497" s="314">
        <v>0.12883589837517465</v>
      </c>
      <c r="F2497" s="315">
        <v>3038.4467107910696</v>
      </c>
      <c r="G2497" s="314">
        <v>2.1623173118319086E-2</v>
      </c>
      <c r="H2497" s="315">
        <v>2776.5803198246526</v>
      </c>
      <c r="I2497" s="314">
        <v>1.9759595163956329E-2</v>
      </c>
      <c r="J2497" s="315">
        <v>10836.760194064425</v>
      </c>
      <c r="K2497" s="314">
        <v>7.7120043239776573E-2</v>
      </c>
      <c r="L2497" s="315">
        <v>4871.2073429834118</v>
      </c>
      <c r="M2497" s="314">
        <v>3.4666054631951791E-2</v>
      </c>
      <c r="N2497" s="315">
        <v>4452.755287315561</v>
      </c>
      <c r="O2497" s="314">
        <v>3.1688131336707726E-2</v>
      </c>
      <c r="P2497" s="315">
        <v>140518.07725744502</v>
      </c>
      <c r="Q2497" s="314">
        <v>1</v>
      </c>
      <c r="R2497" s="307"/>
    </row>
    <row r="2498" spans="1:18">
      <c r="A2498" s="313" t="s">
        <v>309</v>
      </c>
      <c r="B2498" s="312">
        <v>2006.1151515151539</v>
      </c>
      <c r="C2498" s="311">
        <v>0.74365763974566501</v>
      </c>
      <c r="D2498" s="312">
        <v>204.8385026737968</v>
      </c>
      <c r="E2498" s="311">
        <v>7.5932688765339373E-2</v>
      </c>
      <c r="F2498" s="312">
        <v>66.261437908496731</v>
      </c>
      <c r="G2498" s="311">
        <v>2.4562809609393652E-2</v>
      </c>
      <c r="H2498" s="312">
        <v>29.614973262032088</v>
      </c>
      <c r="I2498" s="311">
        <v>1.0978134081954466E-2</v>
      </c>
      <c r="J2498" s="312">
        <v>167.64052287581703</v>
      </c>
      <c r="K2498" s="311">
        <v>6.2143569113369289E-2</v>
      </c>
      <c r="L2498" s="312">
        <v>62.878431372549016</v>
      </c>
      <c r="M2498" s="311">
        <v>2.3308744680036561E-2</v>
      </c>
      <c r="N2498" s="312">
        <v>160.28366013071894</v>
      </c>
      <c r="O2498" s="311">
        <v>5.9416414004241878E-2</v>
      </c>
      <c r="P2498" s="312">
        <v>2697.6326797385636</v>
      </c>
      <c r="Q2498" s="311">
        <v>1.9197762539806141E-2</v>
      </c>
      <c r="R2498" s="307"/>
    </row>
    <row r="2499" spans="1:18">
      <c r="A2499" s="313" t="s">
        <v>308</v>
      </c>
      <c r="B2499" s="312">
        <v>4030.9542395153135</v>
      </c>
      <c r="C2499" s="311">
        <v>0.65025742166088851</v>
      </c>
      <c r="D2499" s="312">
        <v>1023.8302237870251</v>
      </c>
      <c r="E2499" s="311">
        <v>0.16516019830041345</v>
      </c>
      <c r="F2499" s="312">
        <v>184.38488660186775</v>
      </c>
      <c r="G2499" s="311">
        <v>2.9744232712843311E-2</v>
      </c>
      <c r="H2499" s="312">
        <v>161.05002858776442</v>
      </c>
      <c r="I2499" s="311">
        <v>2.5979946713680434E-2</v>
      </c>
      <c r="J2499" s="312">
        <v>396.57080236325498</v>
      </c>
      <c r="K2499" s="311">
        <v>6.3973216297718863E-2</v>
      </c>
      <c r="L2499" s="312">
        <v>196.93851122947447</v>
      </c>
      <c r="M2499" s="311">
        <v>3.1769333246812095E-2</v>
      </c>
      <c r="N2499" s="312">
        <v>205.28435296359822</v>
      </c>
      <c r="O2499" s="311">
        <v>3.3115651067644934E-2</v>
      </c>
      <c r="P2499" s="312">
        <v>6199.0130450482884</v>
      </c>
      <c r="Q2499" s="311">
        <v>4.4115413233921458E-2</v>
      </c>
      <c r="R2499" s="307"/>
    </row>
    <row r="2500" spans="1:18">
      <c r="A2500" s="313" t="s">
        <v>307</v>
      </c>
      <c r="B2500" s="312">
        <v>11461.881944444447</v>
      </c>
      <c r="C2500" s="311">
        <v>0.72656939373789808</v>
      </c>
      <c r="D2500" s="312">
        <v>2443.7230902777778</v>
      </c>
      <c r="E2500" s="311">
        <v>0.15490775535574469</v>
      </c>
      <c r="F2500" s="312">
        <v>0</v>
      </c>
      <c r="G2500" s="311">
        <v>0</v>
      </c>
      <c r="H2500" s="312">
        <v>263.79108796296293</v>
      </c>
      <c r="I2500" s="311">
        <v>1.6721733113610457E-2</v>
      </c>
      <c r="J2500" s="312">
        <v>791.37326388888891</v>
      </c>
      <c r="K2500" s="311">
        <v>5.0165199340831378E-2</v>
      </c>
      <c r="L2500" s="312">
        <v>527.58217592592587</v>
      </c>
      <c r="M2500" s="311">
        <v>3.3443466227220914E-2</v>
      </c>
      <c r="N2500" s="312">
        <v>286.9921875</v>
      </c>
      <c r="O2500" s="311">
        <v>1.8192452224693983E-2</v>
      </c>
      <c r="P2500" s="312">
        <v>15775.343750000011</v>
      </c>
      <c r="Q2500" s="311">
        <v>0.11226558217913697</v>
      </c>
      <c r="R2500" s="307"/>
    </row>
    <row r="2501" spans="1:18">
      <c r="A2501" s="313" t="s">
        <v>306</v>
      </c>
      <c r="B2501" s="312">
        <v>10176.745825242717</v>
      </c>
      <c r="C2501" s="311">
        <v>0.78625280898198724</v>
      </c>
      <c r="D2501" s="312">
        <v>1318.1130204962251</v>
      </c>
      <c r="E2501" s="311">
        <v>0.10183707864160704</v>
      </c>
      <c r="F2501" s="312">
        <v>36.094999999999999</v>
      </c>
      <c r="G2501" s="311">
        <v>2.7886905723645671E-3</v>
      </c>
      <c r="H2501" s="312">
        <v>151.63925925925926</v>
      </c>
      <c r="I2501" s="311">
        <v>1.1715610824120868E-2</v>
      </c>
      <c r="J2501" s="312">
        <v>450.45094030924122</v>
      </c>
      <c r="K2501" s="311">
        <v>3.4801725739108891E-2</v>
      </c>
      <c r="L2501" s="312">
        <v>441.51760697590794</v>
      </c>
      <c r="M2501" s="311">
        <v>3.4111538664820022E-2</v>
      </c>
      <c r="N2501" s="312">
        <v>368.78902193455588</v>
      </c>
      <c r="O2501" s="311">
        <v>2.8492546575992397E-2</v>
      </c>
      <c r="P2501" s="312">
        <v>12943.350674217892</v>
      </c>
      <c r="Q2501" s="311">
        <v>9.2111640913675533E-2</v>
      </c>
      <c r="R2501" s="307"/>
    </row>
    <row r="2502" spans="1:18">
      <c r="A2502" s="313" t="s">
        <v>305</v>
      </c>
      <c r="B2502" s="312">
        <v>15105.214993511372</v>
      </c>
      <c r="C2502" s="311">
        <v>0.70260239478301978</v>
      </c>
      <c r="D2502" s="312">
        <v>3133.5295329159831</v>
      </c>
      <c r="E2502" s="311">
        <v>0.14575266587703797</v>
      </c>
      <c r="F2502" s="312">
        <v>249.11212332121065</v>
      </c>
      <c r="G2502" s="311">
        <v>1.1587175322572398E-2</v>
      </c>
      <c r="H2502" s="312">
        <v>403.12966269240849</v>
      </c>
      <c r="I2502" s="311">
        <v>1.8751131085352066E-2</v>
      </c>
      <c r="J2502" s="312">
        <v>1102.2621336293175</v>
      </c>
      <c r="K2502" s="311">
        <v>5.1270505921251354E-2</v>
      </c>
      <c r="L2502" s="312">
        <v>600.91357020241753</v>
      </c>
      <c r="M2502" s="311">
        <v>2.7950831131049472E-2</v>
      </c>
      <c r="N2502" s="312">
        <v>904.78974601978166</v>
      </c>
      <c r="O2502" s="311">
        <v>4.2085295879714046E-2</v>
      </c>
      <c r="P2502" s="312">
        <v>21498.951762292552</v>
      </c>
      <c r="Q2502" s="311">
        <v>0.15299776499862033</v>
      </c>
      <c r="R2502" s="307"/>
    </row>
    <row r="2503" spans="1:18" ht="28.5">
      <c r="A2503" s="313" t="s">
        <v>304</v>
      </c>
      <c r="B2503" s="312">
        <v>25542.461509374174</v>
      </c>
      <c r="C2503" s="311">
        <v>0.61040197561394482</v>
      </c>
      <c r="D2503" s="312">
        <v>5914.9207910720424</v>
      </c>
      <c r="E2503" s="311">
        <v>0.14135205156892627</v>
      </c>
      <c r="F2503" s="312">
        <v>1893.3249828489422</v>
      </c>
      <c r="G2503" s="311">
        <v>4.5245808027785051E-2</v>
      </c>
      <c r="H2503" s="312">
        <v>895.09133944683595</v>
      </c>
      <c r="I2503" s="311">
        <v>2.139048038705129E-2</v>
      </c>
      <c r="J2503" s="312">
        <v>4682.2859821939892</v>
      </c>
      <c r="K2503" s="311">
        <v>0.11189511288376679</v>
      </c>
      <c r="L2503" s="312">
        <v>1586.2109047905085</v>
      </c>
      <c r="M2503" s="311">
        <v>3.7906537303351397E-2</v>
      </c>
      <c r="N2503" s="312">
        <v>1331.0171363924067</v>
      </c>
      <c r="O2503" s="311">
        <v>3.1808034215174072E-2</v>
      </c>
      <c r="P2503" s="312">
        <v>41845.312646118909</v>
      </c>
      <c r="Q2503" s="311">
        <v>0.29779309155685046</v>
      </c>
      <c r="R2503" s="307"/>
    </row>
    <row r="2504" spans="1:18" ht="28.5">
      <c r="A2504" s="313" t="s">
        <v>303</v>
      </c>
      <c r="B2504" s="312">
        <v>25682.035022866345</v>
      </c>
      <c r="C2504" s="311">
        <v>0.70120692320362787</v>
      </c>
      <c r="D2504" s="312">
        <v>3810.7898899136744</v>
      </c>
      <c r="E2504" s="311">
        <v>0.10404752782646205</v>
      </c>
      <c r="F2504" s="312">
        <v>609.26828011055375</v>
      </c>
      <c r="G2504" s="311">
        <v>1.6635096701702323E-2</v>
      </c>
      <c r="H2504" s="312">
        <v>812.85771861338674</v>
      </c>
      <c r="I2504" s="311">
        <v>2.2193780958702166E-2</v>
      </c>
      <c r="J2504" s="312">
        <v>3232.529489980418</v>
      </c>
      <c r="K2504" s="311">
        <v>8.8259051738540165E-2</v>
      </c>
      <c r="L2504" s="312">
        <v>1380.0098924866359</v>
      </c>
      <c r="M2504" s="311">
        <v>3.7678964686386533E-2</v>
      </c>
      <c r="N2504" s="312">
        <v>1097.9824060587141</v>
      </c>
      <c r="O2504" s="311">
        <v>2.9978654884577686E-2</v>
      </c>
      <c r="P2504" s="312">
        <v>36625.472700029772</v>
      </c>
      <c r="Q2504" s="311">
        <v>0.26064598530570382</v>
      </c>
      <c r="R2504" s="307"/>
    </row>
    <row r="2505" spans="1:18" ht="15.75" thickBot="1">
      <c r="A2505" s="310" t="s">
        <v>302</v>
      </c>
      <c r="B2505" s="309">
        <v>2433.1459945820425</v>
      </c>
      <c r="C2505" s="308">
        <v>0.82957585904604225</v>
      </c>
      <c r="D2505" s="309">
        <v>254.02767027863777</v>
      </c>
      <c r="E2505" s="308">
        <v>8.6610184206831822E-2</v>
      </c>
      <c r="F2505" s="309">
        <v>0</v>
      </c>
      <c r="G2505" s="308">
        <v>0</v>
      </c>
      <c r="H2505" s="309">
        <v>59.40625</v>
      </c>
      <c r="I2505" s="308">
        <v>2.0254432321854754E-2</v>
      </c>
      <c r="J2505" s="309">
        <v>13.647058823529411</v>
      </c>
      <c r="K2505" s="308">
        <v>4.6529351597440873E-3</v>
      </c>
      <c r="L2505" s="309">
        <v>75.15625</v>
      </c>
      <c r="M2505" s="308">
        <v>2.5624360722809408E-2</v>
      </c>
      <c r="N2505" s="309">
        <v>97.61677631578948</v>
      </c>
      <c r="O2505" s="308">
        <v>3.3282228542717174E-2</v>
      </c>
      <c r="P2505" s="309">
        <v>2933.0000000000005</v>
      </c>
      <c r="Q2505" s="308">
        <v>2.0872759272292152E-2</v>
      </c>
      <c r="R2505" s="307"/>
    </row>
    <row r="2509" spans="1:18" ht="15.75" thickBot="1"/>
    <row r="2510" spans="1:18" ht="15" customHeight="1">
      <c r="A2510" s="752" t="s">
        <v>310</v>
      </c>
      <c r="B2510" s="755" t="s">
        <v>382</v>
      </c>
      <c r="C2510" s="756"/>
      <c r="D2510" s="756"/>
      <c r="E2510" s="756"/>
      <c r="F2510" s="756"/>
      <c r="G2510" s="756"/>
      <c r="H2510" s="756"/>
      <c r="I2510" s="756"/>
      <c r="J2510" s="756"/>
      <c r="K2510" s="756"/>
      <c r="L2510" s="756"/>
      <c r="M2510" s="756"/>
      <c r="N2510" s="756"/>
      <c r="O2510" s="757"/>
      <c r="P2510" s="307"/>
    </row>
    <row r="2511" spans="1:18" ht="60.75" customHeight="1">
      <c r="A2511" s="753"/>
      <c r="B2511" s="758" t="s">
        <v>19</v>
      </c>
      <c r="C2511" s="759"/>
      <c r="D2511" s="760" t="s">
        <v>18</v>
      </c>
      <c r="E2511" s="759"/>
      <c r="F2511" s="760" t="s">
        <v>17</v>
      </c>
      <c r="G2511" s="759"/>
      <c r="H2511" s="760" t="s">
        <v>16</v>
      </c>
      <c r="I2511" s="759"/>
      <c r="J2511" s="760" t="s">
        <v>15</v>
      </c>
      <c r="K2511" s="759"/>
      <c r="L2511" s="760" t="s">
        <v>14</v>
      </c>
      <c r="M2511" s="759"/>
      <c r="N2511" s="761" t="s">
        <v>9</v>
      </c>
      <c r="O2511" s="762"/>
      <c r="P2511" s="307"/>
    </row>
    <row r="2512" spans="1:18" ht="15.75" customHeight="1" thickBot="1">
      <c r="A2512" s="754"/>
      <c r="B2512" s="318" t="s">
        <v>7</v>
      </c>
      <c r="C2512" s="318" t="s">
        <v>8</v>
      </c>
      <c r="D2512" s="318" t="s">
        <v>7</v>
      </c>
      <c r="E2512" s="318" t="s">
        <v>8</v>
      </c>
      <c r="F2512" s="318" t="s">
        <v>7</v>
      </c>
      <c r="G2512" s="318" t="s">
        <v>8</v>
      </c>
      <c r="H2512" s="318" t="s">
        <v>7</v>
      </c>
      <c r="I2512" s="318" t="s">
        <v>8</v>
      </c>
      <c r="J2512" s="318" t="s">
        <v>7</v>
      </c>
      <c r="K2512" s="318" t="s">
        <v>8</v>
      </c>
      <c r="L2512" s="318" t="s">
        <v>7</v>
      </c>
      <c r="M2512" s="318" t="s">
        <v>8</v>
      </c>
      <c r="N2512" s="318" t="s">
        <v>7</v>
      </c>
      <c r="O2512" s="317" t="s">
        <v>8</v>
      </c>
      <c r="P2512" s="307"/>
    </row>
    <row r="2513" spans="1:16" ht="15.75" customHeight="1">
      <c r="A2513" s="316" t="s">
        <v>5</v>
      </c>
      <c r="B2513" s="315">
        <v>4618.9650624767228</v>
      </c>
      <c r="C2513" s="314">
        <v>0.38890013705981852</v>
      </c>
      <c r="D2513" s="315">
        <v>2673.22548793551</v>
      </c>
      <c r="E2513" s="314">
        <v>0.22507590869121435</v>
      </c>
      <c r="F2513" s="315">
        <v>707.90660244671278</v>
      </c>
      <c r="G2513" s="314">
        <v>5.9603173220248724E-2</v>
      </c>
      <c r="H2513" s="315">
        <v>1140.2789814562539</v>
      </c>
      <c r="I2513" s="314">
        <v>9.6007362293618156E-2</v>
      </c>
      <c r="J2513" s="315">
        <v>365.71940733051923</v>
      </c>
      <c r="K2513" s="314">
        <v>3.0792250149649467E-2</v>
      </c>
      <c r="L2513" s="315">
        <v>2370.8996617945213</v>
      </c>
      <c r="M2513" s="314">
        <v>0.19962116858544943</v>
      </c>
      <c r="N2513" s="315">
        <v>11876.995203440256</v>
      </c>
      <c r="O2513" s="314">
        <v>1</v>
      </c>
      <c r="P2513" s="307"/>
    </row>
    <row r="2514" spans="1:16">
      <c r="A2514" s="313" t="s">
        <v>309</v>
      </c>
      <c r="B2514" s="312">
        <v>9.6666666666666661</v>
      </c>
      <c r="C2514" s="311">
        <v>4.2418429221261614E-2</v>
      </c>
      <c r="D2514" s="312">
        <v>47.206896551724135</v>
      </c>
      <c r="E2514" s="311">
        <v>0.20714921380704099</v>
      </c>
      <c r="F2514" s="312">
        <v>0</v>
      </c>
      <c r="G2514" s="311">
        <v>0</v>
      </c>
      <c r="H2514" s="312">
        <v>61.903954802259889</v>
      </c>
      <c r="I2514" s="311">
        <v>0.27164157158232821</v>
      </c>
      <c r="J2514" s="312">
        <v>0</v>
      </c>
      <c r="K2514" s="311">
        <v>0</v>
      </c>
      <c r="L2514" s="312">
        <v>109.11085135398403</v>
      </c>
      <c r="M2514" s="311">
        <v>0.47879078538936926</v>
      </c>
      <c r="N2514" s="312">
        <v>227.88836937463472</v>
      </c>
      <c r="O2514" s="311">
        <v>1.9187375718449834E-2</v>
      </c>
      <c r="P2514" s="307"/>
    </row>
    <row r="2515" spans="1:16">
      <c r="A2515" s="313" t="s">
        <v>308</v>
      </c>
      <c r="B2515" s="312">
        <v>489.51248710010327</v>
      </c>
      <c r="C2515" s="311">
        <v>0.47316402703587707</v>
      </c>
      <c r="D2515" s="312">
        <v>245.13120055039565</v>
      </c>
      <c r="E2515" s="311">
        <v>0.23694444791731226</v>
      </c>
      <c r="F2515" s="312">
        <v>25.164086687306501</v>
      </c>
      <c r="G2515" s="311">
        <v>2.432367081007878E-2</v>
      </c>
      <c r="H2515" s="312">
        <v>32.069349845201238</v>
      </c>
      <c r="I2515" s="311">
        <v>3.0998315910324807E-2</v>
      </c>
      <c r="J2515" s="312">
        <v>18.258823529411764</v>
      </c>
      <c r="K2515" s="311">
        <v>1.764902570983275E-2</v>
      </c>
      <c r="L2515" s="312">
        <v>224.41541107671139</v>
      </c>
      <c r="M2515" s="311">
        <v>0.21692051261657411</v>
      </c>
      <c r="N2515" s="312">
        <v>1034.5513587891301</v>
      </c>
      <c r="O2515" s="311">
        <v>8.710547921156564E-2</v>
      </c>
      <c r="P2515" s="307"/>
    </row>
    <row r="2516" spans="1:16">
      <c r="A2516" s="313" t="s">
        <v>307</v>
      </c>
      <c r="B2516" s="312">
        <v>62.282352941176477</v>
      </c>
      <c r="C2516" s="311">
        <v>0.18790282742552195</v>
      </c>
      <c r="D2516" s="312">
        <v>89.726027397260268</v>
      </c>
      <c r="E2516" s="311">
        <v>0.27069905752482604</v>
      </c>
      <c r="F2516" s="312">
        <v>89.726027397260268</v>
      </c>
      <c r="G2516" s="311">
        <v>0.27069905752482604</v>
      </c>
      <c r="H2516" s="312">
        <v>0</v>
      </c>
      <c r="I2516" s="311">
        <v>0</v>
      </c>
      <c r="J2516" s="312">
        <v>0</v>
      </c>
      <c r="K2516" s="311">
        <v>0</v>
      </c>
      <c r="L2516" s="312">
        <v>89.726027397260268</v>
      </c>
      <c r="M2516" s="311">
        <v>0.27069905752482604</v>
      </c>
      <c r="N2516" s="312">
        <v>331.46043513295729</v>
      </c>
      <c r="O2516" s="311">
        <v>2.7907768712152666E-2</v>
      </c>
      <c r="P2516" s="307"/>
    </row>
    <row r="2517" spans="1:16">
      <c r="A2517" s="313" t="s">
        <v>306</v>
      </c>
      <c r="B2517" s="312">
        <v>48.714285714285708</v>
      </c>
      <c r="C2517" s="311">
        <v>0.10371298788774488</v>
      </c>
      <c r="D2517" s="312">
        <v>183.89346151683813</v>
      </c>
      <c r="E2517" s="311">
        <v>0.39151021240034967</v>
      </c>
      <c r="F2517" s="312">
        <v>0</v>
      </c>
      <c r="G2517" s="311">
        <v>0</v>
      </c>
      <c r="H2517" s="312">
        <v>85.718839601956489</v>
      </c>
      <c r="I2517" s="311">
        <v>0.18249589094933966</v>
      </c>
      <c r="J2517" s="312">
        <v>13.346938775510203</v>
      </c>
      <c r="K2517" s="311">
        <v>2.8415707615661989E-2</v>
      </c>
      <c r="L2517" s="312">
        <v>138.02932170511568</v>
      </c>
      <c r="M2517" s="311">
        <v>0.29386520114690368</v>
      </c>
      <c r="N2517" s="312">
        <v>469.70284731370629</v>
      </c>
      <c r="O2517" s="311">
        <v>3.9547279363862466E-2</v>
      </c>
      <c r="P2517" s="307"/>
    </row>
    <row r="2518" spans="1:16">
      <c r="A2518" s="313" t="s">
        <v>305</v>
      </c>
      <c r="B2518" s="312">
        <v>549.89437425839913</v>
      </c>
      <c r="C2518" s="311">
        <v>0.28793048583785202</v>
      </c>
      <c r="D2518" s="312">
        <v>417.80323609655125</v>
      </c>
      <c r="E2518" s="311">
        <v>0.21876617471517867</v>
      </c>
      <c r="F2518" s="312">
        <v>54.263157894736842</v>
      </c>
      <c r="G2518" s="311">
        <v>2.841276097213867E-2</v>
      </c>
      <c r="H2518" s="312">
        <v>285.97742323287895</v>
      </c>
      <c r="I2518" s="311">
        <v>0.14974079071303062</v>
      </c>
      <c r="J2518" s="312">
        <v>63.136173767752716</v>
      </c>
      <c r="K2518" s="311">
        <v>3.3058765533669078E-2</v>
      </c>
      <c r="L2518" s="312">
        <v>538.74207067953876</v>
      </c>
      <c r="M2518" s="311">
        <v>0.28209102222813059</v>
      </c>
      <c r="N2518" s="312">
        <v>1909.8164359298582</v>
      </c>
      <c r="O2518" s="311">
        <v>0.16079963014354562</v>
      </c>
      <c r="P2518" s="307"/>
    </row>
    <row r="2519" spans="1:16" ht="28.5">
      <c r="A2519" s="313" t="s">
        <v>304</v>
      </c>
      <c r="B2519" s="312">
        <v>2530.7163858676122</v>
      </c>
      <c r="C2519" s="311">
        <v>0.50542907413984539</v>
      </c>
      <c r="D2519" s="312">
        <v>1021.1952283674746</v>
      </c>
      <c r="E2519" s="311">
        <v>0.203950850309467</v>
      </c>
      <c r="F2519" s="312">
        <v>238.90170086394491</v>
      </c>
      <c r="G2519" s="311">
        <v>4.771291882108776E-2</v>
      </c>
      <c r="H2519" s="312">
        <v>323.14204748169254</v>
      </c>
      <c r="I2519" s="311">
        <v>6.4537214358112494E-2</v>
      </c>
      <c r="J2519" s="312">
        <v>134.49241363254296</v>
      </c>
      <c r="K2519" s="311">
        <v>2.6860527114271952E-2</v>
      </c>
      <c r="L2519" s="312">
        <v>758.61753789526438</v>
      </c>
      <c r="M2519" s="311">
        <v>0.15150941525721429</v>
      </c>
      <c r="N2519" s="312">
        <v>5007.0653141085368</v>
      </c>
      <c r="O2519" s="311">
        <v>0.42157677327832926</v>
      </c>
      <c r="P2519" s="307"/>
    </row>
    <row r="2520" spans="1:16" ht="28.5">
      <c r="A2520" s="313" t="s">
        <v>303</v>
      </c>
      <c r="B2520" s="312">
        <v>857.63684326181101</v>
      </c>
      <c r="C2520" s="311">
        <v>0.30348418938934152</v>
      </c>
      <c r="D2520" s="312">
        <v>668.26943745526785</v>
      </c>
      <c r="E2520" s="311">
        <v>0.23647445898948116</v>
      </c>
      <c r="F2520" s="312">
        <v>299.85162960346423</v>
      </c>
      <c r="G2520" s="311">
        <v>0.10610578295725194</v>
      </c>
      <c r="H2520" s="312">
        <v>351.46736649226483</v>
      </c>
      <c r="I2520" s="311">
        <v>0.12437057672457062</v>
      </c>
      <c r="J2520" s="312">
        <v>136.48505762530152</v>
      </c>
      <c r="K2520" s="311">
        <v>4.8296732355430756E-2</v>
      </c>
      <c r="L2520" s="312">
        <v>512.25844168664639</v>
      </c>
      <c r="M2520" s="311">
        <v>0.18126825958392406</v>
      </c>
      <c r="N2520" s="312">
        <v>2825.9687761247555</v>
      </c>
      <c r="O2520" s="311">
        <v>0.23793634060795055</v>
      </c>
      <c r="P2520" s="307"/>
    </row>
    <row r="2521" spans="1:16" ht="15.75" thickBot="1">
      <c r="A2521" s="313" t="s">
        <v>302</v>
      </c>
      <c r="B2521" s="312">
        <v>70.541666666666671</v>
      </c>
      <c r="C2521" s="311">
        <v>1</v>
      </c>
      <c r="D2521" s="312">
        <v>0</v>
      </c>
      <c r="E2521" s="311">
        <v>0</v>
      </c>
      <c r="F2521" s="312">
        <v>0</v>
      </c>
      <c r="G2521" s="311">
        <v>0</v>
      </c>
      <c r="H2521" s="312">
        <v>0</v>
      </c>
      <c r="I2521" s="311">
        <v>0</v>
      </c>
      <c r="J2521" s="312">
        <v>0</v>
      </c>
      <c r="K2521" s="311">
        <v>0</v>
      </c>
      <c r="L2521" s="312">
        <v>0</v>
      </c>
      <c r="M2521" s="311">
        <v>0</v>
      </c>
      <c r="N2521" s="312">
        <v>70.541666666666671</v>
      </c>
      <c r="O2521" s="311">
        <v>5.9393529641431344E-3</v>
      </c>
      <c r="P2521" s="307"/>
    </row>
    <row r="2522" spans="1:16" ht="15" customHeight="1">
      <c r="A2522" s="316" t="s">
        <v>4</v>
      </c>
      <c r="B2522" s="315">
        <v>4251.4127008368177</v>
      </c>
      <c r="C2522" s="314">
        <v>0.34837120884811917</v>
      </c>
      <c r="D2522" s="315">
        <v>3274.7090362604858</v>
      </c>
      <c r="E2522" s="314">
        <v>0.26833770933679885</v>
      </c>
      <c r="F2522" s="315">
        <v>668.46793973138927</v>
      </c>
      <c r="G2522" s="314">
        <v>5.4775906416847819E-2</v>
      </c>
      <c r="H2522" s="315">
        <v>1363.0075219395869</v>
      </c>
      <c r="I2522" s="314">
        <v>0.11168818731564466</v>
      </c>
      <c r="J2522" s="315">
        <v>519.25650580377646</v>
      </c>
      <c r="K2522" s="314">
        <v>4.254915468298482E-2</v>
      </c>
      <c r="L2522" s="315">
        <v>2126.8318838381174</v>
      </c>
      <c r="M2522" s="314">
        <v>0.1742778333996059</v>
      </c>
      <c r="N2522" s="315">
        <v>12203.685588410159</v>
      </c>
      <c r="O2522" s="314">
        <v>1</v>
      </c>
      <c r="P2522" s="307"/>
    </row>
    <row r="2523" spans="1:16">
      <c r="A2523" s="313" t="s">
        <v>309</v>
      </c>
      <c r="B2523" s="312">
        <v>319.96197223828801</v>
      </c>
      <c r="C2523" s="311">
        <v>0.49999999999999994</v>
      </c>
      <c r="D2523" s="312">
        <v>159.23076923076923</v>
      </c>
      <c r="E2523" s="311">
        <v>0.24882764679326314</v>
      </c>
      <c r="F2523" s="312">
        <v>0</v>
      </c>
      <c r="G2523" s="311">
        <v>0</v>
      </c>
      <c r="H2523" s="312">
        <v>81.05263157894737</v>
      </c>
      <c r="I2523" s="311">
        <v>0.12665978868042532</v>
      </c>
      <c r="J2523" s="312">
        <v>0</v>
      </c>
      <c r="K2523" s="311">
        <v>0</v>
      </c>
      <c r="L2523" s="312">
        <v>79.678571428571431</v>
      </c>
      <c r="M2523" s="311">
        <v>0.12451256452631145</v>
      </c>
      <c r="N2523" s="312">
        <v>639.92394447657614</v>
      </c>
      <c r="O2523" s="311">
        <v>5.2436941269964538E-2</v>
      </c>
      <c r="P2523" s="307"/>
    </row>
    <row r="2524" spans="1:16">
      <c r="A2524" s="313" t="s">
        <v>308</v>
      </c>
      <c r="B2524" s="312">
        <v>513.82567037333706</v>
      </c>
      <c r="C2524" s="311">
        <v>0.51950297504376208</v>
      </c>
      <c r="D2524" s="312">
        <v>219.24340812460764</v>
      </c>
      <c r="E2524" s="311">
        <v>0.22166584767302752</v>
      </c>
      <c r="F2524" s="312">
        <v>103.13607081581853</v>
      </c>
      <c r="G2524" s="311">
        <v>0.10427563026232592</v>
      </c>
      <c r="H2524" s="312">
        <v>21.518796992481203</v>
      </c>
      <c r="I2524" s="311">
        <v>2.1756560058266872E-2</v>
      </c>
      <c r="J2524" s="312">
        <v>5.3796992481203008</v>
      </c>
      <c r="K2524" s="311">
        <v>5.4391400145667179E-3</v>
      </c>
      <c r="L2524" s="312">
        <v>125.96801535393462</v>
      </c>
      <c r="M2524" s="311">
        <v>0.12735984694804986</v>
      </c>
      <c r="N2524" s="312">
        <v>989.07166090830037</v>
      </c>
      <c r="O2524" s="311">
        <v>8.1046963537607167E-2</v>
      </c>
      <c r="P2524" s="307"/>
    </row>
    <row r="2525" spans="1:16">
      <c r="A2525" s="313" t="s">
        <v>307</v>
      </c>
      <c r="B2525" s="312">
        <v>0</v>
      </c>
      <c r="C2525" s="311">
        <v>0</v>
      </c>
      <c r="D2525" s="312">
        <v>120.45614035087719</v>
      </c>
      <c r="E2525" s="311">
        <v>0.5</v>
      </c>
      <c r="F2525" s="312">
        <v>120.45614035087719</v>
      </c>
      <c r="G2525" s="311">
        <v>0.5</v>
      </c>
      <c r="H2525" s="312">
        <v>0</v>
      </c>
      <c r="I2525" s="311">
        <v>0</v>
      </c>
      <c r="J2525" s="312">
        <v>0</v>
      </c>
      <c r="K2525" s="311">
        <v>0</v>
      </c>
      <c r="L2525" s="312">
        <v>0</v>
      </c>
      <c r="M2525" s="311">
        <v>0</v>
      </c>
      <c r="N2525" s="312">
        <v>240.91228070175438</v>
      </c>
      <c r="O2525" s="311">
        <v>1.9740944566004618E-2</v>
      </c>
      <c r="P2525" s="307"/>
    </row>
    <row r="2526" spans="1:16">
      <c r="A2526" s="313" t="s">
        <v>306</v>
      </c>
      <c r="B2526" s="312">
        <v>16.492378048780488</v>
      </c>
      <c r="C2526" s="311">
        <v>3.4964963936220304E-2</v>
      </c>
      <c r="D2526" s="312">
        <v>120.46964285714284</v>
      </c>
      <c r="E2526" s="311">
        <v>0.25540384203239919</v>
      </c>
      <c r="F2526" s="312">
        <v>0</v>
      </c>
      <c r="G2526" s="311">
        <v>0</v>
      </c>
      <c r="H2526" s="312">
        <v>0</v>
      </c>
      <c r="I2526" s="311">
        <v>0</v>
      </c>
      <c r="J2526" s="312">
        <v>64.8</v>
      </c>
      <c r="K2526" s="311">
        <v>0.13738041029411235</v>
      </c>
      <c r="L2526" s="312">
        <v>269.92094947735188</v>
      </c>
      <c r="M2526" s="311">
        <v>0.57225078373726812</v>
      </c>
      <c r="N2526" s="312">
        <v>471.68297038327523</v>
      </c>
      <c r="O2526" s="311">
        <v>3.8650862230606188E-2</v>
      </c>
      <c r="P2526" s="307"/>
    </row>
    <row r="2527" spans="1:16">
      <c r="A2527" s="313" t="s">
        <v>305</v>
      </c>
      <c r="B2527" s="312">
        <v>705.95558409139096</v>
      </c>
      <c r="C2527" s="311">
        <v>0.41076676555579139</v>
      </c>
      <c r="D2527" s="312">
        <v>315.28471405089329</v>
      </c>
      <c r="E2527" s="311">
        <v>0.18345131781421284</v>
      </c>
      <c r="F2527" s="312">
        <v>52.911174785100286</v>
      </c>
      <c r="G2527" s="311">
        <v>3.0786854892869791E-2</v>
      </c>
      <c r="H2527" s="312">
        <v>110.33425170817721</v>
      </c>
      <c r="I2527" s="311">
        <v>6.4199001644725695E-2</v>
      </c>
      <c r="J2527" s="312">
        <v>127.73945761338311</v>
      </c>
      <c r="K2527" s="311">
        <v>7.4326381177697062E-2</v>
      </c>
      <c r="L2527" s="312">
        <v>406.40359516977441</v>
      </c>
      <c r="M2527" s="311">
        <v>0.23646967891470394</v>
      </c>
      <c r="N2527" s="312">
        <v>1718.6287774187181</v>
      </c>
      <c r="O2527" s="311">
        <v>0.14082866728809371</v>
      </c>
      <c r="P2527" s="307"/>
    </row>
    <row r="2528" spans="1:16" ht="28.5">
      <c r="A2528" s="313" t="s">
        <v>304</v>
      </c>
      <c r="B2528" s="312">
        <v>1884.41585321767</v>
      </c>
      <c r="C2528" s="311">
        <v>0.36595524477163244</v>
      </c>
      <c r="D2528" s="312">
        <v>1789.4600859138393</v>
      </c>
      <c r="E2528" s="311">
        <v>0.34751474979977359</v>
      </c>
      <c r="F2528" s="312">
        <v>159.56931932973279</v>
      </c>
      <c r="G2528" s="311">
        <v>3.0988504588116451E-2</v>
      </c>
      <c r="H2528" s="312">
        <v>463.18089831701894</v>
      </c>
      <c r="I2528" s="311">
        <v>8.9950144883211111E-2</v>
      </c>
      <c r="J2528" s="312">
        <v>27.999532437171244</v>
      </c>
      <c r="K2528" s="311">
        <v>5.4375342518160593E-3</v>
      </c>
      <c r="L2528" s="312">
        <v>824.68117314039887</v>
      </c>
      <c r="M2528" s="311">
        <v>0.16015382170545295</v>
      </c>
      <c r="N2528" s="312">
        <v>5149.3068623558174</v>
      </c>
      <c r="O2528" s="311">
        <v>0.42194686392495351</v>
      </c>
      <c r="P2528" s="307"/>
    </row>
    <row r="2529" spans="1:16" ht="28.5">
      <c r="A2529" s="313" t="s">
        <v>303</v>
      </c>
      <c r="B2529" s="312">
        <v>804.7612428673541</v>
      </c>
      <c r="C2529" s="311">
        <v>0.28253283322787137</v>
      </c>
      <c r="D2529" s="312">
        <v>550.56427573235715</v>
      </c>
      <c r="E2529" s="311">
        <v>0.19329022871737997</v>
      </c>
      <c r="F2529" s="312">
        <v>162.50634556097157</v>
      </c>
      <c r="G2529" s="311">
        <v>5.7052173717089094E-2</v>
      </c>
      <c r="H2529" s="312">
        <v>686.92094334296178</v>
      </c>
      <c r="I2529" s="311">
        <v>0.24116186265972828</v>
      </c>
      <c r="J2529" s="312">
        <v>223.44892761621284</v>
      </c>
      <c r="K2529" s="311">
        <v>7.8447687634907545E-2</v>
      </c>
      <c r="L2529" s="312">
        <v>420.17957926808674</v>
      </c>
      <c r="M2529" s="311">
        <v>0.14751521404302367</v>
      </c>
      <c r="N2529" s="312">
        <v>2848.3813143879443</v>
      </c>
      <c r="O2529" s="311">
        <v>0.2334033676755039</v>
      </c>
      <c r="P2529" s="307"/>
    </row>
    <row r="2530" spans="1:16" ht="15.75" thickBot="1">
      <c r="A2530" s="313" t="s">
        <v>302</v>
      </c>
      <c r="B2530" s="312">
        <v>6</v>
      </c>
      <c r="C2530" s="311">
        <v>4.1158536585365856E-2</v>
      </c>
      <c r="D2530" s="312">
        <v>0</v>
      </c>
      <c r="E2530" s="311">
        <v>0</v>
      </c>
      <c r="F2530" s="312">
        <v>69.888888888888886</v>
      </c>
      <c r="G2530" s="311">
        <v>0.47942073170731708</v>
      </c>
      <c r="H2530" s="312">
        <v>0</v>
      </c>
      <c r="I2530" s="311">
        <v>0</v>
      </c>
      <c r="J2530" s="312">
        <v>69.888888888888886</v>
      </c>
      <c r="K2530" s="311">
        <v>0.47942073170731708</v>
      </c>
      <c r="L2530" s="312">
        <v>0</v>
      </c>
      <c r="M2530" s="311">
        <v>0</v>
      </c>
      <c r="N2530" s="312">
        <v>145.77777777777777</v>
      </c>
      <c r="O2530" s="311">
        <v>1.1945389507266799E-2</v>
      </c>
      <c r="P2530" s="307"/>
    </row>
    <row r="2531" spans="1:16" ht="15.75" customHeight="1">
      <c r="A2531" s="316" t="s">
        <v>3</v>
      </c>
      <c r="B2531" s="315">
        <v>2909.8807045467961</v>
      </c>
      <c r="C2531" s="314">
        <v>0.34141817219790377</v>
      </c>
      <c r="D2531" s="315">
        <v>2338.5695722390064</v>
      </c>
      <c r="E2531" s="314">
        <v>0.27438587006810922</v>
      </c>
      <c r="F2531" s="315">
        <v>463.50156213312647</v>
      </c>
      <c r="G2531" s="314">
        <v>5.4382936010777705E-2</v>
      </c>
      <c r="H2531" s="315">
        <v>751.40410599281074</v>
      </c>
      <c r="I2531" s="314">
        <v>8.8162726413219428E-2</v>
      </c>
      <c r="J2531" s="315">
        <v>373.5351382345462</v>
      </c>
      <c r="K2531" s="314">
        <v>4.3827117705704258E-2</v>
      </c>
      <c r="L2531" s="315">
        <v>1686.0316594079293</v>
      </c>
      <c r="M2531" s="314">
        <v>0.19782317760428877</v>
      </c>
      <c r="N2531" s="315">
        <v>8522.9227425541885</v>
      </c>
      <c r="O2531" s="314">
        <v>1</v>
      </c>
      <c r="P2531" s="307"/>
    </row>
    <row r="2532" spans="1:16">
      <c r="A2532" s="313" t="s">
        <v>309</v>
      </c>
      <c r="B2532" s="312">
        <v>117.43398692810457</v>
      </c>
      <c r="C2532" s="311">
        <v>0.59803223251076743</v>
      </c>
      <c r="D2532" s="312">
        <v>0</v>
      </c>
      <c r="E2532" s="311">
        <v>0</v>
      </c>
      <c r="F2532" s="312">
        <v>0</v>
      </c>
      <c r="G2532" s="311">
        <v>0</v>
      </c>
      <c r="H2532" s="312">
        <v>39.466666666666669</v>
      </c>
      <c r="I2532" s="311">
        <v>0.20098388374461623</v>
      </c>
      <c r="J2532" s="312">
        <v>0</v>
      </c>
      <c r="K2532" s="311">
        <v>0</v>
      </c>
      <c r="L2532" s="312">
        <v>39.466666666666669</v>
      </c>
      <c r="M2532" s="311">
        <v>0.20098388374461623</v>
      </c>
      <c r="N2532" s="312">
        <v>196.36732026143792</v>
      </c>
      <c r="O2532" s="311">
        <v>2.3039903820903308E-2</v>
      </c>
      <c r="P2532" s="307"/>
    </row>
    <row r="2533" spans="1:16">
      <c r="A2533" s="313" t="s">
        <v>308</v>
      </c>
      <c r="B2533" s="312">
        <v>592.38577934258137</v>
      </c>
      <c r="C2533" s="311">
        <v>0.46571686685660596</v>
      </c>
      <c r="D2533" s="312">
        <v>291.95864303411474</v>
      </c>
      <c r="E2533" s="311">
        <v>0.22952958903985035</v>
      </c>
      <c r="F2533" s="312">
        <v>20.141414141414142</v>
      </c>
      <c r="G2533" s="311">
        <v>1.5834607472196071E-2</v>
      </c>
      <c r="H2533" s="312">
        <v>102.23232323232324</v>
      </c>
      <c r="I2533" s="311">
        <v>8.0372147555715354E-2</v>
      </c>
      <c r="J2533" s="312">
        <v>73.333333333333329</v>
      </c>
      <c r="K2533" s="311">
        <v>5.7652582872689796E-2</v>
      </c>
      <c r="L2533" s="312">
        <v>191.93546186793455</v>
      </c>
      <c r="M2533" s="311">
        <v>0.15089420620294214</v>
      </c>
      <c r="N2533" s="312">
        <v>1271.9869549517018</v>
      </c>
      <c r="O2533" s="311">
        <v>0.14924304647287076</v>
      </c>
      <c r="P2533" s="307"/>
    </row>
    <row r="2534" spans="1:16">
      <c r="A2534" s="313" t="s">
        <v>307</v>
      </c>
      <c r="B2534" s="312">
        <v>0</v>
      </c>
      <c r="C2534" s="311">
        <v>0</v>
      </c>
      <c r="D2534" s="312">
        <v>191.328125</v>
      </c>
      <c r="E2534" s="311">
        <v>0.5</v>
      </c>
      <c r="F2534" s="312">
        <v>0</v>
      </c>
      <c r="G2534" s="311">
        <v>0</v>
      </c>
      <c r="H2534" s="312">
        <v>0</v>
      </c>
      <c r="I2534" s="311">
        <v>0</v>
      </c>
      <c r="J2534" s="312">
        <v>0</v>
      </c>
      <c r="K2534" s="311">
        <v>0</v>
      </c>
      <c r="L2534" s="312">
        <v>191.328125</v>
      </c>
      <c r="M2534" s="311">
        <v>0.5</v>
      </c>
      <c r="N2534" s="312">
        <v>382.65625</v>
      </c>
      <c r="O2534" s="311">
        <v>4.4897303608001947E-2</v>
      </c>
      <c r="P2534" s="307"/>
    </row>
    <row r="2535" spans="1:16">
      <c r="A2535" s="313" t="s">
        <v>306</v>
      </c>
      <c r="B2535" s="312">
        <v>126.16777777777779</v>
      </c>
      <c r="C2535" s="311">
        <v>0.4061421265284802</v>
      </c>
      <c r="D2535" s="312">
        <v>117.67543689320388</v>
      </c>
      <c r="E2535" s="311">
        <v>0.37880473938561893</v>
      </c>
      <c r="F2535" s="312">
        <v>0</v>
      </c>
      <c r="G2535" s="311">
        <v>0</v>
      </c>
      <c r="H2535" s="312">
        <v>0</v>
      </c>
      <c r="I2535" s="311">
        <v>0</v>
      </c>
      <c r="J2535" s="312">
        <v>0</v>
      </c>
      <c r="K2535" s="311">
        <v>0</v>
      </c>
      <c r="L2535" s="312">
        <v>66.806111111111107</v>
      </c>
      <c r="M2535" s="311">
        <v>0.2150531340859009</v>
      </c>
      <c r="N2535" s="312">
        <v>310.64932578209277</v>
      </c>
      <c r="O2535" s="311">
        <v>3.6448684936570948E-2</v>
      </c>
      <c r="P2535" s="307"/>
    </row>
    <row r="2536" spans="1:16">
      <c r="A2536" s="313" t="s">
        <v>305</v>
      </c>
      <c r="B2536" s="312">
        <v>395.28078307739992</v>
      </c>
      <c r="C2536" s="311">
        <v>0.22861177291473811</v>
      </c>
      <c r="D2536" s="312">
        <v>457.38978586323185</v>
      </c>
      <c r="E2536" s="311">
        <v>0.26453269254632861</v>
      </c>
      <c r="F2536" s="312">
        <v>91.908536585365852</v>
      </c>
      <c r="G2536" s="311">
        <v>5.3155565345723674E-2</v>
      </c>
      <c r="H2536" s="312">
        <v>191.25297060662913</v>
      </c>
      <c r="I2536" s="311">
        <v>0.11061170326873807</v>
      </c>
      <c r="J2536" s="312">
        <v>91.908536585365852</v>
      </c>
      <c r="K2536" s="311">
        <v>5.3155565345723674E-2</v>
      </c>
      <c r="L2536" s="312">
        <v>501.30762498944097</v>
      </c>
      <c r="M2536" s="311">
        <v>0.28993270057874787</v>
      </c>
      <c r="N2536" s="312">
        <v>1729.0482377074336</v>
      </c>
      <c r="O2536" s="311">
        <v>0.20287034036744825</v>
      </c>
      <c r="P2536" s="307"/>
    </row>
    <row r="2537" spans="1:16" ht="28.5">
      <c r="A2537" s="313" t="s">
        <v>304</v>
      </c>
      <c r="B2537" s="312">
        <v>996.97066194796764</v>
      </c>
      <c r="C2537" s="311">
        <v>0.37512714220959842</v>
      </c>
      <c r="D2537" s="312">
        <v>842.62757743329189</v>
      </c>
      <c r="E2537" s="311">
        <v>0.31705293559184489</v>
      </c>
      <c r="F2537" s="312">
        <v>285.54945331629631</v>
      </c>
      <c r="G2537" s="311">
        <v>0.10744283103853851</v>
      </c>
      <c r="H2537" s="312">
        <v>122.01173845528601</v>
      </c>
      <c r="I2537" s="311">
        <v>4.5908988608879611E-2</v>
      </c>
      <c r="J2537" s="312">
        <v>70.648183593307508</v>
      </c>
      <c r="K2537" s="311">
        <v>2.6582578831231083E-2</v>
      </c>
      <c r="L2537" s="312">
        <v>339.87973913484342</v>
      </c>
      <c r="M2537" s="311">
        <v>0.12788552371990644</v>
      </c>
      <c r="N2537" s="312">
        <v>2657.6873538809955</v>
      </c>
      <c r="O2537" s="311">
        <v>0.3118281643703516</v>
      </c>
      <c r="P2537" s="307"/>
    </row>
    <row r="2538" spans="1:16" ht="28.5">
      <c r="A2538" s="313" t="s">
        <v>303</v>
      </c>
      <c r="B2538" s="312">
        <v>681.64171547296087</v>
      </c>
      <c r="C2538" s="311">
        <v>0.34521767082335458</v>
      </c>
      <c r="D2538" s="312">
        <v>437.59000401516181</v>
      </c>
      <c r="E2538" s="311">
        <v>0.22161760134776975</v>
      </c>
      <c r="F2538" s="312">
        <v>65.90215809005025</v>
      </c>
      <c r="G2538" s="311">
        <v>3.3376169623500845E-2</v>
      </c>
      <c r="H2538" s="312">
        <v>296.44040703190598</v>
      </c>
      <c r="I2538" s="311">
        <v>0.15013234156667635</v>
      </c>
      <c r="J2538" s="312">
        <v>137.64508472253954</v>
      </c>
      <c r="K2538" s="311">
        <v>6.9710398394893E-2</v>
      </c>
      <c r="L2538" s="312">
        <v>355.3079306379318</v>
      </c>
      <c r="M2538" s="311">
        <v>0.17994581824380496</v>
      </c>
      <c r="N2538" s="312">
        <v>1974.5272999705512</v>
      </c>
      <c r="O2538" s="311">
        <v>0.23167255642385606</v>
      </c>
      <c r="P2538" s="307"/>
    </row>
    <row r="2539" spans="1:16" ht="15.75" thickBot="1">
      <c r="A2539" s="310" t="s">
        <v>302</v>
      </c>
      <c r="B2539" s="309">
        <v>0</v>
      </c>
      <c r="C2539" s="308">
        <v>0</v>
      </c>
      <c r="D2539" s="309">
        <v>0</v>
      </c>
      <c r="E2539" s="308">
        <v>0</v>
      </c>
      <c r="F2539" s="309">
        <v>0</v>
      </c>
      <c r="G2539" s="308">
        <v>0</v>
      </c>
      <c r="H2539" s="309">
        <v>0</v>
      </c>
      <c r="I2539" s="308">
        <v>0</v>
      </c>
      <c r="J2539" s="309">
        <v>0</v>
      </c>
      <c r="K2539" s="308">
        <v>0</v>
      </c>
      <c r="L2539" s="309">
        <v>0</v>
      </c>
      <c r="M2539" s="308">
        <v>0</v>
      </c>
      <c r="N2539" s="309">
        <v>0</v>
      </c>
      <c r="O2539" s="308">
        <v>0</v>
      </c>
      <c r="P2539" s="307"/>
    </row>
    <row r="2542" spans="1:16" ht="15.75" thickBot="1"/>
    <row r="2543" spans="1:16" ht="15" customHeight="1">
      <c r="A2543" s="752" t="s">
        <v>310</v>
      </c>
      <c r="B2543" s="755" t="s">
        <v>383</v>
      </c>
      <c r="C2543" s="756"/>
      <c r="D2543" s="756"/>
      <c r="E2543" s="756"/>
      <c r="F2543" s="756"/>
      <c r="G2543" s="756"/>
      <c r="H2543" s="756"/>
      <c r="I2543" s="757"/>
      <c r="J2543" s="307"/>
    </row>
    <row r="2544" spans="1:16" ht="43.5" customHeight="1">
      <c r="A2544" s="753"/>
      <c r="B2544" s="758" t="s">
        <v>12</v>
      </c>
      <c r="C2544" s="759"/>
      <c r="D2544" s="760" t="s">
        <v>11</v>
      </c>
      <c r="E2544" s="759"/>
      <c r="F2544" s="760" t="s">
        <v>10</v>
      </c>
      <c r="G2544" s="759"/>
      <c r="H2544" s="761" t="s">
        <v>9</v>
      </c>
      <c r="I2544" s="762"/>
      <c r="J2544" s="307"/>
    </row>
    <row r="2545" spans="1:10" ht="15.75" customHeight="1" thickBot="1">
      <c r="A2545" s="754"/>
      <c r="B2545" s="318" t="s">
        <v>7</v>
      </c>
      <c r="C2545" s="318" t="s">
        <v>8</v>
      </c>
      <c r="D2545" s="318" t="s">
        <v>7</v>
      </c>
      <c r="E2545" s="318" t="s">
        <v>8</v>
      </c>
      <c r="F2545" s="318" t="s">
        <v>7</v>
      </c>
      <c r="G2545" s="318" t="s">
        <v>8</v>
      </c>
      <c r="H2545" s="318" t="s">
        <v>7</v>
      </c>
      <c r="I2545" s="317" t="s">
        <v>6</v>
      </c>
      <c r="J2545" s="307"/>
    </row>
    <row r="2546" spans="1:10" ht="15.75" customHeight="1">
      <c r="A2546" s="316" t="s">
        <v>5</v>
      </c>
      <c r="B2546" s="315">
        <v>188928.20687340476</v>
      </c>
      <c r="C2546" s="314">
        <v>0.73785958185824863</v>
      </c>
      <c r="D2546" s="315">
        <v>46933.829311299727</v>
      </c>
      <c r="E2546" s="314">
        <v>0.18330018711206505</v>
      </c>
      <c r="F2546" s="315">
        <v>20186.962186500044</v>
      </c>
      <c r="G2546" s="314">
        <v>7.8840231029663019E-2</v>
      </c>
      <c r="H2546" s="315">
        <v>256048.9983712105</v>
      </c>
      <c r="I2546" s="314">
        <v>1</v>
      </c>
      <c r="J2546" s="307"/>
    </row>
    <row r="2547" spans="1:10">
      <c r="A2547" s="313" t="s">
        <v>309</v>
      </c>
      <c r="B2547" s="312">
        <v>4539.2414934000017</v>
      </c>
      <c r="C2547" s="311">
        <v>0.79972539670342802</v>
      </c>
      <c r="D2547" s="312">
        <v>768.39393680000012</v>
      </c>
      <c r="E2547" s="311">
        <v>0.13537595363132143</v>
      </c>
      <c r="F2547" s="312">
        <v>368.36474700000008</v>
      </c>
      <c r="G2547" s="311">
        <v>6.4898649665249997E-2</v>
      </c>
      <c r="H2547" s="312">
        <v>5676.0001772000051</v>
      </c>
      <c r="I2547" s="311">
        <v>2.2167632809760682E-2</v>
      </c>
      <c r="J2547" s="307"/>
    </row>
    <row r="2548" spans="1:10">
      <c r="A2548" s="313" t="s">
        <v>308</v>
      </c>
      <c r="B2548" s="312">
        <v>6320.7944920000036</v>
      </c>
      <c r="C2548" s="311">
        <v>0.60112168169121905</v>
      </c>
      <c r="D2548" s="312">
        <v>3669.5894090000093</v>
      </c>
      <c r="E2548" s="311">
        <v>0.34898615347267814</v>
      </c>
      <c r="F2548" s="312">
        <v>524.61611399999992</v>
      </c>
      <c r="G2548" s="311">
        <v>4.9892164836102378E-2</v>
      </c>
      <c r="H2548" s="312">
        <v>10515.000015000018</v>
      </c>
      <c r="I2548" s="311">
        <v>4.1066358712154596E-2</v>
      </c>
      <c r="J2548" s="307"/>
    </row>
    <row r="2549" spans="1:10">
      <c r="A2549" s="313" t="s">
        <v>307</v>
      </c>
      <c r="B2549" s="312">
        <v>16758.028875999993</v>
      </c>
      <c r="C2549" s="311">
        <v>0.86928253050310034</v>
      </c>
      <c r="D2549" s="312">
        <v>2029.1075949999999</v>
      </c>
      <c r="E2549" s="311">
        <v>0.10525508685396662</v>
      </c>
      <c r="F2549" s="312">
        <v>490.86381999999998</v>
      </c>
      <c r="G2549" s="311">
        <v>2.5462382642932168E-2</v>
      </c>
      <c r="H2549" s="312">
        <v>19278.000291000011</v>
      </c>
      <c r="I2549" s="311">
        <v>7.5290278085960199E-2</v>
      </c>
      <c r="J2549" s="307"/>
    </row>
    <row r="2550" spans="1:10">
      <c r="A2550" s="313" t="s">
        <v>306</v>
      </c>
      <c r="B2550" s="312">
        <v>16826.959733999985</v>
      </c>
      <c r="C2550" s="311">
        <v>0.83707889800640767</v>
      </c>
      <c r="D2550" s="312">
        <v>2787.8969755000003</v>
      </c>
      <c r="E2550" s="311">
        <v>0.13868754456525875</v>
      </c>
      <c r="F2550" s="312">
        <v>487.14296349999995</v>
      </c>
      <c r="G2550" s="311">
        <v>2.423355742833419E-2</v>
      </c>
      <c r="H2550" s="312">
        <v>20101.999672999973</v>
      </c>
      <c r="I2550" s="311">
        <v>7.8508409721864347E-2</v>
      </c>
      <c r="J2550" s="307"/>
    </row>
    <row r="2551" spans="1:10">
      <c r="A2551" s="313" t="s">
        <v>305</v>
      </c>
      <c r="B2551" s="312">
        <v>22864.242262000032</v>
      </c>
      <c r="C2551" s="311">
        <v>0.72063295985417108</v>
      </c>
      <c r="D2551" s="312">
        <v>7257.9442910000043</v>
      </c>
      <c r="E2551" s="311">
        <v>0.2287551809916179</v>
      </c>
      <c r="F2551" s="312">
        <v>1605.8130469999999</v>
      </c>
      <c r="G2551" s="311">
        <v>5.0611859154208849E-2</v>
      </c>
      <c r="H2551" s="312">
        <v>31727.999600000101</v>
      </c>
      <c r="I2551" s="311">
        <v>0.12391378135368453</v>
      </c>
      <c r="J2551" s="307"/>
    </row>
    <row r="2552" spans="1:10" ht="28.5">
      <c r="A2552" s="313" t="s">
        <v>304</v>
      </c>
      <c r="B2552" s="312">
        <v>70942.063080998996</v>
      </c>
      <c r="C2552" s="311">
        <v>0.74415011415200838</v>
      </c>
      <c r="D2552" s="312">
        <v>16976.079683999971</v>
      </c>
      <c r="E2552" s="311">
        <v>0.17807138791944299</v>
      </c>
      <c r="F2552" s="312">
        <v>7414.8575690000343</v>
      </c>
      <c r="G2552" s="311">
        <v>7.7778497928545978E-2</v>
      </c>
      <c r="H2552" s="312">
        <v>95333.000333999255</v>
      </c>
      <c r="I2552" s="311">
        <v>0.37232326992269249</v>
      </c>
      <c r="J2552" s="307"/>
    </row>
    <row r="2553" spans="1:10" ht="28.5">
      <c r="A2553" s="313" t="s">
        <v>303</v>
      </c>
      <c r="B2553" s="312">
        <v>46899.510235000605</v>
      </c>
      <c r="C2553" s="311">
        <v>0.68021569050267716</v>
      </c>
      <c r="D2553" s="312">
        <v>12828.450754000032</v>
      </c>
      <c r="E2553" s="311">
        <v>0.18605979985691867</v>
      </c>
      <c r="F2553" s="312">
        <v>9220.0372560000123</v>
      </c>
      <c r="G2553" s="311">
        <v>0.13372450964040172</v>
      </c>
      <c r="H2553" s="312">
        <v>68947.998245000825</v>
      </c>
      <c r="I2553" s="311">
        <v>0.2692765786376658</v>
      </c>
      <c r="J2553" s="307"/>
    </row>
    <row r="2554" spans="1:10" ht="15.75" thickBot="1">
      <c r="A2554" s="313" t="s">
        <v>302</v>
      </c>
      <c r="B2554" s="312">
        <v>3777.3666999999987</v>
      </c>
      <c r="C2554" s="311">
        <v>0.8452375631173521</v>
      </c>
      <c r="D2554" s="312">
        <v>616.3666659999999</v>
      </c>
      <c r="E2554" s="311">
        <v>0.13792048803644269</v>
      </c>
      <c r="F2554" s="312">
        <v>75.266670000000005</v>
      </c>
      <c r="G2554" s="311">
        <v>1.6841948846204935E-2</v>
      </c>
      <c r="H2554" s="312">
        <v>4469.0000359999995</v>
      </c>
      <c r="I2554" s="311">
        <v>1.7453690756177091E-2</v>
      </c>
      <c r="J2554" s="307"/>
    </row>
    <row r="2555" spans="1:10" ht="15" customHeight="1">
      <c r="A2555" s="316" t="s">
        <v>4</v>
      </c>
      <c r="B2555" s="315">
        <v>164939.51974037147</v>
      </c>
      <c r="C2555" s="314">
        <v>0.73428507715211655</v>
      </c>
      <c r="D2555" s="315">
        <v>47349.709092361605</v>
      </c>
      <c r="E2555" s="314">
        <v>0.21079353722348063</v>
      </c>
      <c r="F2555" s="315">
        <v>12336.771167267008</v>
      </c>
      <c r="G2555" s="314">
        <v>5.4921385624402325E-2</v>
      </c>
      <c r="H2555" s="315">
        <v>224626.0000000002</v>
      </c>
      <c r="I2555" s="314">
        <v>1</v>
      </c>
      <c r="J2555" s="307"/>
    </row>
    <row r="2556" spans="1:10">
      <c r="A2556" s="313" t="s">
        <v>309</v>
      </c>
      <c r="B2556" s="312">
        <v>5855.3225130132932</v>
      </c>
      <c r="C2556" s="311">
        <v>0.80111130291603561</v>
      </c>
      <c r="D2556" s="312">
        <v>1132.21508097166</v>
      </c>
      <c r="E2556" s="311">
        <v>0.15490697509531565</v>
      </c>
      <c r="F2556" s="312">
        <v>321.46240601503757</v>
      </c>
      <c r="G2556" s="311">
        <v>4.3981721988649358E-2</v>
      </c>
      <c r="H2556" s="312">
        <v>7308.9999999999864</v>
      </c>
      <c r="I2556" s="311">
        <v>3.2538530713274422E-2</v>
      </c>
      <c r="J2556" s="307"/>
    </row>
    <row r="2557" spans="1:10">
      <c r="A2557" s="313" t="s">
        <v>308</v>
      </c>
      <c r="B2557" s="312">
        <v>6103.8569516921343</v>
      </c>
      <c r="C2557" s="311">
        <v>0.63747853281380173</v>
      </c>
      <c r="D2557" s="312">
        <v>3160.1994298383952</v>
      </c>
      <c r="E2557" s="311">
        <v>0.33004693784213096</v>
      </c>
      <c r="F2557" s="312">
        <v>310.94361846946998</v>
      </c>
      <c r="G2557" s="311">
        <v>3.2474529344070066E-2</v>
      </c>
      <c r="H2557" s="312">
        <v>9574.9999999999727</v>
      </c>
      <c r="I2557" s="311">
        <v>4.2626410121713268E-2</v>
      </c>
      <c r="J2557" s="307"/>
    </row>
    <row r="2558" spans="1:10">
      <c r="A2558" s="313" t="s">
        <v>307</v>
      </c>
      <c r="B2558" s="312">
        <v>17288.248803827784</v>
      </c>
      <c r="C2558" s="311">
        <v>0.87314387898119972</v>
      </c>
      <c r="D2558" s="312">
        <v>1668.1961722488034</v>
      </c>
      <c r="E2558" s="311">
        <v>8.4252331931757601E-2</v>
      </c>
      <c r="F2558" s="312">
        <v>843.55502392344488</v>
      </c>
      <c r="G2558" s="311">
        <v>4.2603789087042598E-2</v>
      </c>
      <c r="H2558" s="312">
        <v>19800.000000000033</v>
      </c>
      <c r="I2558" s="311">
        <v>8.8146519102864376E-2</v>
      </c>
      <c r="J2558" s="307"/>
    </row>
    <row r="2559" spans="1:10">
      <c r="A2559" s="313" t="s">
        <v>306</v>
      </c>
      <c r="B2559" s="312">
        <v>16240.019890323078</v>
      </c>
      <c r="C2559" s="311">
        <v>0.81772507000620065</v>
      </c>
      <c r="D2559" s="312">
        <v>2795.6149311054778</v>
      </c>
      <c r="E2559" s="311">
        <v>0.14076610932051811</v>
      </c>
      <c r="F2559" s="312">
        <v>824.36517857142849</v>
      </c>
      <c r="G2559" s="311">
        <v>4.1508820673284597E-2</v>
      </c>
      <c r="H2559" s="312">
        <v>19859.999999999916</v>
      </c>
      <c r="I2559" s="311">
        <v>8.8413629766811927E-2</v>
      </c>
      <c r="J2559" s="307"/>
    </row>
    <row r="2560" spans="1:10">
      <c r="A2560" s="313" t="s">
        <v>305</v>
      </c>
      <c r="B2560" s="312">
        <v>20031.716740723994</v>
      </c>
      <c r="C2560" s="311">
        <v>0.70467220391613095</v>
      </c>
      <c r="D2560" s="312">
        <v>7178.6696746753469</v>
      </c>
      <c r="E2560" s="311">
        <v>0.25252997765065943</v>
      </c>
      <c r="F2560" s="312">
        <v>1216.6135846006905</v>
      </c>
      <c r="G2560" s="311">
        <v>4.2797818433203717E-2</v>
      </c>
      <c r="H2560" s="312">
        <v>28427.0000000002</v>
      </c>
      <c r="I2560" s="311">
        <v>0.12655258073419895</v>
      </c>
      <c r="J2560" s="307"/>
    </row>
    <row r="2561" spans="1:10" ht="28.5">
      <c r="A2561" s="313" t="s">
        <v>304</v>
      </c>
      <c r="B2561" s="312">
        <v>55461.945713919318</v>
      </c>
      <c r="C2561" s="311">
        <v>0.72005122640597063</v>
      </c>
      <c r="D2561" s="312">
        <v>17984.980295222056</v>
      </c>
      <c r="E2561" s="311">
        <v>0.23349536248259972</v>
      </c>
      <c r="F2561" s="312">
        <v>3578.0739908585774</v>
      </c>
      <c r="G2561" s="311">
        <v>4.645341111143933E-2</v>
      </c>
      <c r="H2561" s="312">
        <v>77024.9999999992</v>
      </c>
      <c r="I2561" s="311">
        <v>0.34290331484333569</v>
      </c>
      <c r="J2561" s="307"/>
    </row>
    <row r="2562" spans="1:10" ht="28.5">
      <c r="A2562" s="313" t="s">
        <v>303</v>
      </c>
      <c r="B2562" s="312">
        <v>41476.089682427453</v>
      </c>
      <c r="C2562" s="311">
        <v>0.70648105339012557</v>
      </c>
      <c r="D2562" s="312">
        <v>12673.893230521933</v>
      </c>
      <c r="E2562" s="311">
        <v>0.21588017357978376</v>
      </c>
      <c r="F2562" s="312">
        <v>4558.0170870506017</v>
      </c>
      <c r="G2562" s="311">
        <v>7.763877303009141E-2</v>
      </c>
      <c r="H2562" s="312">
        <v>58707.999999999942</v>
      </c>
      <c r="I2562" s="311">
        <v>0.26135888098439131</v>
      </c>
      <c r="J2562" s="307"/>
    </row>
    <row r="2563" spans="1:10" ht="15.75" thickBot="1">
      <c r="A2563" s="313" t="s">
        <v>302</v>
      </c>
      <c r="B2563" s="312">
        <v>2482.3194444444448</v>
      </c>
      <c r="C2563" s="311">
        <v>0.63292183693127113</v>
      </c>
      <c r="D2563" s="312">
        <v>755.94027777777785</v>
      </c>
      <c r="E2563" s="311">
        <v>0.19274356904073892</v>
      </c>
      <c r="F2563" s="312">
        <v>683.74027777777781</v>
      </c>
      <c r="G2563" s="311">
        <v>0.17433459402799031</v>
      </c>
      <c r="H2563" s="312">
        <v>3921.9999999999991</v>
      </c>
      <c r="I2563" s="311">
        <v>1.7460133733405728E-2</v>
      </c>
      <c r="J2563" s="307"/>
    </row>
    <row r="2564" spans="1:10" ht="15.75" customHeight="1">
      <c r="A2564" s="316" t="s">
        <v>3</v>
      </c>
      <c r="B2564" s="315">
        <v>110436.91772921149</v>
      </c>
      <c r="C2564" s="314">
        <v>0.74098347252911223</v>
      </c>
      <c r="D2564" s="315">
        <v>31922.164214267523</v>
      </c>
      <c r="E2564" s="314">
        <v>0.21418377637205538</v>
      </c>
      <c r="F2564" s="315">
        <v>6681.9180565200422</v>
      </c>
      <c r="G2564" s="314">
        <v>4.483275109882541E-2</v>
      </c>
      <c r="H2564" s="315">
        <v>149041.00000000009</v>
      </c>
      <c r="I2564" s="314">
        <v>1</v>
      </c>
      <c r="J2564" s="307"/>
    </row>
    <row r="2565" spans="1:10">
      <c r="A2565" s="313" t="s">
        <v>309</v>
      </c>
      <c r="B2565" s="312">
        <v>2534.1433155080231</v>
      </c>
      <c r="C2565" s="311">
        <v>0.87565422097720202</v>
      </c>
      <c r="D2565" s="312">
        <v>282.39203802733221</v>
      </c>
      <c r="E2565" s="311">
        <v>9.7578451287951673E-2</v>
      </c>
      <c r="F2565" s="312">
        <v>77.464646464646464</v>
      </c>
      <c r="G2565" s="311">
        <v>2.6767327734846736E-2</v>
      </c>
      <c r="H2565" s="312">
        <v>2894.0000000000005</v>
      </c>
      <c r="I2565" s="311">
        <v>1.9417475728155331E-2</v>
      </c>
      <c r="J2565" s="307"/>
    </row>
    <row r="2566" spans="1:10">
      <c r="A2566" s="313" t="s">
        <v>308</v>
      </c>
      <c r="B2566" s="312">
        <v>4273.2913745197757</v>
      </c>
      <c r="C2566" s="311">
        <v>0.57198385417210396</v>
      </c>
      <c r="D2566" s="312">
        <v>2999.2338780054806</v>
      </c>
      <c r="E2566" s="311">
        <v>0.40145012421436088</v>
      </c>
      <c r="F2566" s="312">
        <v>198.47474747474746</v>
      </c>
      <c r="G2566" s="311">
        <v>2.656602161353876E-2</v>
      </c>
      <c r="H2566" s="312">
        <v>7470.9999999999773</v>
      </c>
      <c r="I2566" s="311">
        <v>5.0127146221509336E-2</v>
      </c>
      <c r="J2566" s="307"/>
    </row>
    <row r="2567" spans="1:10">
      <c r="A2567" s="313" t="s">
        <v>307</v>
      </c>
      <c r="B2567" s="312">
        <v>13496.888020833339</v>
      </c>
      <c r="C2567" s="311">
        <v>0.83530684619589868</v>
      </c>
      <c r="D2567" s="312">
        <v>1988.603877314815</v>
      </c>
      <c r="E2567" s="311">
        <v>0.12307240235888189</v>
      </c>
      <c r="F2567" s="312">
        <v>672.50810185185173</v>
      </c>
      <c r="G2567" s="311">
        <v>4.1620751445219172E-2</v>
      </c>
      <c r="H2567" s="312">
        <v>16158.000000000011</v>
      </c>
      <c r="I2567" s="311">
        <v>0.10841312122167727</v>
      </c>
      <c r="J2567" s="307"/>
    </row>
    <row r="2568" spans="1:10">
      <c r="A2568" s="313" t="s">
        <v>306</v>
      </c>
      <c r="B2568" s="312">
        <v>10726.243513124769</v>
      </c>
      <c r="C2568" s="311">
        <v>0.80928350031121032</v>
      </c>
      <c r="D2568" s="312">
        <v>1764.9304800431503</v>
      </c>
      <c r="E2568" s="311">
        <v>0.13316210050121868</v>
      </c>
      <c r="F2568" s="312">
        <v>762.82600683207511</v>
      </c>
      <c r="G2568" s="311">
        <v>5.7554399187571749E-2</v>
      </c>
      <c r="H2568" s="312">
        <v>13253.999999999985</v>
      </c>
      <c r="I2568" s="311">
        <v>8.8928549862118317E-2</v>
      </c>
      <c r="J2568" s="307"/>
    </row>
    <row r="2569" spans="1:10">
      <c r="A2569" s="313" t="s">
        <v>305</v>
      </c>
      <c r="B2569" s="312">
        <v>16911.650260593829</v>
      </c>
      <c r="C2569" s="311">
        <v>0.72807173500059519</v>
      </c>
      <c r="D2569" s="312">
        <v>5398.3721693430589</v>
      </c>
      <c r="E2569" s="311">
        <v>0.23240796320574553</v>
      </c>
      <c r="F2569" s="312">
        <v>917.97757006303425</v>
      </c>
      <c r="G2569" s="311">
        <v>3.9520301793655677E-2</v>
      </c>
      <c r="H2569" s="312">
        <v>23228.000000000007</v>
      </c>
      <c r="I2569" s="311">
        <v>0.15584973262390883</v>
      </c>
      <c r="J2569" s="307"/>
    </row>
    <row r="2570" spans="1:10" ht="28.5">
      <c r="A2570" s="313" t="s">
        <v>304</v>
      </c>
      <c r="B2570" s="312">
        <v>32391.805674343395</v>
      </c>
      <c r="C2570" s="311">
        <v>0.72785667650143704</v>
      </c>
      <c r="D2570" s="312">
        <v>10406.638849590598</v>
      </c>
      <c r="E2570" s="311">
        <v>0.2338412882185609</v>
      </c>
      <c r="F2570" s="312">
        <v>1704.5554760659172</v>
      </c>
      <c r="G2570" s="311">
        <v>3.8302035280001805E-2</v>
      </c>
      <c r="H2570" s="312">
        <v>44502.99999999992</v>
      </c>
      <c r="I2570" s="311">
        <v>0.29859568843472528</v>
      </c>
      <c r="J2570" s="307"/>
    </row>
    <row r="2571" spans="1:10" ht="28.5">
      <c r="A2571" s="313" t="s">
        <v>303</v>
      </c>
      <c r="B2571" s="312">
        <v>27780.17527230204</v>
      </c>
      <c r="C2571" s="311">
        <v>0.7196936599041921</v>
      </c>
      <c r="D2571" s="312">
        <v>8631.4668964010543</v>
      </c>
      <c r="E2571" s="311">
        <v>0.22361313203111358</v>
      </c>
      <c r="F2571" s="312">
        <v>2188.357831297194</v>
      </c>
      <c r="G2571" s="311">
        <v>5.6693208064693683E-2</v>
      </c>
      <c r="H2571" s="312">
        <v>38600.000000000313</v>
      </c>
      <c r="I2571" s="311">
        <v>0.25898913721727773</v>
      </c>
      <c r="J2571" s="307"/>
    </row>
    <row r="2572" spans="1:10" ht="15.75" thickBot="1">
      <c r="A2572" s="310" t="s">
        <v>302</v>
      </c>
      <c r="B2572" s="309">
        <v>2322.720297987616</v>
      </c>
      <c r="C2572" s="308">
        <v>0.79192645686587648</v>
      </c>
      <c r="D2572" s="309">
        <v>450.52602554179566</v>
      </c>
      <c r="E2572" s="308">
        <v>0.15360587301118159</v>
      </c>
      <c r="F2572" s="309">
        <v>159.75367647058823</v>
      </c>
      <c r="G2572" s="308">
        <v>5.4467670122941764E-2</v>
      </c>
      <c r="H2572" s="309">
        <v>2933.0000000000005</v>
      </c>
      <c r="I2572" s="308">
        <v>1.9679148690628746E-2</v>
      </c>
      <c r="J2572" s="307"/>
    </row>
  </sheetData>
  <mergeCells count="845">
    <mergeCell ref="R382:S382"/>
    <mergeCell ref="T382:U382"/>
    <mergeCell ref="B346:I346"/>
    <mergeCell ref="B347:C347"/>
    <mergeCell ref="D347:E347"/>
    <mergeCell ref="A414:A416"/>
    <mergeCell ref="A303:A304"/>
    <mergeCell ref="A305:A306"/>
    <mergeCell ref="A381:A383"/>
    <mergeCell ref="B381:U381"/>
    <mergeCell ref="B382:C382"/>
    <mergeCell ref="F382:G382"/>
    <mergeCell ref="H382:I382"/>
    <mergeCell ref="J382:K382"/>
    <mergeCell ref="L382:M382"/>
    <mergeCell ref="B414:M414"/>
    <mergeCell ref="B415:C415"/>
    <mergeCell ref="D415:E415"/>
    <mergeCell ref="F415:G415"/>
    <mergeCell ref="H415:I415"/>
    <mergeCell ref="J415:K415"/>
    <mergeCell ref="L415:M415"/>
    <mergeCell ref="A312:A314"/>
    <mergeCell ref="A297:A298"/>
    <mergeCell ref="A299:A300"/>
    <mergeCell ref="A301:A302"/>
    <mergeCell ref="A287:B288"/>
    <mergeCell ref="C287:J287"/>
    <mergeCell ref="J1893:K1893"/>
    <mergeCell ref="L1893:M1893"/>
    <mergeCell ref="N1893:O1893"/>
    <mergeCell ref="H1821:I1821"/>
    <mergeCell ref="A1784:A1786"/>
    <mergeCell ref="B1750:K1750"/>
    <mergeCell ref="B1751:C1751"/>
    <mergeCell ref="D1751:E1751"/>
    <mergeCell ref="F1751:G1751"/>
    <mergeCell ref="H1751:I1751"/>
    <mergeCell ref="J1751:K1751"/>
    <mergeCell ref="J1679:K1679"/>
    <mergeCell ref="L1679:M1679"/>
    <mergeCell ref="N1679:O1679"/>
    <mergeCell ref="A1750:A1752"/>
    <mergeCell ref="B1642:G1642"/>
    <mergeCell ref="B1643:C1643"/>
    <mergeCell ref="D1643:E1643"/>
    <mergeCell ref="N382:O382"/>
    <mergeCell ref="R1893:S1893"/>
    <mergeCell ref="A286:K286"/>
    <mergeCell ref="K287:K288"/>
    <mergeCell ref="A289:A290"/>
    <mergeCell ref="A291:A292"/>
    <mergeCell ref="A293:A294"/>
    <mergeCell ref="B1929:C1929"/>
    <mergeCell ref="D1929:E1929"/>
    <mergeCell ref="F1929:G1929"/>
    <mergeCell ref="H1929:I1929"/>
    <mergeCell ref="A1892:A1894"/>
    <mergeCell ref="B1892:S1892"/>
    <mergeCell ref="B1893:C1893"/>
    <mergeCell ref="D1893:E1893"/>
    <mergeCell ref="F1893:G1893"/>
    <mergeCell ref="H1893:I1893"/>
    <mergeCell ref="J1821:K1821"/>
    <mergeCell ref="A1820:A1822"/>
    <mergeCell ref="A1928:A1930"/>
    <mergeCell ref="B1820:K1820"/>
    <mergeCell ref="B1821:C1821"/>
    <mergeCell ref="D1821:E1821"/>
    <mergeCell ref="F1821:G1821"/>
    <mergeCell ref="A295:A296"/>
    <mergeCell ref="B1965:C1965"/>
    <mergeCell ref="D1965:E1965"/>
    <mergeCell ref="F1965:G1965"/>
    <mergeCell ref="H1965:I1965"/>
    <mergeCell ref="A1964:A1966"/>
    <mergeCell ref="B1928:I1928"/>
    <mergeCell ref="B1856:G1856"/>
    <mergeCell ref="B1857:C1857"/>
    <mergeCell ref="D1857:E1857"/>
    <mergeCell ref="F1857:G1857"/>
    <mergeCell ref="A1856:A1858"/>
    <mergeCell ref="B1784:K1784"/>
    <mergeCell ref="B1785:C1785"/>
    <mergeCell ref="D1785:E1785"/>
    <mergeCell ref="F1785:G1785"/>
    <mergeCell ref="H1785:I1785"/>
    <mergeCell ref="J1785:K1785"/>
    <mergeCell ref="N1715:O1715"/>
    <mergeCell ref="P1715:Q1715"/>
    <mergeCell ref="B1964:I1964"/>
    <mergeCell ref="P1893:Q1893"/>
    <mergeCell ref="R1715:S1715"/>
    <mergeCell ref="T1715:U1715"/>
    <mergeCell ref="V1715:W1715"/>
    <mergeCell ref="B1678:U1678"/>
    <mergeCell ref="B1679:C1679"/>
    <mergeCell ref="D1679:E1679"/>
    <mergeCell ref="F1679:G1679"/>
    <mergeCell ref="H1679:I1679"/>
    <mergeCell ref="A1714:A1716"/>
    <mergeCell ref="A1678:A1680"/>
    <mergeCell ref="B1714:W1714"/>
    <mergeCell ref="B1715:C1715"/>
    <mergeCell ref="D1715:E1715"/>
    <mergeCell ref="F1715:G1715"/>
    <mergeCell ref="H1715:I1715"/>
    <mergeCell ref="J1715:K1715"/>
    <mergeCell ref="L1715:M1715"/>
    <mergeCell ref="R1679:S1679"/>
    <mergeCell ref="T1679:U1679"/>
    <mergeCell ref="P1679:Q1679"/>
    <mergeCell ref="F1643:G1643"/>
    <mergeCell ref="A1642:A1644"/>
    <mergeCell ref="A1574:A1576"/>
    <mergeCell ref="B1608:E1608"/>
    <mergeCell ref="A1608:A1609"/>
    <mergeCell ref="AH1575:AI1575"/>
    <mergeCell ref="AJ1575:AK1575"/>
    <mergeCell ref="AL1575:AM1575"/>
    <mergeCell ref="AN1575:AO1575"/>
    <mergeCell ref="V1575:W1575"/>
    <mergeCell ref="X1575:Y1575"/>
    <mergeCell ref="Z1575:AA1575"/>
    <mergeCell ref="AB1575:AC1575"/>
    <mergeCell ref="AD1575:AE1575"/>
    <mergeCell ref="AF1575:AG1575"/>
    <mergeCell ref="J1575:K1575"/>
    <mergeCell ref="L1575:M1575"/>
    <mergeCell ref="N1575:O1575"/>
    <mergeCell ref="P1575:Q1575"/>
    <mergeCell ref="R1575:S1575"/>
    <mergeCell ref="T1575:U1575"/>
    <mergeCell ref="T1507:U1507"/>
    <mergeCell ref="V1507:W1507"/>
    <mergeCell ref="AP1575:AQ1575"/>
    <mergeCell ref="AR1575:AS1575"/>
    <mergeCell ref="A1540:A1542"/>
    <mergeCell ref="B1574:AS1574"/>
    <mergeCell ref="B1575:C1575"/>
    <mergeCell ref="D1575:E1575"/>
    <mergeCell ref="F1575:G1575"/>
    <mergeCell ref="H1575:I1575"/>
    <mergeCell ref="H1507:I1507"/>
    <mergeCell ref="J1507:K1507"/>
    <mergeCell ref="L1507:M1507"/>
    <mergeCell ref="N1507:O1507"/>
    <mergeCell ref="P1507:Q1507"/>
    <mergeCell ref="R1507:S1507"/>
    <mergeCell ref="B1540:I1540"/>
    <mergeCell ref="B1541:C1541"/>
    <mergeCell ref="D1541:E1541"/>
    <mergeCell ref="F1541:G1541"/>
    <mergeCell ref="H1541:I1541"/>
    <mergeCell ref="A1506:A1508"/>
    <mergeCell ref="B1506:W1506"/>
    <mergeCell ref="B1507:C1507"/>
    <mergeCell ref="F1507:G1507"/>
    <mergeCell ref="N1439:O1439"/>
    <mergeCell ref="P1439:Q1439"/>
    <mergeCell ref="R1439:S1439"/>
    <mergeCell ref="B1404:G1404"/>
    <mergeCell ref="B1405:C1405"/>
    <mergeCell ref="D1405:E1405"/>
    <mergeCell ref="F1405:G1405"/>
    <mergeCell ref="B1439:C1439"/>
    <mergeCell ref="D1439:E1439"/>
    <mergeCell ref="F1439:G1439"/>
    <mergeCell ref="H1439:I1439"/>
    <mergeCell ref="J1439:K1439"/>
    <mergeCell ref="L1439:M1439"/>
    <mergeCell ref="B1472:G1472"/>
    <mergeCell ref="B1473:C1473"/>
    <mergeCell ref="D1473:E1473"/>
    <mergeCell ref="F1473:G1473"/>
    <mergeCell ref="T1337:U1337"/>
    <mergeCell ref="V1337:W1337"/>
    <mergeCell ref="X1337:Y1337"/>
    <mergeCell ref="Z1337:AA1337"/>
    <mergeCell ref="AB1337:AC1337"/>
    <mergeCell ref="AD1337:AE1337"/>
    <mergeCell ref="AJ1337:AK1337"/>
    <mergeCell ref="AL1337:AM1337"/>
    <mergeCell ref="AN1337:AO1337"/>
    <mergeCell ref="AF1337:AG1337"/>
    <mergeCell ref="AH1337:AI1337"/>
    <mergeCell ref="V1235:W1235"/>
    <mergeCell ref="B1302:Q1302"/>
    <mergeCell ref="B1303:C1303"/>
    <mergeCell ref="D1303:E1303"/>
    <mergeCell ref="F1303:G1303"/>
    <mergeCell ref="H1303:I1303"/>
    <mergeCell ref="J1303:K1303"/>
    <mergeCell ref="L1303:M1303"/>
    <mergeCell ref="N1303:O1303"/>
    <mergeCell ref="P1303:Q1303"/>
    <mergeCell ref="J1235:K1235"/>
    <mergeCell ref="L1235:M1235"/>
    <mergeCell ref="N1235:O1235"/>
    <mergeCell ref="P1235:Q1235"/>
    <mergeCell ref="R1235:S1235"/>
    <mergeCell ref="T1235:U1235"/>
    <mergeCell ref="B1132:E1132"/>
    <mergeCell ref="A1132:A1133"/>
    <mergeCell ref="AP1337:AQ1337"/>
    <mergeCell ref="AR1337:AS1337"/>
    <mergeCell ref="A1234:A1236"/>
    <mergeCell ref="B1234:W1234"/>
    <mergeCell ref="B1235:C1235"/>
    <mergeCell ref="D1235:E1235"/>
    <mergeCell ref="F1235:G1235"/>
    <mergeCell ref="H1235:I1235"/>
    <mergeCell ref="B1200:G1200"/>
    <mergeCell ref="B1201:C1201"/>
    <mergeCell ref="D1201:E1201"/>
    <mergeCell ref="F1201:G1201"/>
    <mergeCell ref="A1200:A1202"/>
    <mergeCell ref="B1166:E1166"/>
    <mergeCell ref="A1166:A1167"/>
    <mergeCell ref="A1336:A1338"/>
    <mergeCell ref="B1336:AS1336"/>
    <mergeCell ref="B1337:C1337"/>
    <mergeCell ref="D1337:E1337"/>
    <mergeCell ref="F1337:G1337"/>
    <mergeCell ref="H1337:I1337"/>
    <mergeCell ref="J1337:K1337"/>
    <mergeCell ref="AD1065:AE1065"/>
    <mergeCell ref="AF1065:AG1065"/>
    <mergeCell ref="AH1065:AI1065"/>
    <mergeCell ref="P1065:Q1065"/>
    <mergeCell ref="AN1065:AO1065"/>
    <mergeCell ref="AP1065:AQ1065"/>
    <mergeCell ref="AR1065:AS1065"/>
    <mergeCell ref="R1065:S1065"/>
    <mergeCell ref="T1065:U1065"/>
    <mergeCell ref="V1065:W1065"/>
    <mergeCell ref="X1065:Y1065"/>
    <mergeCell ref="AJ1065:AK1065"/>
    <mergeCell ref="AL1065:AM1065"/>
    <mergeCell ref="A1098:A1100"/>
    <mergeCell ref="A996:A998"/>
    <mergeCell ref="B1030:O1030"/>
    <mergeCell ref="B1031:C1031"/>
    <mergeCell ref="D1031:E1031"/>
    <mergeCell ref="F1031:G1031"/>
    <mergeCell ref="H1031:I1031"/>
    <mergeCell ref="J1031:K1031"/>
    <mergeCell ref="L1031:M1031"/>
    <mergeCell ref="N1031:O1031"/>
    <mergeCell ref="A1030:A1032"/>
    <mergeCell ref="A1064:A1066"/>
    <mergeCell ref="N997:O997"/>
    <mergeCell ref="B1064:AS1064"/>
    <mergeCell ref="B1065:C1065"/>
    <mergeCell ref="D1065:E1065"/>
    <mergeCell ref="F1065:G1065"/>
    <mergeCell ref="H1065:I1065"/>
    <mergeCell ref="J1065:K1065"/>
    <mergeCell ref="L1065:M1065"/>
    <mergeCell ref="N1065:O1065"/>
    <mergeCell ref="B1098:I1098"/>
    <mergeCell ref="Z1065:AA1065"/>
    <mergeCell ref="AB1065:AC1065"/>
    <mergeCell ref="F963:G963"/>
    <mergeCell ref="H963:I963"/>
    <mergeCell ref="J963:K963"/>
    <mergeCell ref="R929:S929"/>
    <mergeCell ref="T929:U929"/>
    <mergeCell ref="B1099:C1099"/>
    <mergeCell ref="D1099:E1099"/>
    <mergeCell ref="F1099:G1099"/>
    <mergeCell ref="H1099:I1099"/>
    <mergeCell ref="J827:K827"/>
    <mergeCell ref="L827:M827"/>
    <mergeCell ref="A962:A964"/>
    <mergeCell ref="B996:Q996"/>
    <mergeCell ref="B997:C997"/>
    <mergeCell ref="D997:E997"/>
    <mergeCell ref="F997:G997"/>
    <mergeCell ref="H997:I997"/>
    <mergeCell ref="J997:K997"/>
    <mergeCell ref="L997:M997"/>
    <mergeCell ref="A928:A930"/>
    <mergeCell ref="B928:U928"/>
    <mergeCell ref="B929:C929"/>
    <mergeCell ref="D929:E929"/>
    <mergeCell ref="F929:G929"/>
    <mergeCell ref="H929:I929"/>
    <mergeCell ref="J929:K929"/>
    <mergeCell ref="L929:M929"/>
    <mergeCell ref="N929:O929"/>
    <mergeCell ref="P929:Q929"/>
    <mergeCell ref="P997:Q997"/>
    <mergeCell ref="B962:K962"/>
    <mergeCell ref="B963:C963"/>
    <mergeCell ref="D963:E963"/>
    <mergeCell ref="A894:A896"/>
    <mergeCell ref="B894:W894"/>
    <mergeCell ref="B895:C895"/>
    <mergeCell ref="D895:E895"/>
    <mergeCell ref="F895:G895"/>
    <mergeCell ref="H895:I895"/>
    <mergeCell ref="J895:K895"/>
    <mergeCell ref="A860:A862"/>
    <mergeCell ref="A826:A828"/>
    <mergeCell ref="B860:G860"/>
    <mergeCell ref="B861:C861"/>
    <mergeCell ref="D861:E861"/>
    <mergeCell ref="F861:G861"/>
    <mergeCell ref="B826:M826"/>
    <mergeCell ref="B827:C827"/>
    <mergeCell ref="D827:E827"/>
    <mergeCell ref="F827:G827"/>
    <mergeCell ref="L895:M895"/>
    <mergeCell ref="N895:O895"/>
    <mergeCell ref="P895:Q895"/>
    <mergeCell ref="R895:S895"/>
    <mergeCell ref="T895:U895"/>
    <mergeCell ref="V895:W895"/>
    <mergeCell ref="H827:I827"/>
    <mergeCell ref="B791:G791"/>
    <mergeCell ref="B792:C792"/>
    <mergeCell ref="D792:E792"/>
    <mergeCell ref="F792:G792"/>
    <mergeCell ref="A756:A758"/>
    <mergeCell ref="A791:A793"/>
    <mergeCell ref="B756:U756"/>
    <mergeCell ref="B757:C757"/>
    <mergeCell ref="D757:E757"/>
    <mergeCell ref="F757:G757"/>
    <mergeCell ref="T757:U757"/>
    <mergeCell ref="H757:I757"/>
    <mergeCell ref="J757:K757"/>
    <mergeCell ref="L757:M757"/>
    <mergeCell ref="N757:O757"/>
    <mergeCell ref="P757:Q757"/>
    <mergeCell ref="R757:S757"/>
    <mergeCell ref="A688:A690"/>
    <mergeCell ref="B688:G688"/>
    <mergeCell ref="B689:C689"/>
    <mergeCell ref="D689:E689"/>
    <mergeCell ref="F689:G689"/>
    <mergeCell ref="A722:A724"/>
    <mergeCell ref="L723:M723"/>
    <mergeCell ref="N723:O723"/>
    <mergeCell ref="P723:Q723"/>
    <mergeCell ref="B722:Y722"/>
    <mergeCell ref="B723:C723"/>
    <mergeCell ref="D723:E723"/>
    <mergeCell ref="F723:G723"/>
    <mergeCell ref="H723:I723"/>
    <mergeCell ref="J723:K723"/>
    <mergeCell ref="X723:Y723"/>
    <mergeCell ref="R723:S723"/>
    <mergeCell ref="T723:U723"/>
    <mergeCell ref="V723:W723"/>
    <mergeCell ref="B654:G654"/>
    <mergeCell ref="B655:C655"/>
    <mergeCell ref="D655:E655"/>
    <mergeCell ref="F655:G655"/>
    <mergeCell ref="A654:A656"/>
    <mergeCell ref="B620:G620"/>
    <mergeCell ref="B621:C621"/>
    <mergeCell ref="D621:E621"/>
    <mergeCell ref="F621:G621"/>
    <mergeCell ref="A620:A622"/>
    <mergeCell ref="A584:A586"/>
    <mergeCell ref="B584:O584"/>
    <mergeCell ref="B585:C585"/>
    <mergeCell ref="D585:E585"/>
    <mergeCell ref="F585:G585"/>
    <mergeCell ref="H585:I585"/>
    <mergeCell ref="J585:K585"/>
    <mergeCell ref="L585:M585"/>
    <mergeCell ref="N585:O585"/>
    <mergeCell ref="R481:S481"/>
    <mergeCell ref="B446:G446"/>
    <mergeCell ref="B447:C447"/>
    <mergeCell ref="D447:E447"/>
    <mergeCell ref="F447:G447"/>
    <mergeCell ref="A480:A482"/>
    <mergeCell ref="B480:S480"/>
    <mergeCell ref="B481:C481"/>
    <mergeCell ref="D481:E481"/>
    <mergeCell ref="F481:G481"/>
    <mergeCell ref="A446:A448"/>
    <mergeCell ref="H481:I481"/>
    <mergeCell ref="J481:K481"/>
    <mergeCell ref="L481:M481"/>
    <mergeCell ref="N481:O481"/>
    <mergeCell ref="P515:Q515"/>
    <mergeCell ref="A514:A516"/>
    <mergeCell ref="A548:A550"/>
    <mergeCell ref="B514:Q514"/>
    <mergeCell ref="B515:C515"/>
    <mergeCell ref="D515:E515"/>
    <mergeCell ref="F347:G347"/>
    <mergeCell ref="H347:I347"/>
    <mergeCell ref="D382:E382"/>
    <mergeCell ref="A346:A348"/>
    <mergeCell ref="P481:Q481"/>
    <mergeCell ref="F515:G515"/>
    <mergeCell ref="H515:I515"/>
    <mergeCell ref="J515:K515"/>
    <mergeCell ref="L515:M515"/>
    <mergeCell ref="N515:O515"/>
    <mergeCell ref="B548:K548"/>
    <mergeCell ref="B549:C549"/>
    <mergeCell ref="D549:E549"/>
    <mergeCell ref="F549:G549"/>
    <mergeCell ref="H549:I549"/>
    <mergeCell ref="J549:K549"/>
    <mergeCell ref="P382:Q382"/>
    <mergeCell ref="B312:G312"/>
    <mergeCell ref="B313:C313"/>
    <mergeCell ref="D313:E313"/>
    <mergeCell ref="F313:G313"/>
    <mergeCell ref="BD211:BI211"/>
    <mergeCell ref="BJ211:BO211"/>
    <mergeCell ref="BD212:BI212"/>
    <mergeCell ref="BD213:BE213"/>
    <mergeCell ref="BF213:BG213"/>
    <mergeCell ref="BH213:BI213"/>
    <mergeCell ref="BJ212:BO212"/>
    <mergeCell ref="BJ213:BK213"/>
    <mergeCell ref="BL213:BM213"/>
    <mergeCell ref="BN213:BO213"/>
    <mergeCell ref="N212:S212"/>
    <mergeCell ref="N213:O213"/>
    <mergeCell ref="P213:Q213"/>
    <mergeCell ref="R213:S213"/>
    <mergeCell ref="N211:S211"/>
    <mergeCell ref="B211:G211"/>
    <mergeCell ref="B212:G212"/>
    <mergeCell ref="B213:C213"/>
    <mergeCell ref="D213:E213"/>
    <mergeCell ref="F213:G213"/>
    <mergeCell ref="A211:A214"/>
    <mergeCell ref="H211:M211"/>
    <mergeCell ref="H212:M212"/>
    <mergeCell ref="H213:I213"/>
    <mergeCell ref="J213:K213"/>
    <mergeCell ref="L213:M213"/>
    <mergeCell ref="AN213:AO213"/>
    <mergeCell ref="AP213:AQ213"/>
    <mergeCell ref="AR213:AS213"/>
    <mergeCell ref="AF212:AK212"/>
    <mergeCell ref="AF213:AG213"/>
    <mergeCell ref="AH213:AI213"/>
    <mergeCell ref="AJ213:AK213"/>
    <mergeCell ref="Z211:AE211"/>
    <mergeCell ref="Z212:AE212"/>
    <mergeCell ref="Z213:AA213"/>
    <mergeCell ref="AB213:AC213"/>
    <mergeCell ref="AD213:AE213"/>
    <mergeCell ref="AF211:AK211"/>
    <mergeCell ref="T212:Y212"/>
    <mergeCell ref="T213:U213"/>
    <mergeCell ref="V213:W213"/>
    <mergeCell ref="X213:Y213"/>
    <mergeCell ref="T211:Y211"/>
    <mergeCell ref="AT213:AU213"/>
    <mergeCell ref="AV213:AW213"/>
    <mergeCell ref="AX212:BC212"/>
    <mergeCell ref="AX213:AY213"/>
    <mergeCell ref="AZ213:BA213"/>
    <mergeCell ref="BB213:BC213"/>
    <mergeCell ref="AL211:AQ211"/>
    <mergeCell ref="AR211:AW211"/>
    <mergeCell ref="AX211:BC211"/>
    <mergeCell ref="AL212:AQ212"/>
    <mergeCell ref="AR212:AW212"/>
    <mergeCell ref="AL213:AM213"/>
    <mergeCell ref="AX175:BC175"/>
    <mergeCell ref="AX176:BC176"/>
    <mergeCell ref="AX177:AY177"/>
    <mergeCell ref="AZ177:BA177"/>
    <mergeCell ref="BB177:BC177"/>
    <mergeCell ref="AF176:AK176"/>
    <mergeCell ref="AF177:AG177"/>
    <mergeCell ref="AH177:AI177"/>
    <mergeCell ref="AJ177:AK177"/>
    <mergeCell ref="AL175:AQ175"/>
    <mergeCell ref="AL176:AQ176"/>
    <mergeCell ref="AL177:AM177"/>
    <mergeCell ref="AN177:AO177"/>
    <mergeCell ref="AP177:AQ177"/>
    <mergeCell ref="N139:S139"/>
    <mergeCell ref="N140:S140"/>
    <mergeCell ref="N141:O141"/>
    <mergeCell ref="P141:Q141"/>
    <mergeCell ref="R141:S141"/>
    <mergeCell ref="BJ175:BO175"/>
    <mergeCell ref="BJ176:BO176"/>
    <mergeCell ref="BJ177:BK177"/>
    <mergeCell ref="BL177:BM177"/>
    <mergeCell ref="BN177:BO177"/>
    <mergeCell ref="AR175:AW175"/>
    <mergeCell ref="AR176:AW176"/>
    <mergeCell ref="AR177:AS177"/>
    <mergeCell ref="AT177:AU177"/>
    <mergeCell ref="AV177:AW177"/>
    <mergeCell ref="BD175:BI175"/>
    <mergeCell ref="BD176:BI176"/>
    <mergeCell ref="BD177:BE177"/>
    <mergeCell ref="BF177:BG177"/>
    <mergeCell ref="BH177:BI177"/>
    <mergeCell ref="AF175:AK175"/>
    <mergeCell ref="Z141:AA141"/>
    <mergeCell ref="AB141:AC141"/>
    <mergeCell ref="AD141:AE141"/>
    <mergeCell ref="T140:Y140"/>
    <mergeCell ref="T141:U141"/>
    <mergeCell ref="V141:W141"/>
    <mergeCell ref="Z175:AE175"/>
    <mergeCell ref="Z176:AE176"/>
    <mergeCell ref="T175:Y175"/>
    <mergeCell ref="T176:Y176"/>
    <mergeCell ref="A175:A178"/>
    <mergeCell ref="B175:G175"/>
    <mergeCell ref="B176:G176"/>
    <mergeCell ref="B177:C177"/>
    <mergeCell ref="D177:E177"/>
    <mergeCell ref="F177:G177"/>
    <mergeCell ref="T177:U177"/>
    <mergeCell ref="V177:W177"/>
    <mergeCell ref="Z177:AA177"/>
    <mergeCell ref="AB177:AC177"/>
    <mergeCell ref="AD177:AE177"/>
    <mergeCell ref="Z105:AA105"/>
    <mergeCell ref="B104:AC104"/>
    <mergeCell ref="L141:M141"/>
    <mergeCell ref="X141:Y141"/>
    <mergeCell ref="T139:Y139"/>
    <mergeCell ref="H175:M175"/>
    <mergeCell ref="H176:M176"/>
    <mergeCell ref="H177:I177"/>
    <mergeCell ref="J177:K177"/>
    <mergeCell ref="L177:M177"/>
    <mergeCell ref="X177:Y177"/>
    <mergeCell ref="N175:S175"/>
    <mergeCell ref="N176:S176"/>
    <mergeCell ref="N177:O177"/>
    <mergeCell ref="P177:Q177"/>
    <mergeCell ref="R177:S177"/>
    <mergeCell ref="Z139:AE139"/>
    <mergeCell ref="T105:U105"/>
    <mergeCell ref="V105:W105"/>
    <mergeCell ref="N105:O105"/>
    <mergeCell ref="P105:Q105"/>
    <mergeCell ref="R105:S105"/>
    <mergeCell ref="L105:M105"/>
    <mergeCell ref="Z140:AE140"/>
    <mergeCell ref="A1:A3"/>
    <mergeCell ref="B1:G1"/>
    <mergeCell ref="B2:C2"/>
    <mergeCell ref="D2:E2"/>
    <mergeCell ref="F2:G2"/>
    <mergeCell ref="A69:B70"/>
    <mergeCell ref="A68:K68"/>
    <mergeCell ref="H105:I105"/>
    <mergeCell ref="F105:G105"/>
    <mergeCell ref="A71:A73"/>
    <mergeCell ref="A74:A76"/>
    <mergeCell ref="A77:A79"/>
    <mergeCell ref="A80:A82"/>
    <mergeCell ref="A83:A85"/>
    <mergeCell ref="A86:A88"/>
    <mergeCell ref="A89:A91"/>
    <mergeCell ref="A95:A97"/>
    <mergeCell ref="B105:C105"/>
    <mergeCell ref="D105:E105"/>
    <mergeCell ref="AT141:AU141"/>
    <mergeCell ref="AV141:AW141"/>
    <mergeCell ref="AL139:AQ139"/>
    <mergeCell ref="AL140:AQ140"/>
    <mergeCell ref="AL141:AM141"/>
    <mergeCell ref="A36:A37"/>
    <mergeCell ref="C69:J69"/>
    <mergeCell ref="K69:K70"/>
    <mergeCell ref="B36:E36"/>
    <mergeCell ref="A92:A94"/>
    <mergeCell ref="A104:A106"/>
    <mergeCell ref="J105:K105"/>
    <mergeCell ref="AB105:AC105"/>
    <mergeCell ref="H141:I141"/>
    <mergeCell ref="J141:K141"/>
    <mergeCell ref="A139:A142"/>
    <mergeCell ref="B140:G140"/>
    <mergeCell ref="B139:G139"/>
    <mergeCell ref="B141:C141"/>
    <mergeCell ref="D141:E141"/>
    <mergeCell ref="F141:G141"/>
    <mergeCell ref="H139:M139"/>
    <mergeCell ref="H140:M140"/>
    <mergeCell ref="X105:Y105"/>
    <mergeCell ref="BJ140:BO140"/>
    <mergeCell ref="BJ141:BK141"/>
    <mergeCell ref="BL141:BM141"/>
    <mergeCell ref="BN141:BO141"/>
    <mergeCell ref="BD139:BI139"/>
    <mergeCell ref="N250:S250"/>
    <mergeCell ref="AF251:AK251"/>
    <mergeCell ref="AF252:AG252"/>
    <mergeCell ref="AH252:AI252"/>
    <mergeCell ref="AJ252:AK252"/>
    <mergeCell ref="T250:Y250"/>
    <mergeCell ref="T251:Y251"/>
    <mergeCell ref="AT252:AU252"/>
    <mergeCell ref="AV252:AW252"/>
    <mergeCell ref="AR250:AW250"/>
    <mergeCell ref="T252:U252"/>
    <mergeCell ref="V252:W252"/>
    <mergeCell ref="X252:Y252"/>
    <mergeCell ref="Z251:AE251"/>
    <mergeCell ref="AH141:AI141"/>
    <mergeCell ref="AJ141:AK141"/>
    <mergeCell ref="AR139:AW139"/>
    <mergeCell ref="AR140:AW140"/>
    <mergeCell ref="AR141:AS141"/>
    <mergeCell ref="AL251:AQ251"/>
    <mergeCell ref="AL252:AM252"/>
    <mergeCell ref="AN252:AO252"/>
    <mergeCell ref="AP252:AQ252"/>
    <mergeCell ref="AL250:AQ250"/>
    <mergeCell ref="AR251:AW251"/>
    <mergeCell ref="AR252:AS252"/>
    <mergeCell ref="B251:G251"/>
    <mergeCell ref="B252:C252"/>
    <mergeCell ref="D252:E252"/>
    <mergeCell ref="F252:G252"/>
    <mergeCell ref="H251:M251"/>
    <mergeCell ref="H252:I252"/>
    <mergeCell ref="J252:K252"/>
    <mergeCell ref="L252:M252"/>
    <mergeCell ref="N251:S251"/>
    <mergeCell ref="N252:O252"/>
    <mergeCell ref="P252:Q252"/>
    <mergeCell ref="R252:S252"/>
    <mergeCell ref="A138:CA138"/>
    <mergeCell ref="Z250:AE250"/>
    <mergeCell ref="BJ250:BO250"/>
    <mergeCell ref="AX250:BC250"/>
    <mergeCell ref="BD250:BI250"/>
    <mergeCell ref="B250:G250"/>
    <mergeCell ref="H250:M250"/>
    <mergeCell ref="BD140:BI140"/>
    <mergeCell ref="BD141:BE141"/>
    <mergeCell ref="BF141:BG141"/>
    <mergeCell ref="BH141:BI141"/>
    <mergeCell ref="AX139:BC139"/>
    <mergeCell ref="AX140:BC140"/>
    <mergeCell ref="AX141:AY141"/>
    <mergeCell ref="AZ141:BA141"/>
    <mergeCell ref="BB141:BC141"/>
    <mergeCell ref="AN141:AO141"/>
    <mergeCell ref="AP141:AQ141"/>
    <mergeCell ref="AF139:AK139"/>
    <mergeCell ref="AF140:AK140"/>
    <mergeCell ref="AF141:AG141"/>
    <mergeCell ref="AF250:AK250"/>
    <mergeCell ref="A250:A253"/>
    <mergeCell ref="BJ139:BO139"/>
    <mergeCell ref="A2000:A2002"/>
    <mergeCell ref="N1337:O1337"/>
    <mergeCell ref="P1337:Q1337"/>
    <mergeCell ref="R1337:S1337"/>
    <mergeCell ref="L1337:M1337"/>
    <mergeCell ref="D1507:E1507"/>
    <mergeCell ref="A249:CA249"/>
    <mergeCell ref="A210:CA210"/>
    <mergeCell ref="A174:CA174"/>
    <mergeCell ref="BJ251:BO251"/>
    <mergeCell ref="BJ252:BK252"/>
    <mergeCell ref="BL252:BM252"/>
    <mergeCell ref="BN252:BO252"/>
    <mergeCell ref="AX251:BC251"/>
    <mergeCell ref="AX252:AY252"/>
    <mergeCell ref="AZ252:BA252"/>
    <mergeCell ref="BB252:BC252"/>
    <mergeCell ref="BD251:BI251"/>
    <mergeCell ref="BD252:BE252"/>
    <mergeCell ref="Z252:AA252"/>
    <mergeCell ref="AB252:AC252"/>
    <mergeCell ref="AD252:AE252"/>
    <mergeCell ref="BF252:BG252"/>
    <mergeCell ref="BH252:BI252"/>
    <mergeCell ref="A2034:A2036"/>
    <mergeCell ref="B2068:G2068"/>
    <mergeCell ref="B2069:C2069"/>
    <mergeCell ref="D2069:E2069"/>
    <mergeCell ref="F2069:G2069"/>
    <mergeCell ref="A2068:A2070"/>
    <mergeCell ref="A1268:A1270"/>
    <mergeCell ref="B1268:I1268"/>
    <mergeCell ref="B1269:C1269"/>
    <mergeCell ref="D1269:E1269"/>
    <mergeCell ref="F1269:G1269"/>
    <mergeCell ref="H1269:I1269"/>
    <mergeCell ref="A1302:A1304"/>
    <mergeCell ref="B2000:I2000"/>
    <mergeCell ref="B2001:C2001"/>
    <mergeCell ref="D2001:E2001"/>
    <mergeCell ref="F2001:G2001"/>
    <mergeCell ref="H2001:I2001"/>
    <mergeCell ref="B1370:E1370"/>
    <mergeCell ref="A1370:A1371"/>
    <mergeCell ref="A1438:A1440"/>
    <mergeCell ref="A1472:A1474"/>
    <mergeCell ref="A1404:A1406"/>
    <mergeCell ref="B1438:S1438"/>
    <mergeCell ref="T2137:U2137"/>
    <mergeCell ref="B2034:I2034"/>
    <mergeCell ref="B2035:C2035"/>
    <mergeCell ref="D2035:E2035"/>
    <mergeCell ref="F2035:G2035"/>
    <mergeCell ref="H2035:I2035"/>
    <mergeCell ref="P2103:Q2103"/>
    <mergeCell ref="R2103:S2103"/>
    <mergeCell ref="T2103:U2103"/>
    <mergeCell ref="T2171:U2171"/>
    <mergeCell ref="V2171:W2171"/>
    <mergeCell ref="A2136:A2138"/>
    <mergeCell ref="B2136:W2136"/>
    <mergeCell ref="B2137:C2137"/>
    <mergeCell ref="D2137:E2137"/>
    <mergeCell ref="F2137:G2137"/>
    <mergeCell ref="H2137:I2137"/>
    <mergeCell ref="V2103:W2103"/>
    <mergeCell ref="V2137:W2137"/>
    <mergeCell ref="A2102:A2104"/>
    <mergeCell ref="B2102:W2102"/>
    <mergeCell ref="B2103:C2103"/>
    <mergeCell ref="D2103:E2103"/>
    <mergeCell ref="F2103:G2103"/>
    <mergeCell ref="H2103:I2103"/>
    <mergeCell ref="J2103:K2103"/>
    <mergeCell ref="L2103:M2103"/>
    <mergeCell ref="N2103:O2103"/>
    <mergeCell ref="J2137:K2137"/>
    <mergeCell ref="L2137:M2137"/>
    <mergeCell ref="N2137:O2137"/>
    <mergeCell ref="P2137:Q2137"/>
    <mergeCell ref="R2137:S2137"/>
    <mergeCell ref="A2237:A2239"/>
    <mergeCell ref="A2170:A2172"/>
    <mergeCell ref="B2170:W2170"/>
    <mergeCell ref="B2171:C2171"/>
    <mergeCell ref="D2171:E2171"/>
    <mergeCell ref="F2171:G2171"/>
    <mergeCell ref="H2171:I2171"/>
    <mergeCell ref="J2171:K2171"/>
    <mergeCell ref="L2171:M2171"/>
    <mergeCell ref="N2171:O2171"/>
    <mergeCell ref="P2205:Q2205"/>
    <mergeCell ref="B2237:U2237"/>
    <mergeCell ref="B2238:C2238"/>
    <mergeCell ref="D2238:E2238"/>
    <mergeCell ref="F2238:G2238"/>
    <mergeCell ref="H2238:I2238"/>
    <mergeCell ref="J2238:K2238"/>
    <mergeCell ref="L2238:M2238"/>
    <mergeCell ref="N2238:O2238"/>
    <mergeCell ref="A2204:A2206"/>
    <mergeCell ref="R2238:S2238"/>
    <mergeCell ref="T2238:U2238"/>
    <mergeCell ref="P2171:Q2171"/>
    <mergeCell ref="R2171:S2171"/>
    <mergeCell ref="B2204:Q2204"/>
    <mergeCell ref="B2205:C2205"/>
    <mergeCell ref="D2205:E2205"/>
    <mergeCell ref="F2205:G2205"/>
    <mergeCell ref="H2205:I2205"/>
    <mergeCell ref="J2205:K2205"/>
    <mergeCell ref="L2205:M2205"/>
    <mergeCell ref="N2205:O2205"/>
    <mergeCell ref="P2238:Q2238"/>
    <mergeCell ref="P2307:Q2307"/>
    <mergeCell ref="R2307:S2307"/>
    <mergeCell ref="B2270:G2270"/>
    <mergeCell ref="B2271:C2271"/>
    <mergeCell ref="D2271:E2271"/>
    <mergeCell ref="F2271:G2271"/>
    <mergeCell ref="R2341:S2341"/>
    <mergeCell ref="A2306:A2308"/>
    <mergeCell ref="B2306:S2306"/>
    <mergeCell ref="B2307:C2307"/>
    <mergeCell ref="D2307:E2307"/>
    <mergeCell ref="F2307:G2307"/>
    <mergeCell ref="H2307:I2307"/>
    <mergeCell ref="J2307:K2307"/>
    <mergeCell ref="L2307:M2307"/>
    <mergeCell ref="N2307:O2307"/>
    <mergeCell ref="F2341:G2341"/>
    <mergeCell ref="H2341:I2341"/>
    <mergeCell ref="J2341:K2341"/>
    <mergeCell ref="L2341:M2341"/>
    <mergeCell ref="N2341:O2341"/>
    <mergeCell ref="P2341:Q2341"/>
    <mergeCell ref="A2270:A2272"/>
    <mergeCell ref="B2374:I2374"/>
    <mergeCell ref="B2375:C2375"/>
    <mergeCell ref="D2375:E2375"/>
    <mergeCell ref="F2375:G2375"/>
    <mergeCell ref="H2375:I2375"/>
    <mergeCell ref="A2340:A2342"/>
    <mergeCell ref="A2374:A2376"/>
    <mergeCell ref="B2340:S2340"/>
    <mergeCell ref="B2341:C2341"/>
    <mergeCell ref="D2341:E2341"/>
    <mergeCell ref="B2443:C2443"/>
    <mergeCell ref="D2443:E2443"/>
    <mergeCell ref="F2443:G2443"/>
    <mergeCell ref="A2442:A2444"/>
    <mergeCell ref="B2408:G2408"/>
    <mergeCell ref="B2409:C2409"/>
    <mergeCell ref="D2409:E2409"/>
    <mergeCell ref="F2409:G2409"/>
    <mergeCell ref="A2408:A2410"/>
    <mergeCell ref="B2442:G2442"/>
    <mergeCell ref="A2476:A2478"/>
    <mergeCell ref="A2510:A2512"/>
    <mergeCell ref="B2476:Q2476"/>
    <mergeCell ref="B2477:C2477"/>
    <mergeCell ref="D2477:E2477"/>
    <mergeCell ref="F2477:G2477"/>
    <mergeCell ref="H2477:I2477"/>
    <mergeCell ref="J2477:K2477"/>
    <mergeCell ref="L2477:M2477"/>
    <mergeCell ref="N2477:O2477"/>
    <mergeCell ref="P2477:Q2477"/>
    <mergeCell ref="A2543:A2545"/>
    <mergeCell ref="B2510:O2510"/>
    <mergeCell ref="B2511:C2511"/>
    <mergeCell ref="D2511:E2511"/>
    <mergeCell ref="F2511:G2511"/>
    <mergeCell ref="H2511:I2511"/>
    <mergeCell ref="J2511:K2511"/>
    <mergeCell ref="L2511:M2511"/>
    <mergeCell ref="N2511:O2511"/>
    <mergeCell ref="B2543:I2543"/>
    <mergeCell ref="B2544:C2544"/>
    <mergeCell ref="D2544:E2544"/>
    <mergeCell ref="F2544:G2544"/>
    <mergeCell ref="H2544:I254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MODALIDAD</vt:lpstr>
      <vt:lpstr>AREACONOC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Lady  Moreno Cifuentes</cp:lastModifiedBy>
  <dcterms:created xsi:type="dcterms:W3CDTF">2015-12-29T22:09:56Z</dcterms:created>
  <dcterms:modified xsi:type="dcterms:W3CDTF">2016-11-02T15:32:10Z</dcterms:modified>
</cp:coreProperties>
</file>